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590" activeTab="1"/>
  </bookViews>
  <sheets>
    <sheet name="0930" sheetId="112" r:id="rId1"/>
    <sheet name="0930 4度C" sheetId="113" r:id="rId2"/>
    <sheet name="0929" sheetId="110" r:id="rId3"/>
    <sheet name="0929 4度C" sheetId="111" r:id="rId4"/>
    <sheet name="0928" sheetId="108" r:id="rId5"/>
    <sheet name="0928 4度C" sheetId="109" r:id="rId6"/>
    <sheet name="0927" sheetId="106" r:id="rId7"/>
    <sheet name="0927 4度C" sheetId="107" r:id="rId8"/>
    <sheet name="0926" sheetId="104" r:id="rId9"/>
    <sheet name="0926 4度C" sheetId="105" r:id="rId10"/>
    <sheet name="0925" sheetId="102" r:id="rId11"/>
    <sheet name="0925 4度C" sheetId="103" r:id="rId12"/>
    <sheet name="0924" sheetId="100" r:id="rId13"/>
    <sheet name="0924 4度C" sheetId="101" r:id="rId14"/>
    <sheet name="0923" sheetId="98" r:id="rId15"/>
    <sheet name="0923 4度C" sheetId="99" r:id="rId16"/>
    <sheet name="0922" sheetId="77" r:id="rId17"/>
    <sheet name="0922 4度C" sheetId="78" r:id="rId18"/>
    <sheet name="0921" sheetId="73" r:id="rId19"/>
    <sheet name="0921 4度C" sheetId="74" r:id="rId20"/>
    <sheet name="0920" sheetId="71" r:id="rId21"/>
    <sheet name="0920 4度C" sheetId="72" r:id="rId22"/>
    <sheet name="0919" sheetId="75" r:id="rId23"/>
    <sheet name="0919 4度C" sheetId="76" r:id="rId24"/>
    <sheet name="0918" sheetId="65" r:id="rId25"/>
    <sheet name="0918 4度C" sheetId="66" r:id="rId26"/>
    <sheet name="0917" sheetId="63" r:id="rId27"/>
    <sheet name="0917 4度C" sheetId="64" r:id="rId28"/>
    <sheet name="0916" sheetId="60" r:id="rId29"/>
    <sheet name="0916 4度C" sheetId="59" r:id="rId30"/>
    <sheet name="0915" sheetId="57" r:id="rId31"/>
    <sheet name="0915 4度C" sheetId="58" r:id="rId32"/>
    <sheet name="0914" sheetId="55" r:id="rId33"/>
    <sheet name="0914 4度C" sheetId="56" r:id="rId34"/>
    <sheet name="0913" sheetId="53" r:id="rId35"/>
    <sheet name="0913 4度C" sheetId="54" r:id="rId36"/>
    <sheet name="0912" sheetId="51" r:id="rId37"/>
    <sheet name="0912 4度C" sheetId="52" r:id="rId38"/>
    <sheet name="0911" sheetId="46" r:id="rId39"/>
    <sheet name="0911 4度C" sheetId="45" r:id="rId40"/>
    <sheet name="0910" sheetId="43" r:id="rId41"/>
    <sheet name="0910 4度C" sheetId="44" r:id="rId42"/>
    <sheet name="0909" sheetId="41" r:id="rId43"/>
    <sheet name="0909 4度C" sheetId="42" r:id="rId44"/>
    <sheet name="0908" sheetId="29" r:id="rId45"/>
    <sheet name="0908 4度C" sheetId="30" r:id="rId46"/>
    <sheet name="0907" sheetId="28" r:id="rId47"/>
    <sheet name="0907 4度C" sheetId="27" r:id="rId48"/>
    <sheet name="0906" sheetId="23" r:id="rId49"/>
    <sheet name="0906 4度C" sheetId="24" r:id="rId50"/>
    <sheet name="0905" sheetId="21" r:id="rId51"/>
    <sheet name="0905 4度C" sheetId="22" r:id="rId52"/>
    <sheet name="0904" sheetId="20" r:id="rId53"/>
    <sheet name="0904 4度C" sheetId="18" r:id="rId54"/>
    <sheet name="0903" sheetId="19" r:id="rId55"/>
    <sheet name="0903 4度C" sheetId="16" r:id="rId56"/>
    <sheet name="0902" sheetId="5" r:id="rId57"/>
    <sheet name="0902 4度C" sheetId="6" r:id="rId58"/>
    <sheet name="0901" sheetId="2" r:id="rId59"/>
    <sheet name="0901 4度C" sheetId="1" r:id="rId60"/>
  </sheets>
  <definedNames>
    <definedName name="_xlnm._FilterDatabase" localSheetId="59" hidden="1">'0901 4度C'!$A$4:$AE$4</definedName>
    <definedName name="_xlnm._FilterDatabase" localSheetId="57" hidden="1">'0902 4度C'!$A$4:$AE$4</definedName>
    <definedName name="_xlnm._FilterDatabase" localSheetId="55" hidden="1">'0903 4度C'!$A$4:$AE$4</definedName>
    <definedName name="_xlnm._FilterDatabase" localSheetId="53" hidden="1">'0904 4度C'!$A$4:$AE$4</definedName>
    <definedName name="_xlnm._FilterDatabase" localSheetId="51" hidden="1">'0905 4度C'!$A$4:$AE$4</definedName>
    <definedName name="_xlnm._FilterDatabase" localSheetId="49" hidden="1">'0906 4度C'!$A$4:$AE$4</definedName>
    <definedName name="_xlnm._FilterDatabase" localSheetId="47" hidden="1">'0907 4度C'!$A$4:$AE$4</definedName>
    <definedName name="_xlnm._FilterDatabase" localSheetId="45" hidden="1">'0908 4度C'!$A$4:$AE$4</definedName>
    <definedName name="_xlnm._FilterDatabase" localSheetId="43" hidden="1">'0909 4度C'!$A$4:$AE$4</definedName>
    <definedName name="_xlnm._FilterDatabase" localSheetId="41" hidden="1">'0910 4度C'!$A$4:$AE$4</definedName>
    <definedName name="_xlnm._FilterDatabase" localSheetId="39" hidden="1">'0911 4度C'!$A$4:$AE$4</definedName>
    <definedName name="_xlnm._FilterDatabase" localSheetId="37" hidden="1">'0912 4度C'!$A$4:$AE$4</definedName>
    <definedName name="_xlnm._FilterDatabase" localSheetId="35" hidden="1">'0913 4度C'!$A$4:$AE$4</definedName>
    <definedName name="_xlnm._FilterDatabase" localSheetId="33" hidden="1">'0914 4度C'!$A$4:$AE$4</definedName>
    <definedName name="_xlnm._FilterDatabase" localSheetId="31" hidden="1">'0915 4度C'!$A$4:$AE$4</definedName>
    <definedName name="_xlnm._FilterDatabase" localSheetId="29" hidden="1">'0916 4度C'!$A$4:$AE$4</definedName>
    <definedName name="_xlnm._FilterDatabase" localSheetId="27" hidden="1">'0917 4度C'!$A$4:$AE$4</definedName>
    <definedName name="_xlnm._FilterDatabase" localSheetId="25" hidden="1">'0918 4度C'!$A$4:$AE$4</definedName>
    <definedName name="_xlnm._FilterDatabase" localSheetId="23" hidden="1">'0919 4度C'!$A$4:$AE$4</definedName>
    <definedName name="_xlnm._FilterDatabase" localSheetId="21" hidden="1">'0920 4度C'!$A$4:$AE$4</definedName>
    <definedName name="_xlnm._FilterDatabase" localSheetId="19" hidden="1">'0921 4度C'!$A$4:$AE$4</definedName>
    <definedName name="_xlnm._FilterDatabase" localSheetId="17" hidden="1">'0922 4度C'!$A$4:$AE$4</definedName>
    <definedName name="_xlnm._FilterDatabase" localSheetId="15" hidden="1">'0923 4度C'!$A$4:$AE$4</definedName>
    <definedName name="_xlnm._FilterDatabase" localSheetId="13" hidden="1">'0924 4度C'!$A$4:$AE$4</definedName>
    <definedName name="_xlnm._FilterDatabase" localSheetId="11" hidden="1">'0925 4度C'!$A$4:$AE$4</definedName>
    <definedName name="_xlnm._FilterDatabase" localSheetId="9" hidden="1">'0926 4度C'!$A$4:$AE$4</definedName>
    <definedName name="_xlnm._FilterDatabase" localSheetId="7" hidden="1">'0927 4度C'!$A$4:$AE$4</definedName>
    <definedName name="_xlnm._FilterDatabase" localSheetId="5" hidden="1">'0928 4度C'!$A$4:$AE$4</definedName>
    <definedName name="_xlnm._FilterDatabase" localSheetId="3" hidden="1">'0929 4度C'!$A$4:$AE$4</definedName>
    <definedName name="_xlnm._FilterDatabase" localSheetId="1" hidden="1">'0930 4度C'!$A$4:$AE$4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2" i="113" l="1"/>
  <c r="K82" i="113"/>
  <c r="V81" i="113"/>
  <c r="M81" i="113" s="1"/>
  <c r="U81" i="113"/>
  <c r="O81" i="113"/>
  <c r="K81" i="113"/>
  <c r="G81" i="113"/>
  <c r="V80" i="113"/>
  <c r="U80" i="113"/>
  <c r="O80" i="113"/>
  <c r="M80" i="113"/>
  <c r="N80" i="113" s="1"/>
  <c r="K80" i="113"/>
  <c r="G80" i="113"/>
  <c r="V79" i="113"/>
  <c r="M79" i="113" s="1"/>
  <c r="U79" i="113"/>
  <c r="O79" i="113"/>
  <c r="K79" i="113"/>
  <c r="G79" i="113"/>
  <c r="V78" i="113"/>
  <c r="M78" i="113" s="1"/>
  <c r="U78" i="113"/>
  <c r="O78" i="113"/>
  <c r="K78" i="113"/>
  <c r="G78" i="113"/>
  <c r="V77" i="113"/>
  <c r="M77" i="113" s="1"/>
  <c r="U77" i="113"/>
  <c r="O77" i="113"/>
  <c r="K77" i="113"/>
  <c r="G77" i="113"/>
  <c r="AB76" i="113"/>
  <c r="AA76" i="113"/>
  <c r="V76" i="113"/>
  <c r="U76" i="113"/>
  <c r="O76" i="113"/>
  <c r="N76" i="113"/>
  <c r="Q76" i="113" s="1"/>
  <c r="M76" i="113"/>
  <c r="K76" i="113"/>
  <c r="G76" i="113"/>
  <c r="V75" i="113"/>
  <c r="U75" i="113"/>
  <c r="O75" i="113"/>
  <c r="M75" i="113"/>
  <c r="AB75" i="113" s="1"/>
  <c r="K75" i="113"/>
  <c r="G75" i="113"/>
  <c r="V74" i="113"/>
  <c r="M74" i="113" s="1"/>
  <c r="U74" i="113"/>
  <c r="O74" i="113"/>
  <c r="K74" i="113"/>
  <c r="G74" i="113"/>
  <c r="AB73" i="113"/>
  <c r="AA73" i="113"/>
  <c r="V73" i="113"/>
  <c r="U73" i="113"/>
  <c r="Q73" i="113"/>
  <c r="O73" i="113"/>
  <c r="N73" i="113"/>
  <c r="P73" i="113" s="1"/>
  <c r="M73" i="113"/>
  <c r="K73" i="113"/>
  <c r="G73" i="113"/>
  <c r="V72" i="113"/>
  <c r="U72" i="113"/>
  <c r="O72" i="113"/>
  <c r="M72" i="113"/>
  <c r="AA72" i="113" s="1"/>
  <c r="K72" i="113"/>
  <c r="G72" i="113"/>
  <c r="AB71" i="113"/>
  <c r="V71" i="113"/>
  <c r="U71" i="113"/>
  <c r="O71" i="113"/>
  <c r="M71" i="113"/>
  <c r="N71" i="113" s="1"/>
  <c r="K71" i="113"/>
  <c r="G71" i="113"/>
  <c r="AB70" i="113"/>
  <c r="X70" i="113"/>
  <c r="W70" i="113"/>
  <c r="V70" i="113"/>
  <c r="Q70" i="113"/>
  <c r="O70" i="113"/>
  <c r="N70" i="113"/>
  <c r="P70" i="113" s="1"/>
  <c r="M70" i="113"/>
  <c r="AA70" i="113" s="1"/>
  <c r="K70" i="113"/>
  <c r="G70" i="113"/>
  <c r="O69" i="113"/>
  <c r="K69" i="113"/>
  <c r="V68" i="113"/>
  <c r="U68" i="113"/>
  <c r="O68" i="113"/>
  <c r="M68" i="113"/>
  <c r="N68" i="113" s="1"/>
  <c r="K68" i="113"/>
  <c r="G68" i="113"/>
  <c r="V67" i="113"/>
  <c r="M67" i="113" s="1"/>
  <c r="U67" i="113"/>
  <c r="O67" i="113"/>
  <c r="K67" i="113"/>
  <c r="G67" i="113"/>
  <c r="V66" i="113"/>
  <c r="M66" i="113" s="1"/>
  <c r="U66" i="113"/>
  <c r="O66" i="113"/>
  <c r="K66" i="113"/>
  <c r="G66" i="113"/>
  <c r="V65" i="113"/>
  <c r="M65" i="113" s="1"/>
  <c r="O65" i="113"/>
  <c r="K65" i="113"/>
  <c r="G65" i="113"/>
  <c r="O64" i="113"/>
  <c r="K64" i="113"/>
  <c r="AB63" i="113"/>
  <c r="AA63" i="113"/>
  <c r="V63" i="113"/>
  <c r="U63" i="113"/>
  <c r="Q63" i="113"/>
  <c r="O63" i="113"/>
  <c r="N63" i="113"/>
  <c r="P63" i="113" s="1"/>
  <c r="M63" i="113"/>
  <c r="K63" i="113"/>
  <c r="G63" i="113"/>
  <c r="V62" i="113"/>
  <c r="U62" i="113"/>
  <c r="O62" i="113"/>
  <c r="M62" i="113"/>
  <c r="AA62" i="113" s="1"/>
  <c r="K62" i="113"/>
  <c r="G62" i="113"/>
  <c r="AB61" i="113"/>
  <c r="V61" i="113"/>
  <c r="U61" i="113"/>
  <c r="O61" i="113"/>
  <c r="M61" i="113"/>
  <c r="N61" i="113" s="1"/>
  <c r="K61" i="113"/>
  <c r="G61" i="113"/>
  <c r="AB60" i="113"/>
  <c r="AA60" i="113"/>
  <c r="V60" i="113"/>
  <c r="U60" i="113"/>
  <c r="O60" i="113"/>
  <c r="N60" i="113"/>
  <c r="Q60" i="113" s="1"/>
  <c r="M60" i="113"/>
  <c r="K60" i="113"/>
  <c r="G60" i="113"/>
  <c r="V59" i="113"/>
  <c r="M59" i="113" s="1"/>
  <c r="U59" i="113"/>
  <c r="O59" i="113"/>
  <c r="K59" i="113"/>
  <c r="G59" i="113"/>
  <c r="V58" i="113"/>
  <c r="M58" i="113" s="1"/>
  <c r="O58" i="113"/>
  <c r="K58" i="113"/>
  <c r="G58" i="113"/>
  <c r="O57" i="113"/>
  <c r="K57" i="113"/>
  <c r="AB56" i="113"/>
  <c r="AA56" i="113"/>
  <c r="V56" i="113"/>
  <c r="U56" i="113"/>
  <c r="O56" i="113"/>
  <c r="N56" i="113"/>
  <c r="Q56" i="113" s="1"/>
  <c r="M56" i="113"/>
  <c r="K56" i="113"/>
  <c r="G56" i="113"/>
  <c r="V55" i="113"/>
  <c r="U55" i="113"/>
  <c r="O55" i="113"/>
  <c r="M55" i="113"/>
  <c r="AB55" i="113" s="1"/>
  <c r="K55" i="113"/>
  <c r="G55" i="113"/>
  <c r="AB54" i="113"/>
  <c r="X54" i="113"/>
  <c r="W54" i="113"/>
  <c r="V54" i="113"/>
  <c r="U54" i="113"/>
  <c r="O54" i="113"/>
  <c r="N54" i="113"/>
  <c r="Q54" i="113" s="1"/>
  <c r="M54" i="113"/>
  <c r="AA54" i="113" s="1"/>
  <c r="K54" i="113"/>
  <c r="G54" i="113"/>
  <c r="V53" i="113"/>
  <c r="U53" i="113"/>
  <c r="O53" i="113"/>
  <c r="M53" i="113"/>
  <c r="AB53" i="113" s="1"/>
  <c r="K53" i="113"/>
  <c r="G53" i="113"/>
  <c r="V52" i="113"/>
  <c r="M52" i="113" s="1"/>
  <c r="U52" i="113"/>
  <c r="O52" i="113"/>
  <c r="K52" i="113"/>
  <c r="G52" i="113"/>
  <c r="V51" i="113"/>
  <c r="M51" i="113" s="1"/>
  <c r="U51" i="113"/>
  <c r="O51" i="113"/>
  <c r="K51" i="113"/>
  <c r="G51" i="113"/>
  <c r="V50" i="113"/>
  <c r="M50" i="113" s="1"/>
  <c r="U50" i="113"/>
  <c r="O50" i="113"/>
  <c r="K50" i="113"/>
  <c r="G50" i="113"/>
  <c r="V49" i="113"/>
  <c r="M49" i="113" s="1"/>
  <c r="O49" i="113"/>
  <c r="K49" i="113"/>
  <c r="G49" i="113"/>
  <c r="O48" i="113"/>
  <c r="K48" i="113"/>
  <c r="AB47" i="113"/>
  <c r="AA47" i="113"/>
  <c r="V47" i="113"/>
  <c r="U47" i="113"/>
  <c r="Q47" i="113"/>
  <c r="O47" i="113"/>
  <c r="N47" i="113"/>
  <c r="P47" i="113" s="1"/>
  <c r="M47" i="113"/>
  <c r="K47" i="113"/>
  <c r="G47" i="113"/>
  <c r="V46" i="113"/>
  <c r="U46" i="113"/>
  <c r="O46" i="113"/>
  <c r="M46" i="113"/>
  <c r="N46" i="113" s="1"/>
  <c r="K46" i="113"/>
  <c r="G46" i="113"/>
  <c r="AB45" i="113"/>
  <c r="V45" i="113"/>
  <c r="U45" i="113"/>
  <c r="O45" i="113"/>
  <c r="M45" i="113"/>
  <c r="AA45" i="113" s="1"/>
  <c r="K45" i="113"/>
  <c r="G45" i="113"/>
  <c r="AB44" i="113"/>
  <c r="AA44" i="113"/>
  <c r="X44" i="113"/>
  <c r="W44" i="113"/>
  <c r="V44" i="113"/>
  <c r="U44" i="113"/>
  <c r="O44" i="113"/>
  <c r="M44" i="113"/>
  <c r="N44" i="113" s="1"/>
  <c r="K44" i="113"/>
  <c r="G44" i="113"/>
  <c r="AB43" i="113"/>
  <c r="V43" i="113"/>
  <c r="U43" i="113"/>
  <c r="O43" i="113"/>
  <c r="M43" i="113"/>
  <c r="AA43" i="113" s="1"/>
  <c r="K43" i="113"/>
  <c r="G43" i="113"/>
  <c r="AB42" i="113"/>
  <c r="AA42" i="113"/>
  <c r="V42" i="113"/>
  <c r="U42" i="113"/>
  <c r="O42" i="113"/>
  <c r="N42" i="113"/>
  <c r="Q42" i="113" s="1"/>
  <c r="M42" i="113"/>
  <c r="K42" i="113"/>
  <c r="G42" i="113"/>
  <c r="V41" i="113"/>
  <c r="U41" i="113"/>
  <c r="O41" i="113"/>
  <c r="M41" i="113"/>
  <c r="AB41" i="113" s="1"/>
  <c r="K41" i="113"/>
  <c r="G41" i="113"/>
  <c r="AA40" i="113"/>
  <c r="X40" i="113"/>
  <c r="W40" i="113"/>
  <c r="V40" i="113"/>
  <c r="O40" i="113"/>
  <c r="M40" i="113"/>
  <c r="AB40" i="113" s="1"/>
  <c r="K40" i="113"/>
  <c r="G40" i="113"/>
  <c r="O39" i="113"/>
  <c r="K39" i="113"/>
  <c r="V38" i="113"/>
  <c r="M38" i="113" s="1"/>
  <c r="U38" i="113"/>
  <c r="O38" i="113"/>
  <c r="K38" i="113"/>
  <c r="G38" i="113"/>
  <c r="V37" i="113"/>
  <c r="M37" i="113" s="1"/>
  <c r="U37" i="113"/>
  <c r="O37" i="113"/>
  <c r="K37" i="113"/>
  <c r="G37" i="113"/>
  <c r="V36" i="113"/>
  <c r="M36" i="113" s="1"/>
  <c r="U36" i="113"/>
  <c r="O36" i="113"/>
  <c r="K36" i="113"/>
  <c r="G36" i="113"/>
  <c r="V35" i="113"/>
  <c r="M35" i="113" s="1"/>
  <c r="U35" i="113"/>
  <c r="O35" i="113"/>
  <c r="K35" i="113"/>
  <c r="G35" i="113"/>
  <c r="V34" i="113"/>
  <c r="U34" i="113"/>
  <c r="O34" i="113"/>
  <c r="M34" i="113"/>
  <c r="N34" i="113" s="1"/>
  <c r="K34" i="113"/>
  <c r="G34" i="113"/>
  <c r="AB33" i="113"/>
  <c r="AA33" i="113"/>
  <c r="V33" i="113"/>
  <c r="U33" i="113"/>
  <c r="Q33" i="113"/>
  <c r="O33" i="113"/>
  <c r="N33" i="113"/>
  <c r="P33" i="113" s="1"/>
  <c r="M33" i="113"/>
  <c r="K33" i="113"/>
  <c r="G33" i="113"/>
  <c r="V32" i="113"/>
  <c r="U32" i="113"/>
  <c r="O32" i="113"/>
  <c r="M32" i="113"/>
  <c r="N32" i="113" s="1"/>
  <c r="K32" i="113"/>
  <c r="G32" i="113"/>
  <c r="AB31" i="113"/>
  <c r="V31" i="113"/>
  <c r="U31" i="113"/>
  <c r="O31" i="113"/>
  <c r="M31" i="113"/>
  <c r="AA31" i="113" s="1"/>
  <c r="K31" i="113"/>
  <c r="G31" i="113"/>
  <c r="AB30" i="113"/>
  <c r="AA30" i="113"/>
  <c r="V30" i="113"/>
  <c r="U30" i="113"/>
  <c r="O30" i="113"/>
  <c r="N30" i="113"/>
  <c r="Q30" i="113" s="1"/>
  <c r="M30" i="113"/>
  <c r="K30" i="113"/>
  <c r="G30" i="113"/>
  <c r="V29" i="113"/>
  <c r="U29" i="113"/>
  <c r="O29" i="113"/>
  <c r="M29" i="113"/>
  <c r="AB29" i="113" s="1"/>
  <c r="K29" i="113"/>
  <c r="G29" i="113"/>
  <c r="AA28" i="113"/>
  <c r="X28" i="113"/>
  <c r="W28" i="113"/>
  <c r="V28" i="113"/>
  <c r="O28" i="113"/>
  <c r="M28" i="113"/>
  <c r="AB28" i="113" s="1"/>
  <c r="K28" i="113"/>
  <c r="G28" i="113"/>
  <c r="O27" i="113"/>
  <c r="K27" i="113"/>
  <c r="G13" i="112" s="1"/>
  <c r="V26" i="113"/>
  <c r="M26" i="113" s="1"/>
  <c r="U26" i="113"/>
  <c r="O26" i="113"/>
  <c r="K26" i="113"/>
  <c r="G26" i="113"/>
  <c r="V25" i="113"/>
  <c r="M25" i="113" s="1"/>
  <c r="U25" i="113"/>
  <c r="O25" i="113"/>
  <c r="K25" i="113"/>
  <c r="G25" i="113"/>
  <c r="V24" i="113"/>
  <c r="M24" i="113" s="1"/>
  <c r="U24" i="113"/>
  <c r="O24" i="113"/>
  <c r="K24" i="113"/>
  <c r="G24" i="113"/>
  <c r="V23" i="113"/>
  <c r="M23" i="113" s="1"/>
  <c r="U23" i="113"/>
  <c r="O23" i="113"/>
  <c r="K23" i="113"/>
  <c r="G23" i="113"/>
  <c r="V22" i="113"/>
  <c r="M22" i="113" s="1"/>
  <c r="O22" i="113"/>
  <c r="K22" i="113"/>
  <c r="G22" i="113"/>
  <c r="O21" i="113"/>
  <c r="K21" i="113"/>
  <c r="AB20" i="113"/>
  <c r="AA20" i="113"/>
  <c r="V20" i="113"/>
  <c r="U20" i="113"/>
  <c r="O20" i="113"/>
  <c r="N20" i="113"/>
  <c r="Q20" i="113" s="1"/>
  <c r="M20" i="113"/>
  <c r="K20" i="113"/>
  <c r="G20" i="113"/>
  <c r="V19" i="113"/>
  <c r="U19" i="113"/>
  <c r="O19" i="113"/>
  <c r="M19" i="113"/>
  <c r="AB19" i="113" s="1"/>
  <c r="K19" i="113"/>
  <c r="G19" i="113"/>
  <c r="V18" i="113"/>
  <c r="M18" i="113" s="1"/>
  <c r="U18" i="113"/>
  <c r="O18" i="113"/>
  <c r="K18" i="113"/>
  <c r="G18" i="113"/>
  <c r="V17" i="113"/>
  <c r="M17" i="113" s="1"/>
  <c r="U17" i="113"/>
  <c r="O17" i="113"/>
  <c r="K17" i="113"/>
  <c r="G17" i="113"/>
  <c r="X16" i="113"/>
  <c r="W16" i="113"/>
  <c r="V16" i="113"/>
  <c r="M16" i="113" s="1"/>
  <c r="U16" i="113"/>
  <c r="O16" i="113"/>
  <c r="K16" i="113"/>
  <c r="G16" i="113"/>
  <c r="V15" i="113"/>
  <c r="M15" i="113" s="1"/>
  <c r="U15" i="113"/>
  <c r="O15" i="113"/>
  <c r="K15" i="113"/>
  <c r="G15" i="113"/>
  <c r="F1" i="113" s="1"/>
  <c r="V14" i="113"/>
  <c r="M14" i="113" s="1"/>
  <c r="U14" i="113"/>
  <c r="O14" i="113"/>
  <c r="K14" i="113"/>
  <c r="G14" i="113"/>
  <c r="V13" i="113"/>
  <c r="M13" i="113" s="1"/>
  <c r="O13" i="113"/>
  <c r="K13" i="113"/>
  <c r="G13" i="113"/>
  <c r="O12" i="113"/>
  <c r="K12" i="113"/>
  <c r="AB11" i="113"/>
  <c r="AA11" i="113"/>
  <c r="V11" i="113"/>
  <c r="U11" i="113"/>
  <c r="Q11" i="113"/>
  <c r="O11" i="113"/>
  <c r="N11" i="113"/>
  <c r="P11" i="113" s="1"/>
  <c r="M11" i="113"/>
  <c r="K11" i="113"/>
  <c r="G11" i="113"/>
  <c r="X10" i="113"/>
  <c r="W10" i="113"/>
  <c r="V10" i="113"/>
  <c r="U10" i="113"/>
  <c r="O10" i="113"/>
  <c r="M10" i="113"/>
  <c r="N10" i="113" s="1"/>
  <c r="K10" i="113"/>
  <c r="G10" i="113"/>
  <c r="V9" i="113"/>
  <c r="O9" i="113"/>
  <c r="M9" i="113"/>
  <c r="N9" i="113" s="1"/>
  <c r="K9" i="113"/>
  <c r="G9" i="113"/>
  <c r="O8" i="113"/>
  <c r="K8" i="113"/>
  <c r="V7" i="113"/>
  <c r="U7" i="113"/>
  <c r="O7" i="113"/>
  <c r="M7" i="113"/>
  <c r="AB7" i="113" s="1"/>
  <c r="K7" i="113"/>
  <c r="G7" i="113"/>
  <c r="V6" i="113"/>
  <c r="M6" i="113" s="1"/>
  <c r="U6" i="113"/>
  <c r="O6" i="113"/>
  <c r="K6" i="113"/>
  <c r="G6" i="113"/>
  <c r="V5" i="113"/>
  <c r="M5" i="113" s="1"/>
  <c r="O5" i="113"/>
  <c r="K5" i="113"/>
  <c r="G5" i="113"/>
  <c r="H2" i="113"/>
  <c r="H1" i="113"/>
  <c r="D1" i="113"/>
  <c r="M18" i="112"/>
  <c r="L18" i="112"/>
  <c r="K18" i="112"/>
  <c r="J18" i="112"/>
  <c r="I18" i="112"/>
  <c r="H18" i="112"/>
  <c r="G18" i="112"/>
  <c r="F18" i="112"/>
  <c r="E18" i="112"/>
  <c r="D18" i="112"/>
  <c r="M17" i="112"/>
  <c r="L17" i="112"/>
  <c r="K17" i="112"/>
  <c r="J17" i="112"/>
  <c r="I17" i="112"/>
  <c r="H17" i="112"/>
  <c r="G17" i="112"/>
  <c r="F17" i="112"/>
  <c r="E17" i="112"/>
  <c r="D17" i="112"/>
  <c r="M16" i="112"/>
  <c r="L16" i="112"/>
  <c r="K16" i="112"/>
  <c r="J16" i="112"/>
  <c r="I16" i="112"/>
  <c r="H16" i="112"/>
  <c r="G16" i="112"/>
  <c r="F16" i="112"/>
  <c r="E16" i="112"/>
  <c r="D16" i="112"/>
  <c r="M13" i="112"/>
  <c r="L13" i="112"/>
  <c r="K13" i="112"/>
  <c r="J13" i="112"/>
  <c r="I13" i="112"/>
  <c r="H13" i="112"/>
  <c r="F13" i="112"/>
  <c r="E13" i="112"/>
  <c r="D13" i="112"/>
  <c r="F3" i="112"/>
  <c r="C3" i="112"/>
  <c r="I6" i="112" l="1"/>
  <c r="AA26" i="113"/>
  <c r="N26" i="113"/>
  <c r="AB26" i="113"/>
  <c r="G6" i="112"/>
  <c r="N81" i="113"/>
  <c r="AB81" i="113"/>
  <c r="AA81" i="113"/>
  <c r="AB15" i="113"/>
  <c r="AA15" i="113"/>
  <c r="N15" i="113"/>
  <c r="AA13" i="113"/>
  <c r="M21" i="113"/>
  <c r="N13" i="113"/>
  <c r="AB13" i="113"/>
  <c r="N22" i="113"/>
  <c r="AB22" i="113"/>
  <c r="M27" i="113"/>
  <c r="AA22" i="113"/>
  <c r="AA36" i="113"/>
  <c r="N36" i="113"/>
  <c r="AB36" i="113"/>
  <c r="AB52" i="113"/>
  <c r="AA52" i="113"/>
  <c r="N52" i="113"/>
  <c r="AB77" i="113"/>
  <c r="AA77" i="113"/>
  <c r="N77" i="113"/>
  <c r="N66" i="113"/>
  <c r="AB66" i="113"/>
  <c r="AA66" i="113"/>
  <c r="P80" i="113"/>
  <c r="Q80" i="113"/>
  <c r="N35" i="113"/>
  <c r="AB35" i="113"/>
  <c r="AA35" i="113"/>
  <c r="M64" i="113"/>
  <c r="N58" i="113"/>
  <c r="AB58" i="113"/>
  <c r="AA58" i="113"/>
  <c r="AA16" i="113"/>
  <c r="N16" i="113"/>
  <c r="AB16" i="113"/>
  <c r="AB25" i="113"/>
  <c r="N25" i="113"/>
  <c r="AA25" i="113"/>
  <c r="Q71" i="113"/>
  <c r="P71" i="113"/>
  <c r="AB74" i="113"/>
  <c r="AA74" i="113"/>
  <c r="N74" i="113"/>
  <c r="AA14" i="113"/>
  <c r="N14" i="113"/>
  <c r="AB14" i="113"/>
  <c r="N23" i="113"/>
  <c r="AB23" i="113"/>
  <c r="AA23" i="113"/>
  <c r="AB37" i="113"/>
  <c r="N37" i="113"/>
  <c r="AA37" i="113"/>
  <c r="N78" i="113"/>
  <c r="AB78" i="113"/>
  <c r="AA78" i="113"/>
  <c r="P32" i="113"/>
  <c r="Q32" i="113"/>
  <c r="P46" i="113"/>
  <c r="Q46" i="113"/>
  <c r="AA50" i="113"/>
  <c r="N50" i="113"/>
  <c r="AB50" i="113"/>
  <c r="P10" i="113"/>
  <c r="Q10" i="113"/>
  <c r="AB18" i="113"/>
  <c r="AA18" i="113"/>
  <c r="N18" i="113"/>
  <c r="M8" i="113"/>
  <c r="AB5" i="113"/>
  <c r="AA5" i="113"/>
  <c r="N5" i="113"/>
  <c r="F2" i="113"/>
  <c r="I3" i="112"/>
  <c r="N59" i="113"/>
  <c r="AB59" i="113"/>
  <c r="AA59" i="113"/>
  <c r="Q61" i="113"/>
  <c r="P61" i="113"/>
  <c r="N67" i="113"/>
  <c r="AB67" i="113"/>
  <c r="AA67" i="113"/>
  <c r="AB51" i="113"/>
  <c r="AA51" i="113"/>
  <c r="N51" i="113"/>
  <c r="N65" i="113"/>
  <c r="M69" i="113"/>
  <c r="AB65" i="113"/>
  <c r="AA65" i="113"/>
  <c r="N79" i="113"/>
  <c r="AB79" i="113"/>
  <c r="AA79" i="113"/>
  <c r="P44" i="113"/>
  <c r="Q44" i="113"/>
  <c r="AA49" i="113"/>
  <c r="M57" i="113"/>
  <c r="N49" i="113"/>
  <c r="AB49" i="113"/>
  <c r="P68" i="113"/>
  <c r="Q68" i="113"/>
  <c r="P9" i="113"/>
  <c r="Q9" i="113"/>
  <c r="AB17" i="113"/>
  <c r="AA17" i="113"/>
  <c r="N17" i="113"/>
  <c r="AA24" i="113"/>
  <c r="N24" i="113"/>
  <c r="AB24" i="113"/>
  <c r="AA38" i="113"/>
  <c r="N38" i="113"/>
  <c r="AB38" i="113"/>
  <c r="AB6" i="113"/>
  <c r="AA6" i="113"/>
  <c r="N6" i="113"/>
  <c r="P34" i="113"/>
  <c r="Q34" i="113"/>
  <c r="N28" i="113"/>
  <c r="N31" i="113"/>
  <c r="N40" i="113"/>
  <c r="N43" i="113"/>
  <c r="N45" i="113"/>
  <c r="AA61" i="113"/>
  <c r="AB62" i="113"/>
  <c r="AA71" i="113"/>
  <c r="AB72" i="113"/>
  <c r="N7" i="113"/>
  <c r="N19" i="113"/>
  <c r="N29" i="113"/>
  <c r="M39" i="113"/>
  <c r="N41" i="113"/>
  <c r="N53" i="113"/>
  <c r="N55" i="113"/>
  <c r="N75" i="113"/>
  <c r="AA9" i="113"/>
  <c r="P20" i="113"/>
  <c r="P30" i="113"/>
  <c r="AA34" i="113"/>
  <c r="P42" i="113"/>
  <c r="P54" i="113"/>
  <c r="P56" i="113"/>
  <c r="AA68" i="113"/>
  <c r="P76" i="113"/>
  <c r="AA80" i="113"/>
  <c r="AB9" i="113"/>
  <c r="AB34" i="113"/>
  <c r="AB68" i="113"/>
  <c r="AB80" i="113"/>
  <c r="AA10" i="113"/>
  <c r="AA32" i="113"/>
  <c r="AA46" i="113"/>
  <c r="N62" i="113"/>
  <c r="N72" i="113"/>
  <c r="M82" i="113"/>
  <c r="AB10" i="113"/>
  <c r="AB32" i="113"/>
  <c r="AB46" i="113"/>
  <c r="M12" i="113"/>
  <c r="M48" i="113"/>
  <c r="E6" i="112"/>
  <c r="AA7" i="113"/>
  <c r="AA19" i="113"/>
  <c r="AA29" i="113"/>
  <c r="AA41" i="113"/>
  <c r="AA53" i="113"/>
  <c r="AA55" i="113"/>
  <c r="AA75" i="113"/>
  <c r="F6" i="112"/>
  <c r="P60" i="113"/>
  <c r="O76" i="111"/>
  <c r="K76" i="111"/>
  <c r="V75" i="111"/>
  <c r="M75" i="111" s="1"/>
  <c r="U75" i="111"/>
  <c r="O75" i="111"/>
  <c r="K75" i="111"/>
  <c r="G75" i="111"/>
  <c r="V74" i="111"/>
  <c r="M74" i="111" s="1"/>
  <c r="U74" i="111"/>
  <c r="O74" i="111"/>
  <c r="K74" i="111"/>
  <c r="G74" i="111"/>
  <c r="V73" i="111"/>
  <c r="M73" i="111" s="1"/>
  <c r="U73" i="111"/>
  <c r="O73" i="111"/>
  <c r="K73" i="111"/>
  <c r="G73" i="111"/>
  <c r="V72" i="111"/>
  <c r="M72" i="111" s="1"/>
  <c r="U72" i="111"/>
  <c r="O72" i="111"/>
  <c r="K72" i="111"/>
  <c r="G72" i="111"/>
  <c r="V71" i="111"/>
  <c r="M71" i="111" s="1"/>
  <c r="U71" i="111"/>
  <c r="O71" i="111"/>
  <c r="K71" i="111"/>
  <c r="G71" i="111"/>
  <c r="V70" i="111"/>
  <c r="U70" i="111"/>
  <c r="O70" i="111"/>
  <c r="M70" i="111"/>
  <c r="AB70" i="111" s="1"/>
  <c r="K70" i="111"/>
  <c r="G70" i="111"/>
  <c r="V69" i="111"/>
  <c r="U69" i="111"/>
  <c r="O69" i="111"/>
  <c r="M69" i="111"/>
  <c r="AB69" i="111" s="1"/>
  <c r="K69" i="111"/>
  <c r="G69" i="111"/>
  <c r="V68" i="111"/>
  <c r="U68" i="111"/>
  <c r="O68" i="111"/>
  <c r="N68" i="111"/>
  <c r="Q68" i="111" s="1"/>
  <c r="M68" i="111"/>
  <c r="AB68" i="111" s="1"/>
  <c r="K68" i="111"/>
  <c r="G68" i="111"/>
  <c r="V67" i="111"/>
  <c r="U67" i="111"/>
  <c r="O67" i="111"/>
  <c r="M67" i="111"/>
  <c r="AB67" i="111" s="1"/>
  <c r="K67" i="111"/>
  <c r="G67" i="111"/>
  <c r="X66" i="111"/>
  <c r="W66" i="111"/>
  <c r="V66" i="111"/>
  <c r="O66" i="111"/>
  <c r="M66" i="111"/>
  <c r="AB66" i="111" s="1"/>
  <c r="K66" i="111"/>
  <c r="G66" i="111"/>
  <c r="O65" i="111"/>
  <c r="K65" i="111"/>
  <c r="V64" i="111"/>
  <c r="M64" i="111" s="1"/>
  <c r="U64" i="111"/>
  <c r="O64" i="111"/>
  <c r="K64" i="111"/>
  <c r="G64" i="111"/>
  <c r="V63" i="111"/>
  <c r="M63" i="111" s="1"/>
  <c r="U63" i="111"/>
  <c r="O63" i="111"/>
  <c r="K63" i="111"/>
  <c r="G63" i="111"/>
  <c r="V62" i="111"/>
  <c r="M62" i="111" s="1"/>
  <c r="U62" i="111"/>
  <c r="O62" i="111"/>
  <c r="K62" i="111"/>
  <c r="G62" i="111"/>
  <c r="V61" i="111"/>
  <c r="M61" i="111" s="1"/>
  <c r="O61" i="111"/>
  <c r="K61" i="111"/>
  <c r="G61" i="111"/>
  <c r="O60" i="111"/>
  <c r="K60" i="111"/>
  <c r="V59" i="111"/>
  <c r="U59" i="111"/>
  <c r="O59" i="111"/>
  <c r="M59" i="111"/>
  <c r="AB59" i="111" s="1"/>
  <c r="K59" i="111"/>
  <c r="G59" i="111"/>
  <c r="V58" i="111"/>
  <c r="U58" i="111"/>
  <c r="O58" i="111"/>
  <c r="N58" i="111"/>
  <c r="Q58" i="111" s="1"/>
  <c r="M58" i="111"/>
  <c r="AB58" i="111" s="1"/>
  <c r="K58" i="111"/>
  <c r="G58" i="111"/>
  <c r="V57" i="111"/>
  <c r="U57" i="111"/>
  <c r="O57" i="111"/>
  <c r="M57" i="111"/>
  <c r="AB57" i="111" s="1"/>
  <c r="K57" i="111"/>
  <c r="G57" i="111"/>
  <c r="AB56" i="111"/>
  <c r="V56" i="111"/>
  <c r="U56" i="111"/>
  <c r="O56" i="111"/>
  <c r="N56" i="111"/>
  <c r="M56" i="111"/>
  <c r="AA56" i="111" s="1"/>
  <c r="K56" i="111"/>
  <c r="Q56" i="111" s="1"/>
  <c r="G56" i="111"/>
  <c r="AB55" i="111"/>
  <c r="AA55" i="111"/>
  <c r="V55" i="111"/>
  <c r="U55" i="111"/>
  <c r="P55" i="111"/>
  <c r="O55" i="111"/>
  <c r="N55" i="111"/>
  <c r="Q55" i="111" s="1"/>
  <c r="M55" i="111"/>
  <c r="K55" i="111"/>
  <c r="G55" i="111"/>
  <c r="AB54" i="111"/>
  <c r="AA54" i="111"/>
  <c r="V54" i="111"/>
  <c r="U54" i="111"/>
  <c r="O54" i="111"/>
  <c r="N54" i="111"/>
  <c r="M54" i="111"/>
  <c r="M60" i="111" s="1"/>
  <c r="K54" i="111"/>
  <c r="Q54" i="111" s="1"/>
  <c r="G54" i="111"/>
  <c r="O53" i="111"/>
  <c r="K53" i="111"/>
  <c r="V52" i="111"/>
  <c r="M52" i="111" s="1"/>
  <c r="U52" i="111"/>
  <c r="O52" i="111"/>
  <c r="K52" i="111"/>
  <c r="G52" i="111"/>
  <c r="AA51" i="111"/>
  <c r="V51" i="111"/>
  <c r="U51" i="111"/>
  <c r="O51" i="111"/>
  <c r="M51" i="111"/>
  <c r="N51" i="111" s="1"/>
  <c r="K51" i="111"/>
  <c r="G51" i="111"/>
  <c r="V50" i="111"/>
  <c r="M50" i="111" s="1"/>
  <c r="U50" i="111"/>
  <c r="O50" i="111"/>
  <c r="K50" i="111"/>
  <c r="G50" i="111"/>
  <c r="V49" i="111"/>
  <c r="U49" i="111"/>
  <c r="O49" i="111"/>
  <c r="M49" i="111"/>
  <c r="N49" i="111" s="1"/>
  <c r="K49" i="111"/>
  <c r="G49" i="111"/>
  <c r="V48" i="111"/>
  <c r="M48" i="111" s="1"/>
  <c r="U48" i="111"/>
  <c r="O48" i="111"/>
  <c r="K48" i="111"/>
  <c r="G48" i="111"/>
  <c r="X47" i="111"/>
  <c r="W47" i="111"/>
  <c r="V47" i="111"/>
  <c r="M47" i="111" s="1"/>
  <c r="O47" i="111"/>
  <c r="K47" i="111"/>
  <c r="G47" i="111"/>
  <c r="O46" i="111"/>
  <c r="K46" i="111"/>
  <c r="V45" i="111"/>
  <c r="M45" i="111" s="1"/>
  <c r="U45" i="111"/>
  <c r="O45" i="111"/>
  <c r="K45" i="111"/>
  <c r="G45" i="111"/>
  <c r="V44" i="111"/>
  <c r="U44" i="111"/>
  <c r="O44" i="111"/>
  <c r="M44" i="111"/>
  <c r="AB44" i="111" s="1"/>
  <c r="K44" i="111"/>
  <c r="G44" i="111"/>
  <c r="V43" i="111"/>
  <c r="M43" i="111" s="1"/>
  <c r="U43" i="111"/>
  <c r="O43" i="111"/>
  <c r="K43" i="111"/>
  <c r="G43" i="111"/>
  <c r="AA42" i="111"/>
  <c r="X42" i="111"/>
  <c r="W42" i="111"/>
  <c r="V42" i="111"/>
  <c r="U42" i="111"/>
  <c r="O42" i="111"/>
  <c r="M42" i="111"/>
  <c r="N42" i="111" s="1"/>
  <c r="K42" i="111"/>
  <c r="G42" i="111"/>
  <c r="V41" i="111"/>
  <c r="M41" i="111" s="1"/>
  <c r="U41" i="111"/>
  <c r="O41" i="111"/>
  <c r="K41" i="111"/>
  <c r="G41" i="111"/>
  <c r="AB40" i="111"/>
  <c r="AA40" i="111"/>
  <c r="V40" i="111"/>
  <c r="U40" i="111"/>
  <c r="O40" i="111"/>
  <c r="M40" i="111"/>
  <c r="N40" i="111" s="1"/>
  <c r="K40" i="111"/>
  <c r="G40" i="111"/>
  <c r="V39" i="111"/>
  <c r="M39" i="111" s="1"/>
  <c r="U39" i="111"/>
  <c r="O39" i="111"/>
  <c r="K39" i="111"/>
  <c r="G39" i="111"/>
  <c r="X38" i="111"/>
  <c r="W38" i="111"/>
  <c r="V38" i="111"/>
  <c r="M38" i="111" s="1"/>
  <c r="O38" i="111"/>
  <c r="K38" i="111"/>
  <c r="G38" i="111"/>
  <c r="O37" i="111"/>
  <c r="K37" i="111"/>
  <c r="V36" i="111"/>
  <c r="M36" i="111" s="1"/>
  <c r="U36" i="111"/>
  <c r="O36" i="111"/>
  <c r="K36" i="111"/>
  <c r="G36" i="111"/>
  <c r="V35" i="111"/>
  <c r="U35" i="111"/>
  <c r="O35" i="111"/>
  <c r="M35" i="111"/>
  <c r="N35" i="111" s="1"/>
  <c r="K35" i="111"/>
  <c r="G35" i="111"/>
  <c r="V34" i="111"/>
  <c r="M34" i="111" s="1"/>
  <c r="U34" i="111"/>
  <c r="O34" i="111"/>
  <c r="K34" i="111"/>
  <c r="G34" i="111"/>
  <c r="V33" i="111"/>
  <c r="U33" i="111"/>
  <c r="O33" i="111"/>
  <c r="M33" i="111"/>
  <c r="AB33" i="111" s="1"/>
  <c r="K33" i="111"/>
  <c r="G33" i="111"/>
  <c r="V32" i="111"/>
  <c r="M32" i="111" s="1"/>
  <c r="U32" i="111"/>
  <c r="O32" i="111"/>
  <c r="K32" i="111"/>
  <c r="G32" i="111"/>
  <c r="V31" i="111"/>
  <c r="M31" i="111" s="1"/>
  <c r="U31" i="111"/>
  <c r="O31" i="111"/>
  <c r="K31" i="111"/>
  <c r="G31" i="111"/>
  <c r="V30" i="111"/>
  <c r="U30" i="111"/>
  <c r="O30" i="111"/>
  <c r="M30" i="111"/>
  <c r="AB30" i="111" s="1"/>
  <c r="K30" i="111"/>
  <c r="G30" i="111"/>
  <c r="V29" i="111"/>
  <c r="M29" i="111" s="1"/>
  <c r="U29" i="111"/>
  <c r="O29" i="111"/>
  <c r="K29" i="111"/>
  <c r="G29" i="111"/>
  <c r="V28" i="111"/>
  <c r="M28" i="111" s="1"/>
  <c r="U28" i="111"/>
  <c r="O28" i="111"/>
  <c r="K28" i="111"/>
  <c r="G28" i="111"/>
  <c r="V27" i="111"/>
  <c r="M27" i="111" s="1"/>
  <c r="U27" i="111"/>
  <c r="O27" i="111"/>
  <c r="K27" i="111"/>
  <c r="G27" i="111"/>
  <c r="X26" i="111"/>
  <c r="W26" i="111"/>
  <c r="V26" i="111"/>
  <c r="M26" i="111" s="1"/>
  <c r="O26" i="111"/>
  <c r="K26" i="111"/>
  <c r="G26" i="111"/>
  <c r="O25" i="111"/>
  <c r="K25" i="111"/>
  <c r="V24" i="111"/>
  <c r="M24" i="111" s="1"/>
  <c r="U24" i="111"/>
  <c r="O24" i="111"/>
  <c r="K24" i="111"/>
  <c r="G24" i="111"/>
  <c r="V23" i="111"/>
  <c r="U23" i="111"/>
  <c r="O23" i="111"/>
  <c r="M23" i="111"/>
  <c r="N23" i="111" s="1"/>
  <c r="K23" i="111"/>
  <c r="G23" i="111"/>
  <c r="AB22" i="111"/>
  <c r="V22" i="111"/>
  <c r="U22" i="111"/>
  <c r="O22" i="111"/>
  <c r="N22" i="111"/>
  <c r="Q22" i="111" s="1"/>
  <c r="M22" i="111"/>
  <c r="AA22" i="111" s="1"/>
  <c r="K22" i="111"/>
  <c r="G22" i="111"/>
  <c r="V21" i="111"/>
  <c r="U21" i="111"/>
  <c r="O21" i="111"/>
  <c r="M21" i="111"/>
  <c r="AB21" i="111" s="1"/>
  <c r="K21" i="111"/>
  <c r="G21" i="111"/>
  <c r="V20" i="111"/>
  <c r="O20" i="111"/>
  <c r="M20" i="111"/>
  <c r="AB20" i="111" s="1"/>
  <c r="K20" i="111"/>
  <c r="G20" i="111"/>
  <c r="O19" i="111"/>
  <c r="K19" i="111"/>
  <c r="AA18" i="111"/>
  <c r="V18" i="111"/>
  <c r="U18" i="111"/>
  <c r="O18" i="111"/>
  <c r="M18" i="111"/>
  <c r="N18" i="111" s="1"/>
  <c r="K18" i="111"/>
  <c r="G18" i="111"/>
  <c r="V17" i="111"/>
  <c r="M17" i="111" s="1"/>
  <c r="U17" i="111"/>
  <c r="O17" i="111"/>
  <c r="K17" i="111"/>
  <c r="G17" i="111"/>
  <c r="V16" i="111"/>
  <c r="M16" i="111" s="1"/>
  <c r="U16" i="111"/>
  <c r="O16" i="111"/>
  <c r="K16" i="111"/>
  <c r="G16" i="111"/>
  <c r="V15" i="111"/>
  <c r="M15" i="111" s="1"/>
  <c r="U15" i="111"/>
  <c r="O15" i="111"/>
  <c r="K15" i="111"/>
  <c r="G15" i="111"/>
  <c r="X14" i="111"/>
  <c r="W14" i="111"/>
  <c r="V14" i="111"/>
  <c r="M14" i="111" s="1"/>
  <c r="U14" i="111"/>
  <c r="O14" i="111"/>
  <c r="K14" i="111"/>
  <c r="G14" i="111"/>
  <c r="V13" i="111"/>
  <c r="M13" i="111" s="1"/>
  <c r="U13" i="111"/>
  <c r="O13" i="111"/>
  <c r="K13" i="111"/>
  <c r="G13" i="111"/>
  <c r="V12" i="111"/>
  <c r="M12" i="111" s="1"/>
  <c r="O12" i="111"/>
  <c r="K12" i="111"/>
  <c r="G12" i="111"/>
  <c r="O11" i="111"/>
  <c r="K11" i="111"/>
  <c r="V10" i="111"/>
  <c r="U10" i="111"/>
  <c r="O10" i="111"/>
  <c r="M10" i="111"/>
  <c r="AB10" i="111" s="1"/>
  <c r="K10" i="111"/>
  <c r="G10" i="111"/>
  <c r="X9" i="111"/>
  <c r="W9" i="111"/>
  <c r="V9" i="111"/>
  <c r="O9" i="111"/>
  <c r="N9" i="111"/>
  <c r="Q9" i="111" s="1"/>
  <c r="M9" i="111"/>
  <c r="M11" i="111" s="1"/>
  <c r="K9" i="111"/>
  <c r="G9" i="111"/>
  <c r="O8" i="111"/>
  <c r="K8" i="111"/>
  <c r="V7" i="111"/>
  <c r="M7" i="111" s="1"/>
  <c r="U7" i="111"/>
  <c r="O7" i="111"/>
  <c r="K7" i="111"/>
  <c r="G7" i="111"/>
  <c r="V6" i="111"/>
  <c r="M6" i="111" s="1"/>
  <c r="U6" i="111"/>
  <c r="O6" i="111"/>
  <c r="K6" i="111"/>
  <c r="G6" i="111"/>
  <c r="V5" i="111"/>
  <c r="M5" i="111" s="1"/>
  <c r="O5" i="111"/>
  <c r="K5" i="111"/>
  <c r="G5" i="111"/>
  <c r="F1" i="111" s="1"/>
  <c r="H2" i="111"/>
  <c r="H1" i="111"/>
  <c r="D1" i="111"/>
  <c r="M18" i="110"/>
  <c r="L18" i="110"/>
  <c r="K18" i="110"/>
  <c r="J18" i="110"/>
  <c r="I18" i="110"/>
  <c r="H18" i="110"/>
  <c r="G18" i="110"/>
  <c r="F18" i="110"/>
  <c r="E18" i="110"/>
  <c r="D18" i="110"/>
  <c r="M17" i="110"/>
  <c r="L17" i="110"/>
  <c r="K17" i="110"/>
  <c r="J17" i="110"/>
  <c r="I17" i="110"/>
  <c r="H17" i="110"/>
  <c r="G17" i="110"/>
  <c r="F17" i="110"/>
  <c r="E17" i="110"/>
  <c r="D17" i="110"/>
  <c r="M16" i="110"/>
  <c r="L16" i="110"/>
  <c r="K16" i="110"/>
  <c r="J16" i="110"/>
  <c r="I16" i="110"/>
  <c r="H16" i="110"/>
  <c r="G16" i="110"/>
  <c r="F16" i="110"/>
  <c r="E16" i="110"/>
  <c r="D16" i="110"/>
  <c r="M13" i="110"/>
  <c r="L13" i="110"/>
  <c r="K13" i="110"/>
  <c r="J13" i="110"/>
  <c r="I13" i="110"/>
  <c r="H13" i="110"/>
  <c r="G13" i="110"/>
  <c r="E6" i="110" s="1"/>
  <c r="F13" i="110"/>
  <c r="E13" i="110"/>
  <c r="D13" i="110"/>
  <c r="G6" i="110" s="1"/>
  <c r="I6" i="110"/>
  <c r="F3" i="110"/>
  <c r="C3" i="110"/>
  <c r="Q7" i="113" l="1"/>
  <c r="P7" i="113"/>
  <c r="Q6" i="113"/>
  <c r="P6" i="113"/>
  <c r="Q79" i="113"/>
  <c r="P79" i="113"/>
  <c r="P78" i="113"/>
  <c r="Q78" i="113"/>
  <c r="AB64" i="113"/>
  <c r="AC58" i="113" s="1"/>
  <c r="AA64" i="113"/>
  <c r="N64" i="113"/>
  <c r="Q52" i="113"/>
  <c r="P52" i="113"/>
  <c r="N21" i="113"/>
  <c r="AB21" i="113"/>
  <c r="AC13" i="113" s="1"/>
  <c r="AA21" i="113"/>
  <c r="Q37" i="113"/>
  <c r="P37" i="113"/>
  <c r="Q15" i="113"/>
  <c r="P15" i="113"/>
  <c r="AA69" i="113"/>
  <c r="N69" i="113"/>
  <c r="AB69" i="113"/>
  <c r="AC65" i="113" s="1"/>
  <c r="Q59" i="113"/>
  <c r="P59" i="113"/>
  <c r="Q35" i="113"/>
  <c r="P35" i="113"/>
  <c r="AB48" i="113"/>
  <c r="AC40" i="113" s="1"/>
  <c r="N48" i="113"/>
  <c r="AA48" i="113"/>
  <c r="Q38" i="113"/>
  <c r="P38" i="113"/>
  <c r="P65" i="113"/>
  <c r="Q65" i="113"/>
  <c r="Q50" i="113"/>
  <c r="P50" i="113"/>
  <c r="Q25" i="113"/>
  <c r="P25" i="113"/>
  <c r="Q36" i="113"/>
  <c r="P36" i="113"/>
  <c r="AB12" i="113"/>
  <c r="AC9" i="113" s="1"/>
  <c r="N12" i="113"/>
  <c r="AA12" i="113"/>
  <c r="Q75" i="113"/>
  <c r="P75" i="113"/>
  <c r="Q45" i="113"/>
  <c r="P45" i="113"/>
  <c r="Q49" i="113"/>
  <c r="P49" i="113"/>
  <c r="Q51" i="113"/>
  <c r="P51" i="113"/>
  <c r="Q55" i="113"/>
  <c r="P55" i="113"/>
  <c r="Q43" i="113"/>
  <c r="P43" i="113"/>
  <c r="N57" i="113"/>
  <c r="AB57" i="113"/>
  <c r="AC49" i="113" s="1"/>
  <c r="AA57" i="113"/>
  <c r="Q5" i="113"/>
  <c r="P5" i="113"/>
  <c r="Q23" i="113"/>
  <c r="P23" i="113"/>
  <c r="Q53" i="113"/>
  <c r="P53" i="113"/>
  <c r="Q40" i="113"/>
  <c r="P40" i="113"/>
  <c r="Q24" i="113"/>
  <c r="P24" i="113"/>
  <c r="Q16" i="113"/>
  <c r="P16" i="113"/>
  <c r="AB27" i="113"/>
  <c r="AC22" i="113" s="1"/>
  <c r="AA27" i="113"/>
  <c r="N27" i="113"/>
  <c r="Q81" i="113"/>
  <c r="P81" i="113"/>
  <c r="Q41" i="113"/>
  <c r="P41" i="113"/>
  <c r="Q31" i="113"/>
  <c r="P31" i="113"/>
  <c r="Q14" i="113"/>
  <c r="P14" i="113"/>
  <c r="P66" i="113"/>
  <c r="Q66" i="113"/>
  <c r="AB82" i="113"/>
  <c r="AC70" i="113" s="1"/>
  <c r="AA82" i="113"/>
  <c r="N82" i="113"/>
  <c r="AB39" i="113"/>
  <c r="AC28" i="113" s="1"/>
  <c r="AA39" i="113"/>
  <c r="N39" i="113"/>
  <c r="Q28" i="113"/>
  <c r="P28" i="113"/>
  <c r="Q17" i="113"/>
  <c r="P17" i="113"/>
  <c r="AB8" i="113"/>
  <c r="AC5" i="113" s="1"/>
  <c r="AA8" i="113"/>
  <c r="N8" i="113"/>
  <c r="Q77" i="113"/>
  <c r="P77" i="113"/>
  <c r="Q22" i="113"/>
  <c r="P22" i="113"/>
  <c r="Q72" i="113"/>
  <c r="P72" i="113"/>
  <c r="Q29" i="113"/>
  <c r="P29" i="113"/>
  <c r="Q67" i="113"/>
  <c r="P67" i="113"/>
  <c r="Q18" i="113"/>
  <c r="P18" i="113"/>
  <c r="Q74" i="113"/>
  <c r="P74" i="113"/>
  <c r="Q26" i="113"/>
  <c r="P26" i="113"/>
  <c r="Q62" i="113"/>
  <c r="P62" i="113"/>
  <c r="Q19" i="113"/>
  <c r="P19" i="113"/>
  <c r="Q58" i="113"/>
  <c r="P58" i="113"/>
  <c r="Q13" i="113"/>
  <c r="P13" i="113"/>
  <c r="AB34" i="111"/>
  <c r="AA34" i="111"/>
  <c r="N34" i="111"/>
  <c r="AB32" i="111"/>
  <c r="AA32" i="111"/>
  <c r="N32" i="111"/>
  <c r="AA41" i="111"/>
  <c r="N41" i="111"/>
  <c r="AB41" i="111"/>
  <c r="N14" i="111"/>
  <c r="AB14" i="111"/>
  <c r="AA14" i="111"/>
  <c r="AB16" i="111"/>
  <c r="N16" i="111"/>
  <c r="AA16" i="111"/>
  <c r="Q23" i="111"/>
  <c r="P23" i="111"/>
  <c r="N45" i="111"/>
  <c r="AB45" i="111"/>
  <c r="AA45" i="111"/>
  <c r="N50" i="111"/>
  <c r="AB50" i="111"/>
  <c r="AA50" i="111"/>
  <c r="AB52" i="111"/>
  <c r="N52" i="111"/>
  <c r="AA52" i="111"/>
  <c r="Q35" i="111"/>
  <c r="P35" i="111"/>
  <c r="Q40" i="111"/>
  <c r="P40" i="111"/>
  <c r="AA43" i="111"/>
  <c r="N43" i="111"/>
  <c r="AB43" i="111"/>
  <c r="AB48" i="111"/>
  <c r="AA48" i="111"/>
  <c r="N48" i="111"/>
  <c r="AA62" i="111"/>
  <c r="N62" i="111"/>
  <c r="AB62" i="111"/>
  <c r="N39" i="111"/>
  <c r="AB39" i="111"/>
  <c r="AA39" i="111"/>
  <c r="N6" i="111"/>
  <c r="AA6" i="111"/>
  <c r="AB6" i="111"/>
  <c r="M19" i="111"/>
  <c r="AA12" i="111"/>
  <c r="N12" i="111"/>
  <c r="AB12" i="111"/>
  <c r="M37" i="111"/>
  <c r="N26" i="111"/>
  <c r="AB26" i="111"/>
  <c r="AA26" i="111"/>
  <c r="N28" i="111"/>
  <c r="AA28" i="111"/>
  <c r="AB28" i="111"/>
  <c r="Q42" i="111"/>
  <c r="P42" i="111"/>
  <c r="AB71" i="111"/>
  <c r="AA71" i="111"/>
  <c r="N71" i="111"/>
  <c r="I3" i="110"/>
  <c r="F2" i="111"/>
  <c r="N38" i="111"/>
  <c r="M46" i="111"/>
  <c r="AB38" i="111"/>
  <c r="AA38" i="111"/>
  <c r="P51" i="111"/>
  <c r="Q51" i="111"/>
  <c r="N17" i="111"/>
  <c r="AB17" i="111"/>
  <c r="AA17" i="111"/>
  <c r="AA74" i="111"/>
  <c r="N74" i="111"/>
  <c r="AB74" i="111"/>
  <c r="Q49" i="111"/>
  <c r="P49" i="111"/>
  <c r="N5" i="111"/>
  <c r="AA5" i="111"/>
  <c r="M8" i="111"/>
  <c r="AB5" i="111"/>
  <c r="AB63" i="111"/>
  <c r="N63" i="111"/>
  <c r="AA63" i="111"/>
  <c r="AA15" i="111"/>
  <c r="N15" i="111"/>
  <c r="AB15" i="111"/>
  <c r="AA29" i="111"/>
  <c r="N29" i="111"/>
  <c r="AB29" i="111"/>
  <c r="AB60" i="111"/>
  <c r="AC54" i="111" s="1"/>
  <c r="AA60" i="111"/>
  <c r="N60" i="111"/>
  <c r="N72" i="111"/>
  <c r="AB72" i="111"/>
  <c r="AA72" i="111"/>
  <c r="AA7" i="111"/>
  <c r="N7" i="111"/>
  <c r="AB7" i="111"/>
  <c r="N31" i="111"/>
  <c r="AB31" i="111"/>
  <c r="AA31" i="111"/>
  <c r="AA13" i="111"/>
  <c r="N13" i="111"/>
  <c r="AB13" i="111"/>
  <c r="Q18" i="111"/>
  <c r="P18" i="111"/>
  <c r="N24" i="111"/>
  <c r="AB24" i="111"/>
  <c r="AA24" i="111"/>
  <c r="AA61" i="111"/>
  <c r="N61" i="111"/>
  <c r="M65" i="111"/>
  <c r="AB61" i="111"/>
  <c r="N47" i="111"/>
  <c r="AB47" i="111"/>
  <c r="AA47" i="111"/>
  <c r="M53" i="111"/>
  <c r="AB11" i="111"/>
  <c r="AC9" i="111" s="1"/>
  <c r="AA11" i="111"/>
  <c r="N11" i="111"/>
  <c r="N27" i="111"/>
  <c r="AB27" i="111"/>
  <c r="AA27" i="111"/>
  <c r="N36" i="111"/>
  <c r="AB36" i="111"/>
  <c r="AA36" i="111"/>
  <c r="AB75" i="111"/>
  <c r="N75" i="111"/>
  <c r="AA75" i="111"/>
  <c r="N64" i="111"/>
  <c r="AB64" i="111"/>
  <c r="AA64" i="111"/>
  <c r="N73" i="111"/>
  <c r="AB73" i="111"/>
  <c r="AA73" i="111"/>
  <c r="AB18" i="111"/>
  <c r="N20" i="111"/>
  <c r="N21" i="111"/>
  <c r="N33" i="111"/>
  <c r="AB42" i="111"/>
  <c r="N70" i="111"/>
  <c r="P9" i="111"/>
  <c r="N10" i="111"/>
  <c r="P22" i="111"/>
  <c r="N59" i="111"/>
  <c r="N66" i="111"/>
  <c r="N69" i="111"/>
  <c r="N30" i="111"/>
  <c r="N44" i="111"/>
  <c r="AB51" i="111"/>
  <c r="N57" i="111"/>
  <c r="N67" i="111"/>
  <c r="AA23" i="111"/>
  <c r="AA35" i="111"/>
  <c r="AA49" i="111"/>
  <c r="P58" i="111"/>
  <c r="P68" i="111"/>
  <c r="M76" i="111"/>
  <c r="AB23" i="111"/>
  <c r="AB35" i="111"/>
  <c r="AB49" i="111"/>
  <c r="AA20" i="111"/>
  <c r="AA21" i="111"/>
  <c r="M25" i="111"/>
  <c r="AA33" i="111"/>
  <c r="P54" i="111"/>
  <c r="P56" i="111"/>
  <c r="AA70" i="111"/>
  <c r="AA9" i="111"/>
  <c r="AA10" i="111"/>
  <c r="AA59" i="111"/>
  <c r="AA69" i="111"/>
  <c r="AB9" i="111"/>
  <c r="AA58" i="111"/>
  <c r="AA68" i="111"/>
  <c r="AA30" i="111"/>
  <c r="AA44" i="111"/>
  <c r="AA57" i="111"/>
  <c r="AA66" i="111"/>
  <c r="AA67" i="111"/>
  <c r="F6" i="110"/>
  <c r="D2" i="113" l="1"/>
  <c r="D14" i="112"/>
  <c r="Q8" i="113"/>
  <c r="R5" i="113" s="1"/>
  <c r="P8" i="113"/>
  <c r="I14" i="112"/>
  <c r="I15" i="112" s="1"/>
  <c r="Q64" i="113"/>
  <c r="R58" i="113" s="1"/>
  <c r="P64" i="113"/>
  <c r="Q69" i="113"/>
  <c r="R65" i="113" s="1"/>
  <c r="P69" i="113"/>
  <c r="J14" i="112"/>
  <c r="J15" i="112" s="1"/>
  <c r="P57" i="113"/>
  <c r="H14" i="112"/>
  <c r="H15" i="112" s="1"/>
  <c r="Q57" i="113"/>
  <c r="R49" i="113" s="1"/>
  <c r="Q12" i="113"/>
  <c r="R9" i="113" s="1"/>
  <c r="P12" i="113"/>
  <c r="E14" i="112"/>
  <c r="E15" i="112" s="1"/>
  <c r="K14" i="112"/>
  <c r="Q39" i="113"/>
  <c r="R28" i="113" s="1"/>
  <c r="P39" i="113"/>
  <c r="Q48" i="113"/>
  <c r="R40" i="113" s="1"/>
  <c r="P48" i="113"/>
  <c r="L14" i="112"/>
  <c r="L15" i="112" s="1"/>
  <c r="Q82" i="113"/>
  <c r="R70" i="113" s="1"/>
  <c r="M14" i="112"/>
  <c r="M15" i="112" s="1"/>
  <c r="P82" i="113"/>
  <c r="P21" i="113"/>
  <c r="F14" i="112"/>
  <c r="F15" i="112" s="1"/>
  <c r="Q21" i="113"/>
  <c r="R13" i="113" s="1"/>
  <c r="G14" i="112"/>
  <c r="G15" i="112" s="1"/>
  <c r="Q27" i="113"/>
  <c r="R22" i="113" s="1"/>
  <c r="P27" i="113"/>
  <c r="Q10" i="111"/>
  <c r="P10" i="111"/>
  <c r="Q48" i="111"/>
  <c r="P48" i="111"/>
  <c r="P70" i="111"/>
  <c r="Q70" i="111"/>
  <c r="N53" i="111"/>
  <c r="AA53" i="111"/>
  <c r="AB53" i="111"/>
  <c r="AC47" i="111" s="1"/>
  <c r="Q72" i="111"/>
  <c r="P72" i="111"/>
  <c r="Q17" i="111"/>
  <c r="P17" i="111"/>
  <c r="AB19" i="111"/>
  <c r="AC12" i="111" s="1"/>
  <c r="AA19" i="111"/>
  <c r="N19" i="111"/>
  <c r="Q14" i="111"/>
  <c r="P14" i="111"/>
  <c r="Q75" i="111"/>
  <c r="P75" i="111"/>
  <c r="Q60" i="111"/>
  <c r="R54" i="111" s="1"/>
  <c r="I14" i="110"/>
  <c r="I15" i="110" s="1"/>
  <c r="P60" i="111"/>
  <c r="P50" i="111"/>
  <c r="Q50" i="111"/>
  <c r="Q57" i="111"/>
  <c r="P57" i="111"/>
  <c r="P33" i="111"/>
  <c r="Q33" i="111"/>
  <c r="P13" i="111"/>
  <c r="Q13" i="111"/>
  <c r="N8" i="111"/>
  <c r="AB8" i="111"/>
  <c r="AC5" i="111" s="1"/>
  <c r="AA8" i="111"/>
  <c r="Q43" i="111"/>
  <c r="P43" i="111"/>
  <c r="Q41" i="111"/>
  <c r="P41" i="111"/>
  <c r="P21" i="111"/>
  <c r="Q21" i="111"/>
  <c r="P47" i="111"/>
  <c r="Q47" i="111"/>
  <c r="Q6" i="111"/>
  <c r="P6" i="111"/>
  <c r="Q64" i="111"/>
  <c r="P64" i="111"/>
  <c r="Q44" i="111"/>
  <c r="P44" i="111"/>
  <c r="P20" i="111"/>
  <c r="Q20" i="111"/>
  <c r="Q5" i="111"/>
  <c r="P5" i="111"/>
  <c r="Q28" i="111"/>
  <c r="P28" i="111"/>
  <c r="Q45" i="111"/>
  <c r="P45" i="111"/>
  <c r="Q32" i="111"/>
  <c r="P32" i="111"/>
  <c r="Q30" i="111"/>
  <c r="P30" i="111"/>
  <c r="P36" i="111"/>
  <c r="Q36" i="111"/>
  <c r="AB65" i="111"/>
  <c r="AC61" i="111" s="1"/>
  <c r="AA65" i="111"/>
  <c r="N65" i="111"/>
  <c r="Q29" i="111"/>
  <c r="P29" i="111"/>
  <c r="AB46" i="111"/>
  <c r="AC38" i="111" s="1"/>
  <c r="AA46" i="111"/>
  <c r="N46" i="111"/>
  <c r="Q63" i="111"/>
  <c r="P63" i="111"/>
  <c r="Q67" i="111"/>
  <c r="P67" i="111"/>
  <c r="Q69" i="111"/>
  <c r="P69" i="111"/>
  <c r="P61" i="111"/>
  <c r="Q61" i="111"/>
  <c r="Q31" i="111"/>
  <c r="P31" i="111"/>
  <c r="Q38" i="111"/>
  <c r="P38" i="111"/>
  <c r="Q39" i="111"/>
  <c r="P39" i="111"/>
  <c r="P24" i="111"/>
  <c r="Q24" i="111"/>
  <c r="AB76" i="111"/>
  <c r="AC66" i="111" s="1"/>
  <c r="AA76" i="111"/>
  <c r="N76" i="111"/>
  <c r="Q66" i="111"/>
  <c r="P66" i="111"/>
  <c r="Q26" i="111"/>
  <c r="P26" i="111"/>
  <c r="Q34" i="111"/>
  <c r="P34" i="111"/>
  <c r="Q59" i="111"/>
  <c r="P59" i="111"/>
  <c r="P73" i="111"/>
  <c r="Q73" i="111"/>
  <c r="Q27" i="111"/>
  <c r="P27" i="111"/>
  <c r="Q7" i="111"/>
  <c r="P7" i="111"/>
  <c r="P15" i="111"/>
  <c r="Q15" i="111"/>
  <c r="P74" i="111"/>
  <c r="Q74" i="111"/>
  <c r="N37" i="111"/>
  <c r="AA37" i="111"/>
  <c r="AB37" i="111"/>
  <c r="AC26" i="111" s="1"/>
  <c r="P62" i="111"/>
  <c r="Q62" i="111"/>
  <c r="Q16" i="111"/>
  <c r="P16" i="111"/>
  <c r="P12" i="111"/>
  <c r="Q12" i="111"/>
  <c r="N25" i="111"/>
  <c r="AA25" i="111"/>
  <c r="AB25" i="111"/>
  <c r="AC20" i="111" s="1"/>
  <c r="E14" i="110"/>
  <c r="E15" i="110" s="1"/>
  <c r="Q11" i="111"/>
  <c r="R9" i="111" s="1"/>
  <c r="P11" i="111"/>
  <c r="Q71" i="111"/>
  <c r="P71" i="111"/>
  <c r="Q52" i="111"/>
  <c r="P52" i="111"/>
  <c r="K15" i="112" l="1"/>
  <c r="I8" i="112" s="1"/>
  <c r="I7" i="112"/>
  <c r="D15" i="112"/>
  <c r="G7" i="112"/>
  <c r="F7" i="112"/>
  <c r="E7" i="112"/>
  <c r="D14" i="110"/>
  <c r="Q8" i="111"/>
  <c r="R5" i="111" s="1"/>
  <c r="P8" i="111"/>
  <c r="D2" i="111"/>
  <c r="H14" i="110"/>
  <c r="H15" i="110" s="1"/>
  <c r="Q53" i="111"/>
  <c r="R47" i="111" s="1"/>
  <c r="P53" i="111"/>
  <c r="M14" i="110"/>
  <c r="M15" i="110" s="1"/>
  <c r="Q76" i="111"/>
  <c r="R66" i="111" s="1"/>
  <c r="P76" i="111"/>
  <c r="Q65" i="111"/>
  <c r="R61" i="111" s="1"/>
  <c r="P65" i="111"/>
  <c r="J14" i="110"/>
  <c r="J15" i="110" s="1"/>
  <c r="Q37" i="111"/>
  <c r="R26" i="111" s="1"/>
  <c r="P37" i="111"/>
  <c r="K14" i="110"/>
  <c r="F14" i="110"/>
  <c r="F15" i="110" s="1"/>
  <c r="Q19" i="111"/>
  <c r="R12" i="111" s="1"/>
  <c r="P19" i="111"/>
  <c r="P46" i="111"/>
  <c r="Q46" i="111"/>
  <c r="R38" i="111" s="1"/>
  <c r="L14" i="110"/>
  <c r="L15" i="110" s="1"/>
  <c r="Q25" i="111"/>
  <c r="R20" i="111" s="1"/>
  <c r="G14" i="110"/>
  <c r="G15" i="110" s="1"/>
  <c r="P25" i="111"/>
  <c r="G8" i="112" l="1"/>
  <c r="E8" i="112"/>
  <c r="F8" i="112"/>
  <c r="I7" i="110"/>
  <c r="K15" i="110"/>
  <c r="I8" i="110" s="1"/>
  <c r="D15" i="110"/>
  <c r="G7" i="110"/>
  <c r="F7" i="110"/>
  <c r="E7" i="110"/>
  <c r="G8" i="110" l="1"/>
  <c r="F8" i="110"/>
  <c r="E8" i="110"/>
  <c r="O63" i="109" l="1"/>
  <c r="K63" i="109"/>
  <c r="V62" i="109"/>
  <c r="M62" i="109" s="1"/>
  <c r="U62" i="109"/>
  <c r="O62" i="109"/>
  <c r="K62" i="109"/>
  <c r="G62" i="109"/>
  <c r="V61" i="109"/>
  <c r="M61" i="109" s="1"/>
  <c r="U61" i="109"/>
  <c r="O61" i="109"/>
  <c r="K61" i="109"/>
  <c r="G61" i="109"/>
  <c r="V60" i="109"/>
  <c r="M60" i="109" s="1"/>
  <c r="U60" i="109"/>
  <c r="O60" i="109"/>
  <c r="K60" i="109"/>
  <c r="G60" i="109"/>
  <c r="V59" i="109"/>
  <c r="M59" i="109" s="1"/>
  <c r="U59" i="109"/>
  <c r="O59" i="109"/>
  <c r="K59" i="109"/>
  <c r="G59" i="109"/>
  <c r="V58" i="109"/>
  <c r="M58" i="109" s="1"/>
  <c r="U58" i="109"/>
  <c r="O58" i="109"/>
  <c r="K58" i="109"/>
  <c r="G58" i="109"/>
  <c r="V57" i="109"/>
  <c r="U57" i="109"/>
  <c r="O57" i="109"/>
  <c r="N57" i="109"/>
  <c r="Q57" i="109" s="1"/>
  <c r="M57" i="109"/>
  <c r="AB57" i="109" s="1"/>
  <c r="K57" i="109"/>
  <c r="G57" i="109"/>
  <c r="X56" i="109"/>
  <c r="W56" i="109"/>
  <c r="V56" i="109"/>
  <c r="M56" i="109" s="1"/>
  <c r="O56" i="109"/>
  <c r="K56" i="109"/>
  <c r="G56" i="109"/>
  <c r="O55" i="109"/>
  <c r="M55" i="109"/>
  <c r="AB55" i="109" s="1"/>
  <c r="AC51" i="109" s="1"/>
  <c r="K55" i="109"/>
  <c r="V54" i="109"/>
  <c r="U54" i="109"/>
  <c r="O54" i="109"/>
  <c r="N54" i="109"/>
  <c r="Q54" i="109" s="1"/>
  <c r="M54" i="109"/>
  <c r="AB54" i="109" s="1"/>
  <c r="K54" i="109"/>
  <c r="G54" i="109"/>
  <c r="V53" i="109"/>
  <c r="U53" i="109"/>
  <c r="O53" i="109"/>
  <c r="M53" i="109"/>
  <c r="AA53" i="109" s="1"/>
  <c r="K53" i="109"/>
  <c r="G53" i="109"/>
  <c r="AB52" i="109"/>
  <c r="V52" i="109"/>
  <c r="U52" i="109"/>
  <c r="O52" i="109"/>
  <c r="M52" i="109"/>
  <c r="N52" i="109" s="1"/>
  <c r="K52" i="109"/>
  <c r="G52" i="109"/>
  <c r="AB51" i="109"/>
  <c r="V51" i="109"/>
  <c r="O51" i="109"/>
  <c r="M51" i="109"/>
  <c r="N51" i="109" s="1"/>
  <c r="K51" i="109"/>
  <c r="G51" i="109"/>
  <c r="O50" i="109"/>
  <c r="K50" i="109"/>
  <c r="V49" i="109"/>
  <c r="M49" i="109" s="1"/>
  <c r="U49" i="109"/>
  <c r="O49" i="109"/>
  <c r="K49" i="109"/>
  <c r="G49" i="109"/>
  <c r="V48" i="109"/>
  <c r="M48" i="109" s="1"/>
  <c r="U48" i="109"/>
  <c r="O48" i="109"/>
  <c r="K48" i="109"/>
  <c r="G48" i="109"/>
  <c r="V47" i="109"/>
  <c r="U47" i="109"/>
  <c r="O47" i="109"/>
  <c r="N47" i="109"/>
  <c r="Q47" i="109" s="1"/>
  <c r="M47" i="109"/>
  <c r="AB47" i="109" s="1"/>
  <c r="K47" i="109"/>
  <c r="G47" i="109"/>
  <c r="V46" i="109"/>
  <c r="U46" i="109"/>
  <c r="O46" i="109"/>
  <c r="M46" i="109"/>
  <c r="AB46" i="109" s="1"/>
  <c r="K46" i="109"/>
  <c r="G46" i="109"/>
  <c r="V45" i="109"/>
  <c r="U45" i="109"/>
  <c r="O45" i="109"/>
  <c r="N45" i="109"/>
  <c r="Q45" i="109" s="1"/>
  <c r="M45" i="109"/>
  <c r="AB45" i="109" s="1"/>
  <c r="K45" i="109"/>
  <c r="P45" i="109" s="1"/>
  <c r="G45" i="109"/>
  <c r="V44" i="109"/>
  <c r="O44" i="109"/>
  <c r="N44" i="109"/>
  <c r="Q44" i="109" s="1"/>
  <c r="M44" i="109"/>
  <c r="AB44" i="109" s="1"/>
  <c r="K44" i="109"/>
  <c r="P44" i="109" s="1"/>
  <c r="G44" i="109"/>
  <c r="M43" i="109"/>
  <c r="AB43" i="109" s="1"/>
  <c r="AC37" i="109" s="1"/>
  <c r="L43" i="109"/>
  <c r="O43" i="109" s="1"/>
  <c r="K43" i="109"/>
  <c r="I43" i="109"/>
  <c r="AB42" i="109"/>
  <c r="AA42" i="109"/>
  <c r="V42" i="109"/>
  <c r="U42" i="109"/>
  <c r="Q42" i="109"/>
  <c r="AB41" i="109"/>
  <c r="AA41" i="109"/>
  <c r="V41" i="109"/>
  <c r="U41" i="109"/>
  <c r="Q41" i="109"/>
  <c r="AB40" i="109"/>
  <c r="AA40" i="109"/>
  <c r="V40" i="109"/>
  <c r="U40" i="109"/>
  <c r="Q40" i="109"/>
  <c r="AB39" i="109"/>
  <c r="AA39" i="109"/>
  <c r="V39" i="109"/>
  <c r="U39" i="109"/>
  <c r="Q39" i="109"/>
  <c r="AB38" i="109"/>
  <c r="AA38" i="109"/>
  <c r="V38" i="109"/>
  <c r="U38" i="109"/>
  <c r="Q38" i="109"/>
  <c r="AB37" i="109"/>
  <c r="AA37" i="109"/>
  <c r="X37" i="109"/>
  <c r="W37" i="109"/>
  <c r="V37" i="109"/>
  <c r="Q37" i="109"/>
  <c r="O36" i="109"/>
  <c r="K36" i="109"/>
  <c r="V35" i="109"/>
  <c r="M35" i="109" s="1"/>
  <c r="U35" i="109"/>
  <c r="O35" i="109"/>
  <c r="K35" i="109"/>
  <c r="G35" i="109"/>
  <c r="V34" i="109"/>
  <c r="U34" i="109"/>
  <c r="O34" i="109"/>
  <c r="M34" i="109"/>
  <c r="AB34" i="109" s="1"/>
  <c r="K34" i="109"/>
  <c r="G34" i="109"/>
  <c r="V33" i="109"/>
  <c r="U33" i="109"/>
  <c r="O33" i="109"/>
  <c r="N33" i="109"/>
  <c r="Q33" i="109" s="1"/>
  <c r="M33" i="109"/>
  <c r="AB33" i="109" s="1"/>
  <c r="K33" i="109"/>
  <c r="P33" i="109" s="1"/>
  <c r="G33" i="109"/>
  <c r="X32" i="109"/>
  <c r="W32" i="109"/>
  <c r="V32" i="109"/>
  <c r="M32" i="109" s="1"/>
  <c r="O32" i="109"/>
  <c r="K32" i="109"/>
  <c r="G32" i="109"/>
  <c r="O31" i="109"/>
  <c r="K31" i="109"/>
  <c r="AB30" i="109"/>
  <c r="V30" i="109"/>
  <c r="U30" i="109"/>
  <c r="O30" i="109"/>
  <c r="M30" i="109"/>
  <c r="N30" i="109" s="1"/>
  <c r="K30" i="109"/>
  <c r="G30" i="109"/>
  <c r="AA29" i="109"/>
  <c r="X29" i="109"/>
  <c r="W29" i="109"/>
  <c r="V29" i="109"/>
  <c r="U29" i="109"/>
  <c r="O29" i="109"/>
  <c r="N29" i="109"/>
  <c r="Q29" i="109" s="1"/>
  <c r="M29" i="109"/>
  <c r="AB29" i="109" s="1"/>
  <c r="K29" i="109"/>
  <c r="G29" i="109"/>
  <c r="AB28" i="109"/>
  <c r="V28" i="109"/>
  <c r="U28" i="109"/>
  <c r="O28" i="109"/>
  <c r="M28" i="109"/>
  <c r="N28" i="109" s="1"/>
  <c r="K28" i="109"/>
  <c r="G28" i="109"/>
  <c r="AB27" i="109"/>
  <c r="AA27" i="109"/>
  <c r="V27" i="109"/>
  <c r="U27" i="109"/>
  <c r="O27" i="109"/>
  <c r="N27" i="109"/>
  <c r="Q27" i="109" s="1"/>
  <c r="M27" i="109"/>
  <c r="K27" i="109"/>
  <c r="G27" i="109"/>
  <c r="V26" i="109"/>
  <c r="M26" i="109" s="1"/>
  <c r="U26" i="109"/>
  <c r="O26" i="109"/>
  <c r="K26" i="109"/>
  <c r="G26" i="109"/>
  <c r="V25" i="109"/>
  <c r="M25" i="109" s="1"/>
  <c r="U25" i="109"/>
  <c r="O25" i="109"/>
  <c r="K25" i="109"/>
  <c r="G25" i="109"/>
  <c r="V24" i="109"/>
  <c r="M24" i="109" s="1"/>
  <c r="U24" i="109"/>
  <c r="O24" i="109"/>
  <c r="K24" i="109"/>
  <c r="G24" i="109"/>
  <c r="X23" i="109"/>
  <c r="W23" i="109"/>
  <c r="V23" i="109"/>
  <c r="M23" i="109" s="1"/>
  <c r="O23" i="109"/>
  <c r="K23" i="109"/>
  <c r="G23" i="109"/>
  <c r="O22" i="109"/>
  <c r="K22" i="109"/>
  <c r="V21" i="109"/>
  <c r="M21" i="109" s="1"/>
  <c r="U21" i="109"/>
  <c r="O21" i="109"/>
  <c r="K21" i="109"/>
  <c r="G21" i="109"/>
  <c r="V20" i="109"/>
  <c r="U20" i="109"/>
  <c r="O20" i="109"/>
  <c r="M20" i="109"/>
  <c r="AB20" i="109" s="1"/>
  <c r="K20" i="109"/>
  <c r="G20" i="109"/>
  <c r="V19" i="109"/>
  <c r="U19" i="109"/>
  <c r="O19" i="109"/>
  <c r="N19" i="109"/>
  <c r="Q19" i="109" s="1"/>
  <c r="M19" i="109"/>
  <c r="AB19" i="109" s="1"/>
  <c r="K19" i="109"/>
  <c r="P19" i="109" s="1"/>
  <c r="G19" i="109"/>
  <c r="V18" i="109"/>
  <c r="U18" i="109"/>
  <c r="O18" i="109"/>
  <c r="M18" i="109"/>
  <c r="AB18" i="109" s="1"/>
  <c r="K18" i="109"/>
  <c r="G18" i="109"/>
  <c r="V17" i="109"/>
  <c r="O17" i="109"/>
  <c r="M17" i="109"/>
  <c r="AB17" i="109" s="1"/>
  <c r="K17" i="109"/>
  <c r="G17" i="109"/>
  <c r="O16" i="109"/>
  <c r="K16" i="109"/>
  <c r="V15" i="109"/>
  <c r="M15" i="109" s="1"/>
  <c r="U15" i="109"/>
  <c r="O15" i="109"/>
  <c r="K15" i="109"/>
  <c r="G15" i="109"/>
  <c r="V14" i="109"/>
  <c r="M14" i="109" s="1"/>
  <c r="U14" i="109"/>
  <c r="O14" i="109"/>
  <c r="K14" i="109"/>
  <c r="G14" i="109"/>
  <c r="V13" i="109"/>
  <c r="M13" i="109" s="1"/>
  <c r="U13" i="109"/>
  <c r="O13" i="109"/>
  <c r="K13" i="109"/>
  <c r="G13" i="109"/>
  <c r="V12" i="109"/>
  <c r="M12" i="109" s="1"/>
  <c r="U12" i="109"/>
  <c r="O12" i="109"/>
  <c r="K12" i="109"/>
  <c r="G12" i="109"/>
  <c r="V11" i="109"/>
  <c r="M11" i="109" s="1"/>
  <c r="O11" i="109"/>
  <c r="K11" i="109"/>
  <c r="G11" i="109"/>
  <c r="O10" i="109"/>
  <c r="M10" i="109"/>
  <c r="AB10" i="109" s="1"/>
  <c r="AC9" i="109" s="1"/>
  <c r="K10" i="109"/>
  <c r="E13" i="108" s="1"/>
  <c r="E6" i="108" s="1"/>
  <c r="V9" i="109"/>
  <c r="O9" i="109"/>
  <c r="M9" i="109"/>
  <c r="AB9" i="109" s="1"/>
  <c r="K9" i="109"/>
  <c r="G9" i="109"/>
  <c r="F1" i="109" s="1"/>
  <c r="O8" i="109"/>
  <c r="K8" i="109"/>
  <c r="V7" i="109"/>
  <c r="M7" i="109" s="1"/>
  <c r="U7" i="109"/>
  <c r="O7" i="109"/>
  <c r="K7" i="109"/>
  <c r="G7" i="109"/>
  <c r="V6" i="109"/>
  <c r="M6" i="109" s="1"/>
  <c r="U6" i="109"/>
  <c r="O6" i="109"/>
  <c r="K6" i="109"/>
  <c r="G6" i="109"/>
  <c r="V5" i="109"/>
  <c r="M5" i="109" s="1"/>
  <c r="O5" i="109"/>
  <c r="K5" i="109"/>
  <c r="G5" i="109"/>
  <c r="H2" i="109"/>
  <c r="H1" i="109"/>
  <c r="D1" i="109"/>
  <c r="M18" i="108"/>
  <c r="L18" i="108"/>
  <c r="K18" i="108"/>
  <c r="J18" i="108"/>
  <c r="I18" i="108"/>
  <c r="H18" i="108"/>
  <c r="G18" i="108"/>
  <c r="F18" i="108"/>
  <c r="E18" i="108"/>
  <c r="D18" i="108"/>
  <c r="M17" i="108"/>
  <c r="L17" i="108"/>
  <c r="K17" i="108"/>
  <c r="J17" i="108"/>
  <c r="I17" i="108"/>
  <c r="H17" i="108"/>
  <c r="G17" i="108"/>
  <c r="F17" i="108"/>
  <c r="E17" i="108"/>
  <c r="D17" i="108"/>
  <c r="M16" i="108"/>
  <c r="L16" i="108"/>
  <c r="K16" i="108"/>
  <c r="J16" i="108"/>
  <c r="I16" i="108"/>
  <c r="H16" i="108"/>
  <c r="G16" i="108"/>
  <c r="F16" i="108"/>
  <c r="E16" i="108"/>
  <c r="D16" i="108"/>
  <c r="M13" i="108"/>
  <c r="L13" i="108"/>
  <c r="K13" i="108"/>
  <c r="I6" i="108" s="1"/>
  <c r="J13" i="108"/>
  <c r="I13" i="108"/>
  <c r="H13" i="108"/>
  <c r="G13" i="108"/>
  <c r="F13" i="108"/>
  <c r="D13" i="108"/>
  <c r="F3" i="108"/>
  <c r="C3" i="108"/>
  <c r="N23" i="109" l="1"/>
  <c r="AB23" i="109"/>
  <c r="AA23" i="109"/>
  <c r="M31" i="109"/>
  <c r="N5" i="109"/>
  <c r="M8" i="109"/>
  <c r="AB5" i="109"/>
  <c r="AA5" i="109"/>
  <c r="N26" i="109"/>
  <c r="AB26" i="109"/>
  <c r="AA26" i="109"/>
  <c r="Q28" i="109"/>
  <c r="P28" i="109"/>
  <c r="N49" i="109"/>
  <c r="AB49" i="109"/>
  <c r="AA49" i="109"/>
  <c r="N14" i="109"/>
  <c r="AB14" i="109"/>
  <c r="AA14" i="109"/>
  <c r="N24" i="109"/>
  <c r="AB24" i="109"/>
  <c r="AA24" i="109"/>
  <c r="N6" i="109"/>
  <c r="AB6" i="109"/>
  <c r="AA6" i="109"/>
  <c r="AB12" i="109"/>
  <c r="AA12" i="109"/>
  <c r="N12" i="109"/>
  <c r="M36" i="109"/>
  <c r="AB32" i="109"/>
  <c r="AA32" i="109"/>
  <c r="N32" i="109"/>
  <c r="Q30" i="109"/>
  <c r="P30" i="109"/>
  <c r="Q51" i="109"/>
  <c r="P51" i="109"/>
  <c r="AB21" i="109"/>
  <c r="AA21" i="109"/>
  <c r="N21" i="109"/>
  <c r="AB58" i="109"/>
  <c r="AA58" i="109"/>
  <c r="N58" i="109"/>
  <c r="N61" i="109"/>
  <c r="AB61" i="109"/>
  <c r="AA61" i="109"/>
  <c r="N15" i="109"/>
  <c r="AB15" i="109"/>
  <c r="AA15" i="109"/>
  <c r="N59" i="109"/>
  <c r="AB59" i="109"/>
  <c r="AA59" i="109"/>
  <c r="AB48" i="109"/>
  <c r="AA48" i="109"/>
  <c r="N48" i="109"/>
  <c r="N25" i="109"/>
  <c r="AB25" i="109"/>
  <c r="AA25" i="109"/>
  <c r="N7" i="109"/>
  <c r="AB7" i="109"/>
  <c r="AA7" i="109"/>
  <c r="N13" i="109"/>
  <c r="AB13" i="109"/>
  <c r="AA13" i="109"/>
  <c r="N62" i="109"/>
  <c r="AB62" i="109"/>
  <c r="AA62" i="109"/>
  <c r="G6" i="108"/>
  <c r="AB11" i="109"/>
  <c r="M16" i="109"/>
  <c r="AA11" i="109"/>
  <c r="N11" i="109"/>
  <c r="F2" i="109"/>
  <c r="I3" i="108"/>
  <c r="AB35" i="109"/>
  <c r="AA35" i="109"/>
  <c r="N35" i="109"/>
  <c r="Q52" i="109"/>
  <c r="P52" i="109"/>
  <c r="N56" i="109"/>
  <c r="AB56" i="109"/>
  <c r="AA56" i="109"/>
  <c r="M63" i="109"/>
  <c r="N60" i="109"/>
  <c r="AB60" i="109"/>
  <c r="AA60" i="109"/>
  <c r="AA28" i="109"/>
  <c r="AA30" i="109"/>
  <c r="AA51" i="109"/>
  <c r="AA52" i="109"/>
  <c r="AB53" i="109"/>
  <c r="N20" i="109"/>
  <c r="N34" i="109"/>
  <c r="N46" i="109"/>
  <c r="N55" i="109"/>
  <c r="N10" i="109"/>
  <c r="P47" i="109"/>
  <c r="P57" i="109"/>
  <c r="F6" i="108"/>
  <c r="N9" i="109"/>
  <c r="N17" i="109"/>
  <c r="N18" i="109"/>
  <c r="N53" i="109"/>
  <c r="N43" i="109"/>
  <c r="P54" i="109"/>
  <c r="AA55" i="109"/>
  <c r="AA10" i="109"/>
  <c r="P29" i="109"/>
  <c r="AA47" i="109"/>
  <c r="AA57" i="109"/>
  <c r="AA20" i="109"/>
  <c r="AA34" i="109"/>
  <c r="AA46" i="109"/>
  <c r="M50" i="109"/>
  <c r="AA19" i="109"/>
  <c r="P27" i="109"/>
  <c r="AA33" i="109"/>
  <c r="AA44" i="109"/>
  <c r="AA45" i="109"/>
  <c r="AA9" i="109"/>
  <c r="AA17" i="109"/>
  <c r="AA18" i="109"/>
  <c r="M22" i="109"/>
  <c r="AA43" i="109"/>
  <c r="AA54" i="109"/>
  <c r="Q6" i="109" l="1"/>
  <c r="P6" i="109"/>
  <c r="AB63" i="109"/>
  <c r="AC56" i="109" s="1"/>
  <c r="AA63" i="109"/>
  <c r="N63" i="109"/>
  <c r="P7" i="109"/>
  <c r="Q7" i="109"/>
  <c r="P15" i="109"/>
  <c r="Q15" i="109"/>
  <c r="AA16" i="109"/>
  <c r="N16" i="109"/>
  <c r="AB16" i="109"/>
  <c r="AC11" i="109" s="1"/>
  <c r="Q26" i="109"/>
  <c r="P26" i="109"/>
  <c r="Q34" i="109"/>
  <c r="P34" i="109"/>
  <c r="Q32" i="109"/>
  <c r="P32" i="109"/>
  <c r="Q24" i="109"/>
  <c r="P24" i="109"/>
  <c r="Q10" i="109"/>
  <c r="R9" i="109" s="1"/>
  <c r="P10" i="109"/>
  <c r="E14" i="108"/>
  <c r="E15" i="108" s="1"/>
  <c r="Q43" i="109"/>
  <c r="R37" i="109" s="1"/>
  <c r="P43" i="109"/>
  <c r="H14" i="108"/>
  <c r="H15" i="108" s="1"/>
  <c r="Q20" i="109"/>
  <c r="P20" i="109"/>
  <c r="P56" i="109"/>
  <c r="Q56" i="109"/>
  <c r="P25" i="109"/>
  <c r="Q25" i="109"/>
  <c r="P61" i="109"/>
  <c r="Q61" i="109"/>
  <c r="Q53" i="109"/>
  <c r="P53" i="109"/>
  <c r="Q48" i="109"/>
  <c r="P48" i="109"/>
  <c r="Q58" i="109"/>
  <c r="P58" i="109"/>
  <c r="AA8" i="109"/>
  <c r="N8" i="109"/>
  <c r="AB8" i="109"/>
  <c r="AC5" i="109" s="1"/>
  <c r="Q55" i="109"/>
  <c r="R51" i="109" s="1"/>
  <c r="P55" i="109"/>
  <c r="J14" i="108"/>
  <c r="J15" i="108" s="1"/>
  <c r="Q18" i="109"/>
  <c r="P18" i="109"/>
  <c r="N36" i="109"/>
  <c r="AB36" i="109"/>
  <c r="AC32" i="109" s="1"/>
  <c r="AA36" i="109"/>
  <c r="Q14" i="109"/>
  <c r="P14" i="109"/>
  <c r="Q5" i="109"/>
  <c r="P5" i="109"/>
  <c r="Q11" i="109"/>
  <c r="P11" i="109"/>
  <c r="Q17" i="109"/>
  <c r="P17" i="109"/>
  <c r="Q35" i="109"/>
  <c r="P35" i="109"/>
  <c r="Q62" i="109"/>
  <c r="P62" i="109"/>
  <c r="Q12" i="109"/>
  <c r="P12" i="109"/>
  <c r="AB31" i="109"/>
  <c r="AC23" i="109" s="1"/>
  <c r="AA31" i="109"/>
  <c r="N31" i="109"/>
  <c r="N50" i="109"/>
  <c r="AA50" i="109"/>
  <c r="AB50" i="109"/>
  <c r="AC44" i="109" s="1"/>
  <c r="Q9" i="109"/>
  <c r="P9" i="109"/>
  <c r="Q21" i="109"/>
  <c r="P21" i="109"/>
  <c r="Q60" i="109"/>
  <c r="P60" i="109"/>
  <c r="N22" i="109"/>
  <c r="AB22" i="109"/>
  <c r="AC17" i="109" s="1"/>
  <c r="AA22" i="109"/>
  <c r="P49" i="109"/>
  <c r="Q49" i="109"/>
  <c r="Q46" i="109"/>
  <c r="P46" i="109"/>
  <c r="P13" i="109"/>
  <c r="Q13" i="109"/>
  <c r="P59" i="109"/>
  <c r="Q59" i="109"/>
  <c r="Q23" i="109"/>
  <c r="P23" i="109"/>
  <c r="Q16" i="109" l="1"/>
  <c r="R11" i="109" s="1"/>
  <c r="P16" i="109"/>
  <c r="F14" i="108"/>
  <c r="F15" i="108" s="1"/>
  <c r="Q31" i="109"/>
  <c r="R23" i="109" s="1"/>
  <c r="P31" i="109"/>
  <c r="K14" i="108"/>
  <c r="Q8" i="109"/>
  <c r="R5" i="109" s="1"/>
  <c r="P8" i="109"/>
  <c r="D2" i="109"/>
  <c r="D14" i="108"/>
  <c r="G14" i="108"/>
  <c r="G15" i="108" s="1"/>
  <c r="P22" i="109"/>
  <c r="Q22" i="109"/>
  <c r="R17" i="109" s="1"/>
  <c r="Q63" i="109"/>
  <c r="R56" i="109" s="1"/>
  <c r="P63" i="109"/>
  <c r="M14" i="108"/>
  <c r="M15" i="108" s="1"/>
  <c r="P50" i="109"/>
  <c r="I14" i="108"/>
  <c r="I15" i="108" s="1"/>
  <c r="Q50" i="109"/>
  <c r="R44" i="109" s="1"/>
  <c r="P36" i="109"/>
  <c r="L14" i="108"/>
  <c r="L15" i="108" s="1"/>
  <c r="Q36" i="109"/>
  <c r="R32" i="109" s="1"/>
  <c r="D15" i="108" l="1"/>
  <c r="G7" i="108"/>
  <c r="F7" i="108"/>
  <c r="E7" i="108"/>
  <c r="K15" i="108"/>
  <c r="I8" i="108" s="1"/>
  <c r="I7" i="108"/>
  <c r="G8" i="108" l="1"/>
  <c r="F8" i="108"/>
  <c r="E8" i="108"/>
  <c r="O62" i="107" l="1"/>
  <c r="K62" i="107"/>
  <c r="V61" i="107"/>
  <c r="M61" i="107" s="1"/>
  <c r="U61" i="107"/>
  <c r="O61" i="107"/>
  <c r="K61" i="107"/>
  <c r="G61" i="107"/>
  <c r="V60" i="107"/>
  <c r="M60" i="107" s="1"/>
  <c r="U60" i="107"/>
  <c r="O60" i="107"/>
  <c r="K60" i="107"/>
  <c r="G60" i="107"/>
  <c r="AA59" i="107"/>
  <c r="V59" i="107"/>
  <c r="U59" i="107"/>
  <c r="O59" i="107"/>
  <c r="M59" i="107"/>
  <c r="N59" i="107" s="1"/>
  <c r="K59" i="107"/>
  <c r="G59" i="107"/>
  <c r="V58" i="107"/>
  <c r="M58" i="107" s="1"/>
  <c r="U58" i="107"/>
  <c r="O58" i="107"/>
  <c r="K58" i="107"/>
  <c r="G58" i="107"/>
  <c r="V57" i="107"/>
  <c r="U57" i="107"/>
  <c r="O57" i="107"/>
  <c r="M57" i="107"/>
  <c r="AB57" i="107" s="1"/>
  <c r="K57" i="107"/>
  <c r="G57" i="107"/>
  <c r="AA56" i="107"/>
  <c r="V56" i="107"/>
  <c r="U56" i="107"/>
  <c r="O56" i="107"/>
  <c r="N56" i="107"/>
  <c r="Q56" i="107" s="1"/>
  <c r="M56" i="107"/>
  <c r="AB56" i="107" s="1"/>
  <c r="K56" i="107"/>
  <c r="G56" i="107"/>
  <c r="X55" i="107"/>
  <c r="W55" i="107"/>
  <c r="V55" i="107"/>
  <c r="M55" i="107" s="1"/>
  <c r="O55" i="107"/>
  <c r="K55" i="107"/>
  <c r="G55" i="107"/>
  <c r="O54" i="107"/>
  <c r="K54" i="107"/>
  <c r="V53" i="107"/>
  <c r="M53" i="107" s="1"/>
  <c r="U53" i="107"/>
  <c r="O53" i="107"/>
  <c r="K53" i="107"/>
  <c r="G53" i="107"/>
  <c r="V52" i="107"/>
  <c r="U52" i="107"/>
  <c r="O52" i="107"/>
  <c r="M52" i="107"/>
  <c r="AA52" i="107" s="1"/>
  <c r="K52" i="107"/>
  <c r="G52" i="107"/>
  <c r="V51" i="107"/>
  <c r="M51" i="107" s="1"/>
  <c r="U51" i="107"/>
  <c r="O51" i="107"/>
  <c r="K51" i="107"/>
  <c r="G51" i="107"/>
  <c r="V50" i="107"/>
  <c r="M50" i="107" s="1"/>
  <c r="O50" i="107"/>
  <c r="K50" i="107"/>
  <c r="G50" i="107"/>
  <c r="O49" i="107"/>
  <c r="K49" i="107"/>
  <c r="V48" i="107"/>
  <c r="M48" i="107" s="1"/>
  <c r="U48" i="107"/>
  <c r="O48" i="107"/>
  <c r="K48" i="107"/>
  <c r="G48" i="107"/>
  <c r="V47" i="107"/>
  <c r="U47" i="107"/>
  <c r="O47" i="107"/>
  <c r="M47" i="107"/>
  <c r="AB47" i="107" s="1"/>
  <c r="K47" i="107"/>
  <c r="G47" i="107"/>
  <c r="AA46" i="107"/>
  <c r="V46" i="107"/>
  <c r="U46" i="107"/>
  <c r="O46" i="107"/>
  <c r="N46" i="107"/>
  <c r="Q46" i="107" s="1"/>
  <c r="M46" i="107"/>
  <c r="AB46" i="107" s="1"/>
  <c r="K46" i="107"/>
  <c r="G46" i="107"/>
  <c r="V45" i="107"/>
  <c r="U45" i="107"/>
  <c r="O45" i="107"/>
  <c r="M45" i="107"/>
  <c r="AB45" i="107" s="1"/>
  <c r="K45" i="107"/>
  <c r="G45" i="107"/>
  <c r="AA44" i="107"/>
  <c r="V44" i="107"/>
  <c r="U44" i="107"/>
  <c r="O44" i="107"/>
  <c r="N44" i="107"/>
  <c r="Q44" i="107" s="1"/>
  <c r="M44" i="107"/>
  <c r="AB44" i="107" s="1"/>
  <c r="K44" i="107"/>
  <c r="P44" i="107" s="1"/>
  <c r="G44" i="107"/>
  <c r="AA43" i="107"/>
  <c r="V43" i="107"/>
  <c r="O43" i="107"/>
  <c r="N43" i="107"/>
  <c r="Q43" i="107" s="1"/>
  <c r="M43" i="107"/>
  <c r="AB43" i="107" s="1"/>
  <c r="K43" i="107"/>
  <c r="P43" i="107" s="1"/>
  <c r="G43" i="107"/>
  <c r="AB42" i="107"/>
  <c r="AC36" i="107" s="1"/>
  <c r="N42" i="107"/>
  <c r="Q42" i="107" s="1"/>
  <c r="R36" i="107" s="1"/>
  <c r="M42" i="107"/>
  <c r="AA42" i="107" s="1"/>
  <c r="AB41" i="107"/>
  <c r="AA41" i="107"/>
  <c r="V41" i="107"/>
  <c r="U41" i="107"/>
  <c r="Q41" i="107"/>
  <c r="AB40" i="107"/>
  <c r="AA40" i="107"/>
  <c r="V40" i="107"/>
  <c r="Q40" i="107"/>
  <c r="AB39" i="107"/>
  <c r="AA39" i="107"/>
  <c r="V39" i="107"/>
  <c r="U39" i="107"/>
  <c r="Q39" i="107"/>
  <c r="AB38" i="107"/>
  <c r="AA38" i="107"/>
  <c r="V38" i="107"/>
  <c r="U38" i="107"/>
  <c r="Q38" i="107"/>
  <c r="AB37" i="107"/>
  <c r="AA37" i="107"/>
  <c r="V37" i="107"/>
  <c r="U37" i="107"/>
  <c r="Q37" i="107"/>
  <c r="AB36" i="107"/>
  <c r="AA36" i="107"/>
  <c r="X36" i="107"/>
  <c r="W36" i="107"/>
  <c r="V36" i="107"/>
  <c r="Q36" i="107"/>
  <c r="O35" i="107"/>
  <c r="K35" i="107"/>
  <c r="V34" i="107"/>
  <c r="M34" i="107" s="1"/>
  <c r="U34" i="107"/>
  <c r="O34" i="107"/>
  <c r="K34" i="107"/>
  <c r="G34" i="107"/>
  <c r="AA33" i="107"/>
  <c r="V33" i="107"/>
  <c r="U33" i="107"/>
  <c r="O33" i="107"/>
  <c r="N33" i="107"/>
  <c r="Q33" i="107" s="1"/>
  <c r="M33" i="107"/>
  <c r="AB33" i="107" s="1"/>
  <c r="K33" i="107"/>
  <c r="G33" i="107"/>
  <c r="V32" i="107"/>
  <c r="M32" i="107" s="1"/>
  <c r="U32" i="107"/>
  <c r="O32" i="107"/>
  <c r="K32" i="107"/>
  <c r="G32" i="107"/>
  <c r="X31" i="107"/>
  <c r="W31" i="107"/>
  <c r="V31" i="107"/>
  <c r="M31" i="107" s="1"/>
  <c r="O31" i="107"/>
  <c r="K31" i="107"/>
  <c r="G31" i="107"/>
  <c r="O30" i="107"/>
  <c r="K30" i="107"/>
  <c r="V29" i="107"/>
  <c r="M29" i="107" s="1"/>
  <c r="U29" i="107"/>
  <c r="O29" i="107"/>
  <c r="K29" i="107"/>
  <c r="G29" i="107"/>
  <c r="AB28" i="107"/>
  <c r="V28" i="107"/>
  <c r="U28" i="107"/>
  <c r="O28" i="107"/>
  <c r="M28" i="107"/>
  <c r="AA28" i="107" s="1"/>
  <c r="K28" i="107"/>
  <c r="G28" i="107"/>
  <c r="V27" i="107"/>
  <c r="M27" i="107" s="1"/>
  <c r="U27" i="107"/>
  <c r="O27" i="107"/>
  <c r="K27" i="107"/>
  <c r="G27" i="107"/>
  <c r="V26" i="107"/>
  <c r="U26" i="107"/>
  <c r="O26" i="107"/>
  <c r="M26" i="107"/>
  <c r="AB26" i="107" s="1"/>
  <c r="K26" i="107"/>
  <c r="G26" i="107"/>
  <c r="V25" i="107"/>
  <c r="M25" i="107" s="1"/>
  <c r="U25" i="107"/>
  <c r="O25" i="107"/>
  <c r="K25" i="107"/>
  <c r="G25" i="107"/>
  <c r="V24" i="107"/>
  <c r="M24" i="107" s="1"/>
  <c r="U24" i="107"/>
  <c r="O24" i="107"/>
  <c r="K24" i="107"/>
  <c r="G24" i="107"/>
  <c r="X23" i="107"/>
  <c r="W23" i="107"/>
  <c r="V23" i="107"/>
  <c r="O23" i="107"/>
  <c r="M23" i="107"/>
  <c r="AB23" i="107" s="1"/>
  <c r="K23" i="107"/>
  <c r="G23" i="107"/>
  <c r="O22" i="107"/>
  <c r="K22" i="107"/>
  <c r="AA21" i="107"/>
  <c r="V21" i="107"/>
  <c r="U21" i="107"/>
  <c r="O21" i="107"/>
  <c r="N21" i="107"/>
  <c r="Q21" i="107" s="1"/>
  <c r="M21" i="107"/>
  <c r="AB21" i="107" s="1"/>
  <c r="K21" i="107"/>
  <c r="G21" i="107"/>
  <c r="V20" i="107"/>
  <c r="M20" i="107" s="1"/>
  <c r="U20" i="107"/>
  <c r="O20" i="107"/>
  <c r="K20" i="107"/>
  <c r="G20" i="107"/>
  <c r="AB19" i="107"/>
  <c r="AA19" i="107"/>
  <c r="V19" i="107"/>
  <c r="U19" i="107"/>
  <c r="P19" i="107"/>
  <c r="O19" i="107"/>
  <c r="N19" i="107"/>
  <c r="Q19" i="107" s="1"/>
  <c r="M19" i="107"/>
  <c r="K19" i="107"/>
  <c r="G19" i="107"/>
  <c r="AA18" i="107"/>
  <c r="V18" i="107"/>
  <c r="U18" i="107"/>
  <c r="O18" i="107"/>
  <c r="M18" i="107"/>
  <c r="N18" i="107" s="1"/>
  <c r="K18" i="107"/>
  <c r="G18" i="107"/>
  <c r="AA17" i="107"/>
  <c r="V17" i="107"/>
  <c r="O17" i="107"/>
  <c r="M17" i="107"/>
  <c r="N17" i="107" s="1"/>
  <c r="K17" i="107"/>
  <c r="G17" i="107"/>
  <c r="O16" i="107"/>
  <c r="K16" i="107"/>
  <c r="AA15" i="107"/>
  <c r="V15" i="107"/>
  <c r="U15" i="107"/>
  <c r="O15" i="107"/>
  <c r="N15" i="107"/>
  <c r="Q15" i="107" s="1"/>
  <c r="M15" i="107"/>
  <c r="AB15" i="107" s="1"/>
  <c r="K15" i="107"/>
  <c r="P15" i="107" s="1"/>
  <c r="G15" i="107"/>
  <c r="V14" i="107"/>
  <c r="M14" i="107" s="1"/>
  <c r="U14" i="107"/>
  <c r="O14" i="107"/>
  <c r="K14" i="107"/>
  <c r="G14" i="107"/>
  <c r="AA13" i="107"/>
  <c r="V13" i="107"/>
  <c r="U13" i="107"/>
  <c r="O13" i="107"/>
  <c r="M13" i="107"/>
  <c r="N13" i="107" s="1"/>
  <c r="K13" i="107"/>
  <c r="G13" i="107"/>
  <c r="V12" i="107"/>
  <c r="M12" i="107" s="1"/>
  <c r="U12" i="107"/>
  <c r="O12" i="107"/>
  <c r="K12" i="107"/>
  <c r="G12" i="107"/>
  <c r="V11" i="107"/>
  <c r="M11" i="107" s="1"/>
  <c r="O11" i="107"/>
  <c r="K11" i="107"/>
  <c r="G11" i="107"/>
  <c r="O10" i="107"/>
  <c r="K10" i="107"/>
  <c r="AA9" i="107"/>
  <c r="V9" i="107"/>
  <c r="O9" i="107"/>
  <c r="M9" i="107"/>
  <c r="N9" i="107" s="1"/>
  <c r="K9" i="107"/>
  <c r="G9" i="107"/>
  <c r="O8" i="107"/>
  <c r="K8" i="107"/>
  <c r="V7" i="107"/>
  <c r="M7" i="107" s="1"/>
  <c r="U7" i="107"/>
  <c r="O7" i="107"/>
  <c r="K7" i="107"/>
  <c r="G7" i="107"/>
  <c r="V6" i="107"/>
  <c r="M6" i="107" s="1"/>
  <c r="U6" i="107"/>
  <c r="O6" i="107"/>
  <c r="K6" i="107"/>
  <c r="G6" i="107"/>
  <c r="V5" i="107"/>
  <c r="M5" i="107" s="1"/>
  <c r="O5" i="107"/>
  <c r="K5" i="107"/>
  <c r="G5" i="107"/>
  <c r="F1" i="107" s="1"/>
  <c r="H2" i="107"/>
  <c r="H1" i="107"/>
  <c r="D1" i="107"/>
  <c r="M18" i="106"/>
  <c r="L18" i="106"/>
  <c r="K18" i="106"/>
  <c r="J18" i="106"/>
  <c r="I18" i="106"/>
  <c r="H18" i="106"/>
  <c r="G18" i="106"/>
  <c r="F18" i="106"/>
  <c r="E18" i="106"/>
  <c r="D18" i="106"/>
  <c r="M17" i="106"/>
  <c r="L17" i="106"/>
  <c r="K17" i="106"/>
  <c r="J17" i="106"/>
  <c r="I17" i="106"/>
  <c r="H17" i="106"/>
  <c r="G17" i="106"/>
  <c r="F17" i="106"/>
  <c r="E17" i="106"/>
  <c r="D17" i="106"/>
  <c r="M16" i="106"/>
  <c r="L16" i="106"/>
  <c r="K16" i="106"/>
  <c r="J16" i="106"/>
  <c r="I16" i="106"/>
  <c r="H16" i="106"/>
  <c r="G16" i="106"/>
  <c r="F16" i="106"/>
  <c r="E16" i="106"/>
  <c r="D16" i="106"/>
  <c r="H14" i="106"/>
  <c r="M13" i="106"/>
  <c r="L13" i="106"/>
  <c r="K13" i="106"/>
  <c r="I6" i="106" s="1"/>
  <c r="J13" i="106"/>
  <c r="I13" i="106"/>
  <c r="H13" i="106"/>
  <c r="H15" i="106" s="1"/>
  <c r="G13" i="106"/>
  <c r="F13" i="106"/>
  <c r="E13" i="106"/>
  <c r="D13" i="106"/>
  <c r="E6" i="106" s="1"/>
  <c r="F3" i="106"/>
  <c r="C3" i="106"/>
  <c r="F2" i="107" l="1"/>
  <c r="I3" i="106"/>
  <c r="N27" i="107"/>
  <c r="AB27" i="107"/>
  <c r="AA27" i="107"/>
  <c r="N29" i="107"/>
  <c r="AB29" i="107"/>
  <c r="AA29" i="107"/>
  <c r="AB7" i="107"/>
  <c r="AA7" i="107"/>
  <c r="N7" i="107"/>
  <c r="AB25" i="107"/>
  <c r="AA25" i="107"/>
  <c r="N25" i="107"/>
  <c r="N32" i="107"/>
  <c r="AB32" i="107"/>
  <c r="AA32" i="107"/>
  <c r="AB34" i="107"/>
  <c r="N34" i="107"/>
  <c r="AA34" i="107"/>
  <c r="AB5" i="107"/>
  <c r="AA5" i="107"/>
  <c r="N5" i="107"/>
  <c r="M8" i="107"/>
  <c r="AB11" i="107"/>
  <c r="N11" i="107"/>
  <c r="M16" i="107"/>
  <c r="AA11" i="107"/>
  <c r="Q18" i="107"/>
  <c r="P18" i="107"/>
  <c r="AB53" i="107"/>
  <c r="AA53" i="107"/>
  <c r="N53" i="107"/>
  <c r="AB51" i="107"/>
  <c r="N51" i="107"/>
  <c r="AA51" i="107"/>
  <c r="N48" i="107"/>
  <c r="AB48" i="107"/>
  <c r="AA48" i="107"/>
  <c r="Q9" i="107"/>
  <c r="P9" i="107"/>
  <c r="N31" i="107"/>
  <c r="M35" i="107"/>
  <c r="AB31" i="107"/>
  <c r="AA31" i="107"/>
  <c r="AB12" i="107"/>
  <c r="N12" i="107"/>
  <c r="AA12" i="107"/>
  <c r="AB24" i="107"/>
  <c r="AA24" i="107"/>
  <c r="N24" i="107"/>
  <c r="N58" i="107"/>
  <c r="AB58" i="107"/>
  <c r="AA58" i="107"/>
  <c r="AB6" i="107"/>
  <c r="AA6" i="107"/>
  <c r="N6" i="107"/>
  <c r="AB14" i="107"/>
  <c r="AA14" i="107"/>
  <c r="N14" i="107"/>
  <c r="Q17" i="107"/>
  <c r="P17" i="107"/>
  <c r="N55" i="107"/>
  <c r="AB55" i="107"/>
  <c r="AA55" i="107"/>
  <c r="M62" i="107"/>
  <c r="Q59" i="107"/>
  <c r="P59" i="107"/>
  <c r="N60" i="107"/>
  <c r="AB60" i="107"/>
  <c r="AA60" i="107"/>
  <c r="N20" i="107"/>
  <c r="M22" i="107"/>
  <c r="AB20" i="107"/>
  <c r="AA20" i="107"/>
  <c r="Q13" i="107"/>
  <c r="P13" i="107"/>
  <c r="M54" i="107"/>
  <c r="AB50" i="107"/>
  <c r="N50" i="107"/>
  <c r="AA50" i="107"/>
  <c r="N61" i="107"/>
  <c r="AB61" i="107"/>
  <c r="AA61" i="107"/>
  <c r="AB13" i="107"/>
  <c r="N28" i="107"/>
  <c r="N47" i="107"/>
  <c r="AB52" i="107"/>
  <c r="N57" i="107"/>
  <c r="N23" i="107"/>
  <c r="N26" i="107"/>
  <c r="N45" i="107"/>
  <c r="P46" i="107"/>
  <c r="P56" i="107"/>
  <c r="AB9" i="107"/>
  <c r="AB17" i="107"/>
  <c r="AB18" i="107"/>
  <c r="N52" i="107"/>
  <c r="AB59" i="107"/>
  <c r="AA47" i="107"/>
  <c r="AA57" i="107"/>
  <c r="M10" i="107"/>
  <c r="AA26" i="107"/>
  <c r="M30" i="107"/>
  <c r="P42" i="107"/>
  <c r="AA45" i="107"/>
  <c r="M49" i="107"/>
  <c r="F6" i="106"/>
  <c r="G6" i="106"/>
  <c r="P21" i="107"/>
  <c r="P33" i="107"/>
  <c r="AA23" i="107"/>
  <c r="Q20" i="107" l="1"/>
  <c r="P20" i="107"/>
  <c r="Q14" i="107"/>
  <c r="P14" i="107"/>
  <c r="N8" i="107"/>
  <c r="AB8" i="107"/>
  <c r="AC5" i="107" s="1"/>
  <c r="AA8" i="107"/>
  <c r="Q51" i="107"/>
  <c r="P51" i="107"/>
  <c r="P60" i="107"/>
  <c r="Q60" i="107"/>
  <c r="Q6" i="107"/>
  <c r="P6" i="107"/>
  <c r="Q53" i="107"/>
  <c r="P53" i="107"/>
  <c r="Q12" i="107"/>
  <c r="P12" i="107"/>
  <c r="Q45" i="107"/>
  <c r="P45" i="107"/>
  <c r="N49" i="107"/>
  <c r="AA49" i="107"/>
  <c r="AB49" i="107"/>
  <c r="AC43" i="107" s="1"/>
  <c r="Q61" i="107"/>
  <c r="P61" i="107"/>
  <c r="Q26" i="107"/>
  <c r="P26" i="107"/>
  <c r="AB35" i="107"/>
  <c r="AC31" i="107" s="1"/>
  <c r="AA35" i="107"/>
  <c r="N35" i="107"/>
  <c r="Q34" i="107"/>
  <c r="P34" i="107"/>
  <c r="Q7" i="107"/>
  <c r="P7" i="107"/>
  <c r="N30" i="107"/>
  <c r="AA30" i="107"/>
  <c r="AB30" i="107"/>
  <c r="AC23" i="107" s="1"/>
  <c r="Q50" i="107"/>
  <c r="P50" i="107"/>
  <c r="N10" i="107"/>
  <c r="AA10" i="107"/>
  <c r="AB10" i="107"/>
  <c r="AC9" i="107" s="1"/>
  <c r="Q23" i="107"/>
  <c r="P23" i="107"/>
  <c r="AB54" i="107"/>
  <c r="AC50" i="107" s="1"/>
  <c r="AA54" i="107"/>
  <c r="N54" i="107"/>
  <c r="AB62" i="107"/>
  <c r="AC55" i="107" s="1"/>
  <c r="AA62" i="107"/>
  <c r="N62" i="107"/>
  <c r="Q31" i="107"/>
  <c r="P31" i="107"/>
  <c r="P29" i="107"/>
  <c r="Q29" i="107"/>
  <c r="Q5" i="107"/>
  <c r="P5" i="107"/>
  <c r="Q57" i="107"/>
  <c r="P57" i="107"/>
  <c r="P58" i="107"/>
  <c r="Q58" i="107"/>
  <c r="Q47" i="107"/>
  <c r="P47" i="107"/>
  <c r="P55" i="107"/>
  <c r="Q55" i="107"/>
  <c r="Q24" i="107"/>
  <c r="P24" i="107"/>
  <c r="N16" i="107"/>
  <c r="AB16" i="107"/>
  <c r="AC11" i="107" s="1"/>
  <c r="AA16" i="107"/>
  <c r="Q32" i="107"/>
  <c r="P32" i="107"/>
  <c r="Q27" i="107"/>
  <c r="P27" i="107"/>
  <c r="Q52" i="107"/>
  <c r="P52" i="107"/>
  <c r="Q28" i="107"/>
  <c r="P28" i="107"/>
  <c r="Q11" i="107"/>
  <c r="P11" i="107"/>
  <c r="Q25" i="107"/>
  <c r="P25" i="107"/>
  <c r="AB22" i="107"/>
  <c r="AC17" i="107" s="1"/>
  <c r="AA22" i="107"/>
  <c r="N22" i="107"/>
  <c r="P48" i="107"/>
  <c r="Q48" i="107"/>
  <c r="G14" i="106" l="1"/>
  <c r="G15" i="106" s="1"/>
  <c r="Q22" i="107"/>
  <c r="R17" i="107" s="1"/>
  <c r="P22" i="107"/>
  <c r="J14" i="106"/>
  <c r="J15" i="106" s="1"/>
  <c r="Q54" i="107"/>
  <c r="R50" i="107" s="1"/>
  <c r="P54" i="107"/>
  <c r="P30" i="107"/>
  <c r="K14" i="106"/>
  <c r="Q30" i="107"/>
  <c r="R23" i="107" s="1"/>
  <c r="P49" i="107"/>
  <c r="I14" i="106"/>
  <c r="I15" i="106" s="1"/>
  <c r="Q49" i="107"/>
  <c r="R43" i="107" s="1"/>
  <c r="L14" i="106"/>
  <c r="L15" i="106" s="1"/>
  <c r="Q35" i="107"/>
  <c r="R31" i="107" s="1"/>
  <c r="P35" i="107"/>
  <c r="D2" i="107"/>
  <c r="D14" i="106"/>
  <c r="Q8" i="107"/>
  <c r="R5" i="107" s="1"/>
  <c r="P8" i="107"/>
  <c r="P10" i="107"/>
  <c r="E14" i="106"/>
  <c r="E15" i="106" s="1"/>
  <c r="Q10" i="107"/>
  <c r="R9" i="107" s="1"/>
  <c r="F14" i="106"/>
  <c r="F15" i="106" s="1"/>
  <c r="Q16" i="107"/>
  <c r="R11" i="107" s="1"/>
  <c r="P16" i="107"/>
  <c r="Q62" i="107"/>
  <c r="R55" i="107" s="1"/>
  <c r="M14" i="106"/>
  <c r="M15" i="106" s="1"/>
  <c r="P62" i="107"/>
  <c r="K15" i="106" l="1"/>
  <c r="I8" i="106" s="1"/>
  <c r="I7" i="106"/>
  <c r="D15" i="106"/>
  <c r="G7" i="106"/>
  <c r="F7" i="106"/>
  <c r="E7" i="106"/>
  <c r="F8" i="106" l="1"/>
  <c r="G8" i="106"/>
  <c r="E8" i="106"/>
  <c r="O62" i="105" l="1"/>
  <c r="K62" i="105"/>
  <c r="V61" i="105"/>
  <c r="M61" i="105" s="1"/>
  <c r="U61" i="105"/>
  <c r="O61" i="105"/>
  <c r="K61" i="105"/>
  <c r="G61" i="105"/>
  <c r="V60" i="105"/>
  <c r="M60" i="105" s="1"/>
  <c r="U60" i="105"/>
  <c r="O60" i="105"/>
  <c r="K60" i="105"/>
  <c r="G60" i="105"/>
  <c r="V59" i="105"/>
  <c r="M59" i="105" s="1"/>
  <c r="U59" i="105"/>
  <c r="O59" i="105"/>
  <c r="K59" i="105"/>
  <c r="G59" i="105"/>
  <c r="V58" i="105"/>
  <c r="M58" i="105" s="1"/>
  <c r="U58" i="105"/>
  <c r="O58" i="105"/>
  <c r="K58" i="105"/>
  <c r="G58" i="105"/>
  <c r="V57" i="105"/>
  <c r="U57" i="105"/>
  <c r="O57" i="105"/>
  <c r="M57" i="105"/>
  <c r="AB57" i="105" s="1"/>
  <c r="K57" i="105"/>
  <c r="G57" i="105"/>
  <c r="V56" i="105"/>
  <c r="U56" i="105"/>
  <c r="O56" i="105"/>
  <c r="N56" i="105"/>
  <c r="Q56" i="105" s="1"/>
  <c r="M56" i="105"/>
  <c r="AB56" i="105" s="1"/>
  <c r="K56" i="105"/>
  <c r="G56" i="105"/>
  <c r="X55" i="105"/>
  <c r="W55" i="105"/>
  <c r="V55" i="105"/>
  <c r="M55" i="105" s="1"/>
  <c r="O55" i="105"/>
  <c r="K55" i="105"/>
  <c r="G55" i="105"/>
  <c r="O54" i="105"/>
  <c r="K54" i="105"/>
  <c r="AB53" i="105"/>
  <c r="V53" i="105"/>
  <c r="U53" i="105"/>
  <c r="O53" i="105"/>
  <c r="M53" i="105"/>
  <c r="AA53" i="105" s="1"/>
  <c r="K53" i="105"/>
  <c r="G53" i="105"/>
  <c r="AB52" i="105"/>
  <c r="AA52" i="105"/>
  <c r="V52" i="105"/>
  <c r="U52" i="105"/>
  <c r="O52" i="105"/>
  <c r="N52" i="105"/>
  <c r="Q52" i="105" s="1"/>
  <c r="M52" i="105"/>
  <c r="K52" i="105"/>
  <c r="G52" i="105"/>
  <c r="V51" i="105"/>
  <c r="M51" i="105" s="1"/>
  <c r="U51" i="105"/>
  <c r="O51" i="105"/>
  <c r="K51" i="105"/>
  <c r="G51" i="105"/>
  <c r="V50" i="105"/>
  <c r="M50" i="105" s="1"/>
  <c r="O50" i="105"/>
  <c r="K50" i="105"/>
  <c r="G50" i="105"/>
  <c r="O49" i="105"/>
  <c r="K49" i="105"/>
  <c r="V48" i="105"/>
  <c r="M48" i="105" s="1"/>
  <c r="U48" i="105"/>
  <c r="O48" i="105"/>
  <c r="K48" i="105"/>
  <c r="G48" i="105"/>
  <c r="V47" i="105"/>
  <c r="M47" i="105" s="1"/>
  <c r="U47" i="105"/>
  <c r="O47" i="105"/>
  <c r="K47" i="105"/>
  <c r="G47" i="105"/>
  <c r="V46" i="105"/>
  <c r="U46" i="105"/>
  <c r="O46" i="105"/>
  <c r="N46" i="105"/>
  <c r="Q46" i="105" s="1"/>
  <c r="M46" i="105"/>
  <c r="AB46" i="105" s="1"/>
  <c r="K46" i="105"/>
  <c r="G46" i="105"/>
  <c r="V45" i="105"/>
  <c r="U45" i="105"/>
  <c r="O45" i="105"/>
  <c r="M45" i="105"/>
  <c r="AB45" i="105" s="1"/>
  <c r="K45" i="105"/>
  <c r="G45" i="105"/>
  <c r="V44" i="105"/>
  <c r="U44" i="105"/>
  <c r="O44" i="105"/>
  <c r="M44" i="105"/>
  <c r="AB44" i="105" s="1"/>
  <c r="K44" i="105"/>
  <c r="G44" i="105"/>
  <c r="V43" i="105"/>
  <c r="O43" i="105"/>
  <c r="M43" i="105"/>
  <c r="AB43" i="105" s="1"/>
  <c r="K43" i="105"/>
  <c r="G43" i="105"/>
  <c r="AB42" i="105"/>
  <c r="AA42" i="105"/>
  <c r="AB41" i="105"/>
  <c r="AA41" i="105"/>
  <c r="AB40" i="105"/>
  <c r="AA40" i="105"/>
  <c r="AB39" i="105"/>
  <c r="AA39" i="105"/>
  <c r="AB38" i="105"/>
  <c r="AA38" i="105"/>
  <c r="AB37" i="105"/>
  <c r="AA37" i="105"/>
  <c r="AC36" i="105"/>
  <c r="AB36" i="105"/>
  <c r="AA36" i="105"/>
  <c r="X36" i="105"/>
  <c r="W36" i="105"/>
  <c r="R36" i="105"/>
  <c r="O35" i="105"/>
  <c r="K35" i="105"/>
  <c r="V34" i="105"/>
  <c r="U34" i="105"/>
  <c r="O34" i="105"/>
  <c r="M34" i="105"/>
  <c r="AB34" i="105" s="1"/>
  <c r="K34" i="105"/>
  <c r="G34" i="105"/>
  <c r="V33" i="105"/>
  <c r="U33" i="105"/>
  <c r="O33" i="105"/>
  <c r="M33" i="105"/>
  <c r="AB33" i="105" s="1"/>
  <c r="K33" i="105"/>
  <c r="G33" i="105"/>
  <c r="AB32" i="105"/>
  <c r="V32" i="105"/>
  <c r="U32" i="105"/>
  <c r="O32" i="105"/>
  <c r="M32" i="105"/>
  <c r="AA32" i="105" s="1"/>
  <c r="K32" i="105"/>
  <c r="G32" i="105"/>
  <c r="X31" i="105"/>
  <c r="W31" i="105"/>
  <c r="V31" i="105"/>
  <c r="O31" i="105"/>
  <c r="M31" i="105"/>
  <c r="M35" i="105" s="1"/>
  <c r="K31" i="105"/>
  <c r="G31" i="105"/>
  <c r="O30" i="105"/>
  <c r="K30" i="105"/>
  <c r="V29" i="105"/>
  <c r="M29" i="105" s="1"/>
  <c r="U29" i="105"/>
  <c r="O29" i="105"/>
  <c r="K29" i="105"/>
  <c r="G29" i="105"/>
  <c r="V28" i="105"/>
  <c r="M28" i="105" s="1"/>
  <c r="U28" i="105"/>
  <c r="O28" i="105"/>
  <c r="K28" i="105"/>
  <c r="G28" i="105"/>
  <c r="V27" i="105"/>
  <c r="M27" i="105" s="1"/>
  <c r="U27" i="105"/>
  <c r="O27" i="105"/>
  <c r="K27" i="105"/>
  <c r="G27" i="105"/>
  <c r="V26" i="105"/>
  <c r="M26" i="105" s="1"/>
  <c r="U26" i="105"/>
  <c r="O26" i="105"/>
  <c r="K26" i="105"/>
  <c r="G26" i="105"/>
  <c r="V25" i="105"/>
  <c r="M25" i="105" s="1"/>
  <c r="U25" i="105"/>
  <c r="O25" i="105"/>
  <c r="K25" i="105"/>
  <c r="G25" i="105"/>
  <c r="V24" i="105"/>
  <c r="M24" i="105" s="1"/>
  <c r="U24" i="105"/>
  <c r="O24" i="105"/>
  <c r="K24" i="105"/>
  <c r="G24" i="105"/>
  <c r="X23" i="105"/>
  <c r="W23" i="105"/>
  <c r="V23" i="105"/>
  <c r="M23" i="105" s="1"/>
  <c r="O23" i="105"/>
  <c r="K23" i="105"/>
  <c r="G23" i="105"/>
  <c r="O22" i="105"/>
  <c r="K22" i="105"/>
  <c r="V21" i="105"/>
  <c r="U21" i="105"/>
  <c r="O21" i="105"/>
  <c r="M21" i="105"/>
  <c r="AB21" i="105" s="1"/>
  <c r="K21" i="105"/>
  <c r="G21" i="105"/>
  <c r="AB20" i="105"/>
  <c r="V20" i="105"/>
  <c r="U20" i="105"/>
  <c r="O20" i="105"/>
  <c r="N20" i="105"/>
  <c r="P20" i="105" s="1"/>
  <c r="M20" i="105"/>
  <c r="AA20" i="105" s="1"/>
  <c r="K20" i="105"/>
  <c r="Q20" i="105" s="1"/>
  <c r="G20" i="105"/>
  <c r="AA19" i="105"/>
  <c r="V19" i="105"/>
  <c r="U19" i="105"/>
  <c r="O19" i="105"/>
  <c r="N19" i="105"/>
  <c r="Q19" i="105" s="1"/>
  <c r="M19" i="105"/>
  <c r="AB19" i="105" s="1"/>
  <c r="K19" i="105"/>
  <c r="G19" i="105"/>
  <c r="AB18" i="105"/>
  <c r="V18" i="105"/>
  <c r="U18" i="105"/>
  <c r="O18" i="105"/>
  <c r="M18" i="105"/>
  <c r="N18" i="105" s="1"/>
  <c r="K18" i="105"/>
  <c r="G18" i="105"/>
  <c r="AB17" i="105"/>
  <c r="V17" i="105"/>
  <c r="O17" i="105"/>
  <c r="M17" i="105"/>
  <c r="N17" i="105" s="1"/>
  <c r="K17" i="105"/>
  <c r="G17" i="105"/>
  <c r="O16" i="105"/>
  <c r="K16" i="105"/>
  <c r="V15" i="105"/>
  <c r="M15" i="105" s="1"/>
  <c r="U15" i="105"/>
  <c r="O15" i="105"/>
  <c r="K15" i="105"/>
  <c r="G15" i="105"/>
  <c r="V14" i="105"/>
  <c r="M14" i="105" s="1"/>
  <c r="U14" i="105"/>
  <c r="O14" i="105"/>
  <c r="K14" i="105"/>
  <c r="G14" i="105"/>
  <c r="V13" i="105"/>
  <c r="M13" i="105" s="1"/>
  <c r="U13" i="105"/>
  <c r="O13" i="105"/>
  <c r="K13" i="105"/>
  <c r="G13" i="105"/>
  <c r="V12" i="105"/>
  <c r="U12" i="105"/>
  <c r="O12" i="105"/>
  <c r="M12" i="105"/>
  <c r="AB12" i="105" s="1"/>
  <c r="K12" i="105"/>
  <c r="G12" i="105"/>
  <c r="V11" i="105"/>
  <c r="O11" i="105"/>
  <c r="M11" i="105"/>
  <c r="AB11" i="105" s="1"/>
  <c r="K11" i="105"/>
  <c r="G11" i="105"/>
  <c r="F1" i="105" s="1"/>
  <c r="O10" i="105"/>
  <c r="K10" i="105"/>
  <c r="AB9" i="105"/>
  <c r="V9" i="105"/>
  <c r="O9" i="105"/>
  <c r="M9" i="105"/>
  <c r="N9" i="105" s="1"/>
  <c r="K9" i="105"/>
  <c r="G9" i="105"/>
  <c r="O8" i="105"/>
  <c r="K8" i="105"/>
  <c r="V7" i="105"/>
  <c r="M7" i="105" s="1"/>
  <c r="U7" i="105"/>
  <c r="O7" i="105"/>
  <c r="K7" i="105"/>
  <c r="G7" i="105"/>
  <c r="V6" i="105"/>
  <c r="M6" i="105" s="1"/>
  <c r="U6" i="105"/>
  <c r="O6" i="105"/>
  <c r="K6" i="105"/>
  <c r="G6" i="105"/>
  <c r="V5" i="105"/>
  <c r="M5" i="105" s="1"/>
  <c r="O5" i="105"/>
  <c r="K5" i="105"/>
  <c r="G5" i="105"/>
  <c r="H2" i="105"/>
  <c r="H1" i="105"/>
  <c r="D1" i="105"/>
  <c r="M18" i="104"/>
  <c r="L18" i="104"/>
  <c r="K18" i="104"/>
  <c r="J18" i="104"/>
  <c r="I18" i="104"/>
  <c r="H18" i="104"/>
  <c r="G18" i="104"/>
  <c r="F18" i="104"/>
  <c r="E18" i="104"/>
  <c r="D18" i="104"/>
  <c r="M17" i="104"/>
  <c r="L17" i="104"/>
  <c r="K17" i="104"/>
  <c r="J17" i="104"/>
  <c r="I17" i="104"/>
  <c r="H17" i="104"/>
  <c r="G17" i="104"/>
  <c r="F17" i="104"/>
  <c r="E17" i="104"/>
  <c r="D17" i="104"/>
  <c r="M16" i="104"/>
  <c r="L16" i="104"/>
  <c r="K16" i="104"/>
  <c r="J16" i="104"/>
  <c r="I16" i="104"/>
  <c r="H16" i="104"/>
  <c r="G16" i="104"/>
  <c r="F16" i="104"/>
  <c r="E16" i="104"/>
  <c r="D16" i="104"/>
  <c r="H14" i="104"/>
  <c r="M13" i="104"/>
  <c r="L13" i="104"/>
  <c r="K13" i="104"/>
  <c r="I6" i="104" s="1"/>
  <c r="J13" i="104"/>
  <c r="I13" i="104"/>
  <c r="H13" i="104"/>
  <c r="H15" i="104" s="1"/>
  <c r="G13" i="104"/>
  <c r="F13" i="104"/>
  <c r="E13" i="104"/>
  <c r="D13" i="104"/>
  <c r="F6" i="104" s="1"/>
  <c r="F3" i="104"/>
  <c r="C3" i="104"/>
  <c r="F2" i="105" l="1"/>
  <c r="I3" i="104"/>
  <c r="N7" i="105"/>
  <c r="AB7" i="105"/>
  <c r="AA7" i="105"/>
  <c r="N48" i="105"/>
  <c r="AB48" i="105"/>
  <c r="AA48" i="105"/>
  <c r="N28" i="105"/>
  <c r="AA28" i="105"/>
  <c r="AB28" i="105"/>
  <c r="Q18" i="105"/>
  <c r="P18" i="105"/>
  <c r="N15" i="105"/>
  <c r="AB15" i="105"/>
  <c r="AA15" i="105"/>
  <c r="N26" i="105"/>
  <c r="AB26" i="105"/>
  <c r="AA26" i="105"/>
  <c r="N51" i="105"/>
  <c r="AB51" i="105"/>
  <c r="AA51" i="105"/>
  <c r="M8" i="105"/>
  <c r="AB5" i="105"/>
  <c r="AA5" i="105"/>
  <c r="N5" i="105"/>
  <c r="AB13" i="105"/>
  <c r="AA13" i="105"/>
  <c r="N13" i="105"/>
  <c r="AB24" i="105"/>
  <c r="AA24" i="105"/>
  <c r="N24" i="105"/>
  <c r="N60" i="105"/>
  <c r="AB60" i="105"/>
  <c r="AA60" i="105"/>
  <c r="Q9" i="105"/>
  <c r="P9" i="105"/>
  <c r="Q17" i="105"/>
  <c r="P17" i="105"/>
  <c r="N27" i="105"/>
  <c r="AB27" i="105"/>
  <c r="AA27" i="105"/>
  <c r="N29" i="105"/>
  <c r="AB29" i="105"/>
  <c r="AA29" i="105"/>
  <c r="AB6" i="105"/>
  <c r="AA6" i="105"/>
  <c r="N6" i="105"/>
  <c r="AB14" i="105"/>
  <c r="AA14" i="105"/>
  <c r="N14" i="105"/>
  <c r="N23" i="105"/>
  <c r="AB23" i="105"/>
  <c r="AA23" i="105"/>
  <c r="M30" i="105"/>
  <c r="N25" i="105"/>
  <c r="AB25" i="105"/>
  <c r="AA25" i="105"/>
  <c r="N50" i="105"/>
  <c r="M54" i="105"/>
  <c r="AB50" i="105"/>
  <c r="AA50" i="105"/>
  <c r="N58" i="105"/>
  <c r="AB58" i="105"/>
  <c r="AA58" i="105"/>
  <c r="AB35" i="105"/>
  <c r="AC31" i="105" s="1"/>
  <c r="AA35" i="105"/>
  <c r="N35" i="105"/>
  <c r="AB47" i="105"/>
  <c r="AA47" i="105"/>
  <c r="N47" i="105"/>
  <c r="N61" i="105"/>
  <c r="AA61" i="105"/>
  <c r="AB61" i="105"/>
  <c r="N55" i="105"/>
  <c r="AB55" i="105"/>
  <c r="AA55" i="105"/>
  <c r="M62" i="105"/>
  <c r="N59" i="105"/>
  <c r="AB59" i="105"/>
  <c r="AA59" i="105"/>
  <c r="AA9" i="105"/>
  <c r="AA17" i="105"/>
  <c r="AA18" i="105"/>
  <c r="M22" i="105"/>
  <c r="N57" i="105"/>
  <c r="N21" i="105"/>
  <c r="N33" i="105"/>
  <c r="N43" i="105"/>
  <c r="N44" i="105"/>
  <c r="P46" i="105"/>
  <c r="P56" i="105"/>
  <c r="M10" i="105"/>
  <c r="N32" i="105"/>
  <c r="N53" i="105"/>
  <c r="N11" i="105"/>
  <c r="N12" i="105"/>
  <c r="G6" i="104"/>
  <c r="N31" i="105"/>
  <c r="N34" i="105"/>
  <c r="N45" i="105"/>
  <c r="E6" i="104"/>
  <c r="AA57" i="105"/>
  <c r="P19" i="105"/>
  <c r="AA46" i="105"/>
  <c r="P52" i="105"/>
  <c r="AA56" i="105"/>
  <c r="AA11" i="105"/>
  <c r="AA12" i="105"/>
  <c r="M16" i="105"/>
  <c r="AA34" i="105"/>
  <c r="AA45" i="105"/>
  <c r="M49" i="105"/>
  <c r="AA21" i="105"/>
  <c r="AA33" i="105"/>
  <c r="AA43" i="105"/>
  <c r="AA44" i="105"/>
  <c r="AA31" i="105"/>
  <c r="AB31" i="105"/>
  <c r="Q53" i="105" l="1"/>
  <c r="P53" i="105"/>
  <c r="N8" i="105"/>
  <c r="AB8" i="105"/>
  <c r="AC5" i="105" s="1"/>
  <c r="AA8" i="105"/>
  <c r="AB10" i="105"/>
  <c r="AC9" i="105" s="1"/>
  <c r="AA10" i="105"/>
  <c r="N10" i="105"/>
  <c r="P60" i="105"/>
  <c r="Q60" i="105"/>
  <c r="Q28" i="105"/>
  <c r="P28" i="105"/>
  <c r="P35" i="105"/>
  <c r="Q35" i="105"/>
  <c r="R31" i="105" s="1"/>
  <c r="L14" i="104"/>
  <c r="L15" i="104" s="1"/>
  <c r="Q25" i="105"/>
  <c r="P25" i="105"/>
  <c r="P24" i="105"/>
  <c r="Q24" i="105"/>
  <c r="Q51" i="105"/>
  <c r="P51" i="105"/>
  <c r="AB54" i="105"/>
  <c r="AC50" i="105" s="1"/>
  <c r="AA54" i="105"/>
  <c r="N54" i="105"/>
  <c r="Q59" i="105"/>
  <c r="P59" i="105"/>
  <c r="AB30" i="105"/>
  <c r="AC23" i="105" s="1"/>
  <c r="AA30" i="105"/>
  <c r="N30" i="105"/>
  <c r="Q29" i="105"/>
  <c r="P29" i="105"/>
  <c r="Q32" i="105"/>
  <c r="P32" i="105"/>
  <c r="Q44" i="105"/>
  <c r="P44" i="105"/>
  <c r="Q48" i="105"/>
  <c r="P48" i="105"/>
  <c r="AB62" i="105"/>
  <c r="AC55" i="105" s="1"/>
  <c r="AA62" i="105"/>
  <c r="N62" i="105"/>
  <c r="Q45" i="105"/>
  <c r="P45" i="105"/>
  <c r="Q43" i="105"/>
  <c r="P43" i="105"/>
  <c r="Q13" i="105"/>
  <c r="P13" i="105"/>
  <c r="Q26" i="105"/>
  <c r="P26" i="105"/>
  <c r="Q61" i="105"/>
  <c r="P61" i="105"/>
  <c r="P47" i="105"/>
  <c r="Q47" i="105"/>
  <c r="Q23" i="105"/>
  <c r="P23" i="105"/>
  <c r="P6" i="105"/>
  <c r="Q6" i="105"/>
  <c r="Q33" i="105"/>
  <c r="P33" i="105"/>
  <c r="Q31" i="105"/>
  <c r="P31" i="105"/>
  <c r="Q21" i="105"/>
  <c r="P21" i="105"/>
  <c r="Q55" i="105"/>
  <c r="P55" i="105"/>
  <c r="Q58" i="105"/>
  <c r="P58" i="105"/>
  <c r="P14" i="105"/>
  <c r="Q14" i="105"/>
  <c r="Q7" i="105"/>
  <c r="P7" i="105"/>
  <c r="Q11" i="105"/>
  <c r="P11" i="105"/>
  <c r="Q50" i="105"/>
  <c r="P50" i="105"/>
  <c r="N49" i="105"/>
  <c r="AB49" i="105"/>
  <c r="AC43" i="105" s="1"/>
  <c r="AA49" i="105"/>
  <c r="Q34" i="105"/>
  <c r="P34" i="105"/>
  <c r="P57" i="105"/>
  <c r="Q57" i="105"/>
  <c r="P5" i="105"/>
  <c r="Q5" i="105"/>
  <c r="Q15" i="105"/>
  <c r="P15" i="105"/>
  <c r="P27" i="105"/>
  <c r="Q27" i="105"/>
  <c r="N16" i="105"/>
  <c r="AB16" i="105"/>
  <c r="AC11" i="105" s="1"/>
  <c r="AA16" i="105"/>
  <c r="Q12" i="105"/>
  <c r="P12" i="105"/>
  <c r="AB22" i="105"/>
  <c r="AC17" i="105" s="1"/>
  <c r="AA22" i="105"/>
  <c r="N22" i="105"/>
  <c r="Q54" i="105" l="1"/>
  <c r="R50" i="105" s="1"/>
  <c r="P54" i="105"/>
  <c r="J14" i="104"/>
  <c r="J15" i="104" s="1"/>
  <c r="P16" i="105"/>
  <c r="F14" i="104"/>
  <c r="F15" i="104" s="1"/>
  <c r="Q16" i="105"/>
  <c r="R11" i="105" s="1"/>
  <c r="G14" i="104"/>
  <c r="G15" i="104" s="1"/>
  <c r="Q22" i="105"/>
  <c r="R17" i="105" s="1"/>
  <c r="P22" i="105"/>
  <c r="Q10" i="105"/>
  <c r="R9" i="105" s="1"/>
  <c r="P10" i="105"/>
  <c r="E14" i="104"/>
  <c r="E15" i="104" s="1"/>
  <c r="Q30" i="105"/>
  <c r="R23" i="105" s="1"/>
  <c r="P30" i="105"/>
  <c r="K14" i="104"/>
  <c r="P8" i="105"/>
  <c r="D2" i="105"/>
  <c r="D14" i="104"/>
  <c r="Q8" i="105"/>
  <c r="R5" i="105" s="1"/>
  <c r="Q62" i="105"/>
  <c r="R55" i="105" s="1"/>
  <c r="P62" i="105"/>
  <c r="M14" i="104"/>
  <c r="M15" i="104" s="1"/>
  <c r="P49" i="105"/>
  <c r="I14" i="104"/>
  <c r="I15" i="104" s="1"/>
  <c r="Q49" i="105"/>
  <c r="R43" i="105" s="1"/>
  <c r="D15" i="104" l="1"/>
  <c r="G7" i="104"/>
  <c r="F7" i="104"/>
  <c r="E7" i="104"/>
  <c r="K15" i="104"/>
  <c r="I8" i="104" s="1"/>
  <c r="I7" i="104"/>
  <c r="G8" i="104" l="1"/>
  <c r="F8" i="104"/>
  <c r="E8" i="104"/>
  <c r="O71" i="103" l="1"/>
  <c r="K71" i="103"/>
  <c r="V70" i="103"/>
  <c r="M70" i="103" s="1"/>
  <c r="U70" i="103"/>
  <c r="O70" i="103"/>
  <c r="K70" i="103"/>
  <c r="G70" i="103"/>
  <c r="V69" i="103"/>
  <c r="M69" i="103" s="1"/>
  <c r="U69" i="103"/>
  <c r="O69" i="103"/>
  <c r="K69" i="103"/>
  <c r="G69" i="103"/>
  <c r="V68" i="103"/>
  <c r="M68" i="103" s="1"/>
  <c r="U68" i="103"/>
  <c r="O68" i="103"/>
  <c r="K68" i="103"/>
  <c r="G68" i="103"/>
  <c r="X67" i="103"/>
  <c r="W67" i="103"/>
  <c r="V67" i="103"/>
  <c r="M67" i="103" s="1"/>
  <c r="U67" i="103"/>
  <c r="O67" i="103"/>
  <c r="K67" i="103"/>
  <c r="G67" i="103"/>
  <c r="V66" i="103"/>
  <c r="M66" i="103" s="1"/>
  <c r="U66" i="103"/>
  <c r="O66" i="103"/>
  <c r="K66" i="103"/>
  <c r="G66" i="103"/>
  <c r="V65" i="103"/>
  <c r="M65" i="103" s="1"/>
  <c r="U65" i="103"/>
  <c r="O65" i="103"/>
  <c r="K65" i="103"/>
  <c r="G65" i="103"/>
  <c r="V64" i="103"/>
  <c r="M64" i="103" s="1"/>
  <c r="U64" i="103"/>
  <c r="O64" i="103"/>
  <c r="K64" i="103"/>
  <c r="G64" i="103"/>
  <c r="V63" i="103"/>
  <c r="U63" i="103"/>
  <c r="O63" i="103"/>
  <c r="M63" i="103"/>
  <c r="AB63" i="103" s="1"/>
  <c r="K63" i="103"/>
  <c r="G63" i="103"/>
  <c r="V62" i="103"/>
  <c r="U62" i="103"/>
  <c r="O62" i="103"/>
  <c r="N62" i="103"/>
  <c r="Q62" i="103" s="1"/>
  <c r="M62" i="103"/>
  <c r="AB62" i="103" s="1"/>
  <c r="K62" i="103"/>
  <c r="G62" i="103"/>
  <c r="X61" i="103"/>
  <c r="W61" i="103"/>
  <c r="V61" i="103"/>
  <c r="M61" i="103" s="1"/>
  <c r="O61" i="103"/>
  <c r="K61" i="103"/>
  <c r="G61" i="103"/>
  <c r="O60" i="103"/>
  <c r="K60" i="103"/>
  <c r="AB59" i="103"/>
  <c r="V59" i="103"/>
  <c r="U59" i="103"/>
  <c r="O59" i="103"/>
  <c r="N59" i="103"/>
  <c r="Q59" i="103" s="1"/>
  <c r="M59" i="103"/>
  <c r="AA59" i="103" s="1"/>
  <c r="K59" i="103"/>
  <c r="G59" i="103"/>
  <c r="AB58" i="103"/>
  <c r="AA58" i="103"/>
  <c r="V58" i="103"/>
  <c r="U58" i="103"/>
  <c r="O58" i="103"/>
  <c r="M58" i="103"/>
  <c r="N58" i="103" s="1"/>
  <c r="K58" i="103"/>
  <c r="G58" i="103"/>
  <c r="V57" i="103"/>
  <c r="M57" i="103" s="1"/>
  <c r="U57" i="103"/>
  <c r="O57" i="103"/>
  <c r="K57" i="103"/>
  <c r="G57" i="103"/>
  <c r="V56" i="103"/>
  <c r="M56" i="103" s="1"/>
  <c r="O56" i="103"/>
  <c r="K56" i="103"/>
  <c r="G56" i="103"/>
  <c r="O55" i="103"/>
  <c r="K55" i="103"/>
  <c r="V54" i="103"/>
  <c r="M54" i="103" s="1"/>
  <c r="U54" i="103"/>
  <c r="O54" i="103"/>
  <c r="K54" i="103"/>
  <c r="G54" i="103"/>
  <c r="V53" i="103"/>
  <c r="U53" i="103"/>
  <c r="O53" i="103"/>
  <c r="M53" i="103"/>
  <c r="AB53" i="103" s="1"/>
  <c r="K53" i="103"/>
  <c r="G53" i="103"/>
  <c r="V52" i="103"/>
  <c r="U52" i="103"/>
  <c r="O52" i="103"/>
  <c r="N52" i="103"/>
  <c r="Q52" i="103" s="1"/>
  <c r="M52" i="103"/>
  <c r="AB52" i="103" s="1"/>
  <c r="K52" i="103"/>
  <c r="G52" i="103"/>
  <c r="V51" i="103"/>
  <c r="U51" i="103"/>
  <c r="O51" i="103"/>
  <c r="M51" i="103"/>
  <c r="AB51" i="103" s="1"/>
  <c r="K51" i="103"/>
  <c r="G51" i="103"/>
  <c r="V50" i="103"/>
  <c r="U50" i="103"/>
  <c r="O50" i="103"/>
  <c r="M50" i="103"/>
  <c r="AB50" i="103" s="1"/>
  <c r="K50" i="103"/>
  <c r="G50" i="103"/>
  <c r="V49" i="103"/>
  <c r="O49" i="103"/>
  <c r="M49" i="103"/>
  <c r="AB49" i="103" s="1"/>
  <c r="K49" i="103"/>
  <c r="G49" i="103"/>
  <c r="O48" i="103"/>
  <c r="K48" i="103"/>
  <c r="V47" i="103"/>
  <c r="M47" i="103" s="1"/>
  <c r="U47" i="103"/>
  <c r="O47" i="103"/>
  <c r="K47" i="103"/>
  <c r="G47" i="103"/>
  <c r="V46" i="103"/>
  <c r="M46" i="103" s="1"/>
  <c r="U46" i="103"/>
  <c r="O46" i="103"/>
  <c r="K46" i="103"/>
  <c r="G46" i="103"/>
  <c r="V45" i="103"/>
  <c r="M45" i="103" s="1"/>
  <c r="U45" i="103"/>
  <c r="O45" i="103"/>
  <c r="K45" i="103"/>
  <c r="G45" i="103"/>
  <c r="V44" i="103"/>
  <c r="M44" i="103" s="1"/>
  <c r="U44" i="103"/>
  <c r="O44" i="103"/>
  <c r="K44" i="103"/>
  <c r="G44" i="103"/>
  <c r="V43" i="103"/>
  <c r="U43" i="103"/>
  <c r="O43" i="103"/>
  <c r="M43" i="103"/>
  <c r="AB43" i="103" s="1"/>
  <c r="K43" i="103"/>
  <c r="G43" i="103"/>
  <c r="X42" i="103"/>
  <c r="W42" i="103"/>
  <c r="V42" i="103"/>
  <c r="M42" i="103" s="1"/>
  <c r="O42" i="103"/>
  <c r="K42" i="103"/>
  <c r="G42" i="103"/>
  <c r="O41" i="103"/>
  <c r="K41" i="103"/>
  <c r="L13" i="102" s="1"/>
  <c r="I6" i="102" s="1"/>
  <c r="V40" i="103"/>
  <c r="U40" i="103"/>
  <c r="O40" i="103"/>
  <c r="M40" i="103"/>
  <c r="AB40" i="103" s="1"/>
  <c r="K40" i="103"/>
  <c r="G40" i="103"/>
  <c r="AB39" i="103"/>
  <c r="V39" i="103"/>
  <c r="U39" i="103"/>
  <c r="O39" i="103"/>
  <c r="N39" i="103"/>
  <c r="Q39" i="103" s="1"/>
  <c r="M39" i="103"/>
  <c r="AA39" i="103" s="1"/>
  <c r="K39" i="103"/>
  <c r="G39" i="103"/>
  <c r="AA38" i="103"/>
  <c r="V38" i="103"/>
  <c r="U38" i="103"/>
  <c r="O38" i="103"/>
  <c r="N38" i="103"/>
  <c r="Q38" i="103" s="1"/>
  <c r="M38" i="103"/>
  <c r="AB38" i="103" s="1"/>
  <c r="K38" i="103"/>
  <c r="G38" i="103"/>
  <c r="AB37" i="103"/>
  <c r="X37" i="103"/>
  <c r="W37" i="103"/>
  <c r="V37" i="103"/>
  <c r="U37" i="103"/>
  <c r="O37" i="103"/>
  <c r="N37" i="103"/>
  <c r="Q37" i="103" s="1"/>
  <c r="M37" i="103"/>
  <c r="AA37" i="103" s="1"/>
  <c r="K37" i="103"/>
  <c r="G37" i="103"/>
  <c r="AA36" i="103"/>
  <c r="V36" i="103"/>
  <c r="U36" i="103"/>
  <c r="O36" i="103"/>
  <c r="N36" i="103"/>
  <c r="Q36" i="103" s="1"/>
  <c r="M36" i="103"/>
  <c r="AB36" i="103" s="1"/>
  <c r="K36" i="103"/>
  <c r="G36" i="103"/>
  <c r="V35" i="103"/>
  <c r="M35" i="103" s="1"/>
  <c r="U35" i="103"/>
  <c r="O35" i="103"/>
  <c r="K35" i="103"/>
  <c r="G35" i="103"/>
  <c r="V34" i="103"/>
  <c r="M34" i="103" s="1"/>
  <c r="U34" i="103"/>
  <c r="O34" i="103"/>
  <c r="K34" i="103"/>
  <c r="G34" i="103"/>
  <c r="V33" i="103"/>
  <c r="M33" i="103" s="1"/>
  <c r="U33" i="103"/>
  <c r="O33" i="103"/>
  <c r="K33" i="103"/>
  <c r="G33" i="103"/>
  <c r="X32" i="103"/>
  <c r="W32" i="103"/>
  <c r="V32" i="103"/>
  <c r="M32" i="103" s="1"/>
  <c r="O32" i="103"/>
  <c r="K32" i="103"/>
  <c r="G32" i="103"/>
  <c r="O31" i="103"/>
  <c r="K31" i="103"/>
  <c r="V30" i="103"/>
  <c r="M30" i="103" s="1"/>
  <c r="U30" i="103"/>
  <c r="O30" i="103"/>
  <c r="K30" i="103"/>
  <c r="G30" i="103"/>
  <c r="V29" i="103"/>
  <c r="U29" i="103"/>
  <c r="O29" i="103"/>
  <c r="M29" i="103"/>
  <c r="AB29" i="103" s="1"/>
  <c r="K29" i="103"/>
  <c r="G29" i="103"/>
  <c r="V28" i="103"/>
  <c r="U28" i="103"/>
  <c r="O28" i="103"/>
  <c r="N28" i="103"/>
  <c r="Q28" i="103" s="1"/>
  <c r="M28" i="103"/>
  <c r="AB28" i="103" s="1"/>
  <c r="K28" i="103"/>
  <c r="G28" i="103"/>
  <c r="X27" i="103"/>
  <c r="W27" i="103"/>
  <c r="V27" i="103"/>
  <c r="U27" i="103"/>
  <c r="O27" i="103"/>
  <c r="M27" i="103"/>
  <c r="AB27" i="103" s="1"/>
  <c r="K27" i="103"/>
  <c r="G27" i="103"/>
  <c r="V26" i="103"/>
  <c r="U26" i="103"/>
  <c r="O26" i="103"/>
  <c r="N26" i="103"/>
  <c r="Q26" i="103" s="1"/>
  <c r="M26" i="103"/>
  <c r="AB26" i="103" s="1"/>
  <c r="K26" i="103"/>
  <c r="G26" i="103"/>
  <c r="V25" i="103"/>
  <c r="U25" i="103"/>
  <c r="Q25" i="103"/>
  <c r="O25" i="103"/>
  <c r="N25" i="103"/>
  <c r="P25" i="103" s="1"/>
  <c r="M25" i="103"/>
  <c r="AB25" i="103" s="1"/>
  <c r="K25" i="103"/>
  <c r="G25" i="103"/>
  <c r="V24" i="103"/>
  <c r="U24" i="103"/>
  <c r="O24" i="103"/>
  <c r="M24" i="103"/>
  <c r="AB24" i="103" s="1"/>
  <c r="K24" i="103"/>
  <c r="G24" i="103"/>
  <c r="X23" i="103"/>
  <c r="W23" i="103"/>
  <c r="V23" i="103"/>
  <c r="O23" i="103"/>
  <c r="N23" i="103"/>
  <c r="Q23" i="103" s="1"/>
  <c r="M23" i="103"/>
  <c r="AB23" i="103" s="1"/>
  <c r="K23" i="103"/>
  <c r="G23" i="103"/>
  <c r="O22" i="103"/>
  <c r="K22" i="103"/>
  <c r="V21" i="103"/>
  <c r="M21" i="103" s="1"/>
  <c r="U21" i="103"/>
  <c r="O21" i="103"/>
  <c r="K21" i="103"/>
  <c r="G21" i="103"/>
  <c r="V20" i="103"/>
  <c r="M20" i="103" s="1"/>
  <c r="U20" i="103"/>
  <c r="O20" i="103"/>
  <c r="K20" i="103"/>
  <c r="G20" i="103"/>
  <c r="V19" i="103"/>
  <c r="M19" i="103" s="1"/>
  <c r="U19" i="103"/>
  <c r="O19" i="103"/>
  <c r="K19" i="103"/>
  <c r="G19" i="103"/>
  <c r="V18" i="103"/>
  <c r="M18" i="103" s="1"/>
  <c r="U18" i="103"/>
  <c r="O18" i="103"/>
  <c r="K18" i="103"/>
  <c r="G18" i="103"/>
  <c r="V17" i="103"/>
  <c r="M17" i="103" s="1"/>
  <c r="O17" i="103"/>
  <c r="K17" i="103"/>
  <c r="G17" i="103"/>
  <c r="O16" i="103"/>
  <c r="K16" i="103"/>
  <c r="V15" i="103"/>
  <c r="U15" i="103"/>
  <c r="O15" i="103"/>
  <c r="M15" i="103"/>
  <c r="AB15" i="103" s="1"/>
  <c r="K15" i="103"/>
  <c r="G15" i="103"/>
  <c r="V14" i="103"/>
  <c r="U14" i="103"/>
  <c r="O14" i="103"/>
  <c r="M14" i="103"/>
  <c r="AB14" i="103" s="1"/>
  <c r="K14" i="103"/>
  <c r="G14" i="103"/>
  <c r="AB13" i="103"/>
  <c r="V13" i="103"/>
  <c r="U13" i="103"/>
  <c r="Q13" i="103"/>
  <c r="O13" i="103"/>
  <c r="N13" i="103"/>
  <c r="M13" i="103"/>
  <c r="AA13" i="103" s="1"/>
  <c r="K13" i="103"/>
  <c r="P13" i="103" s="1"/>
  <c r="G13" i="103"/>
  <c r="AB12" i="103"/>
  <c r="AA12" i="103"/>
  <c r="V12" i="103"/>
  <c r="U12" i="103"/>
  <c r="P12" i="103"/>
  <c r="O12" i="103"/>
  <c r="N12" i="103"/>
  <c r="Q12" i="103" s="1"/>
  <c r="M12" i="103"/>
  <c r="K12" i="103"/>
  <c r="G12" i="103"/>
  <c r="AA11" i="103"/>
  <c r="V11" i="103"/>
  <c r="M11" i="103" s="1"/>
  <c r="O11" i="103"/>
  <c r="K11" i="103"/>
  <c r="G11" i="103"/>
  <c r="O10" i="103"/>
  <c r="K10" i="103"/>
  <c r="V9" i="103"/>
  <c r="M9" i="103" s="1"/>
  <c r="O9" i="103"/>
  <c r="K9" i="103"/>
  <c r="G9" i="103"/>
  <c r="O8" i="103"/>
  <c r="M8" i="103"/>
  <c r="K8" i="103"/>
  <c r="V7" i="103"/>
  <c r="M7" i="103" s="1"/>
  <c r="U7" i="103"/>
  <c r="O7" i="103"/>
  <c r="K7" i="103"/>
  <c r="G7" i="103"/>
  <c r="V6" i="103"/>
  <c r="U6" i="103"/>
  <c r="O6" i="103"/>
  <c r="M6" i="103"/>
  <c r="AB6" i="103" s="1"/>
  <c r="K6" i="103"/>
  <c r="G6" i="103"/>
  <c r="V5" i="103"/>
  <c r="O5" i="103"/>
  <c r="M5" i="103"/>
  <c r="AB5" i="103" s="1"/>
  <c r="K5" i="103"/>
  <c r="G5" i="103"/>
  <c r="F1" i="103" s="1"/>
  <c r="I3" i="102" s="1"/>
  <c r="D1" i="103"/>
  <c r="M18" i="102"/>
  <c r="L18" i="102"/>
  <c r="K18" i="102"/>
  <c r="J18" i="102"/>
  <c r="I18" i="102"/>
  <c r="H18" i="102"/>
  <c r="G18" i="102"/>
  <c r="F18" i="102"/>
  <c r="E18" i="102"/>
  <c r="D18" i="102"/>
  <c r="M17" i="102"/>
  <c r="L17" i="102"/>
  <c r="K17" i="102"/>
  <c r="J17" i="102"/>
  <c r="I17" i="102"/>
  <c r="H17" i="102"/>
  <c r="G17" i="102"/>
  <c r="F17" i="102"/>
  <c r="E17" i="102"/>
  <c r="D17" i="102"/>
  <c r="M16" i="102"/>
  <c r="L16" i="102"/>
  <c r="K16" i="102"/>
  <c r="J16" i="102"/>
  <c r="I16" i="102"/>
  <c r="H16" i="102"/>
  <c r="G16" i="102"/>
  <c r="F16" i="102"/>
  <c r="E16" i="102"/>
  <c r="D16" i="102"/>
  <c r="M13" i="102"/>
  <c r="K13" i="102"/>
  <c r="J13" i="102"/>
  <c r="I13" i="102"/>
  <c r="H13" i="102"/>
  <c r="G13" i="102"/>
  <c r="E6" i="102" s="1"/>
  <c r="F13" i="102"/>
  <c r="E13" i="102"/>
  <c r="D13" i="102"/>
  <c r="F3" i="102"/>
  <c r="C3" i="102"/>
  <c r="N32" i="103" l="1"/>
  <c r="AB32" i="103"/>
  <c r="AA32" i="103"/>
  <c r="M41" i="103"/>
  <c r="N34" i="103"/>
  <c r="AB34" i="103"/>
  <c r="AA34" i="103"/>
  <c r="AB8" i="103"/>
  <c r="AC5" i="103" s="1"/>
  <c r="AA8" i="103"/>
  <c r="N8" i="103"/>
  <c r="N64" i="103"/>
  <c r="AB64" i="103"/>
  <c r="AA64" i="103"/>
  <c r="N46" i="103"/>
  <c r="AB46" i="103"/>
  <c r="AA46" i="103"/>
  <c r="N56" i="103"/>
  <c r="M60" i="103"/>
  <c r="AB56" i="103"/>
  <c r="AA56" i="103"/>
  <c r="N17" i="103"/>
  <c r="AB17" i="103"/>
  <c r="M22" i="103"/>
  <c r="AA17" i="103"/>
  <c r="F2" i="103"/>
  <c r="N42" i="103"/>
  <c r="AB42" i="103"/>
  <c r="AA42" i="103"/>
  <c r="M48" i="103"/>
  <c r="N35" i="103"/>
  <c r="AB35" i="103"/>
  <c r="AA35" i="103"/>
  <c r="N61" i="103"/>
  <c r="AB61" i="103"/>
  <c r="AA61" i="103"/>
  <c r="M71" i="103"/>
  <c r="N18" i="103"/>
  <c r="AB18" i="103"/>
  <c r="AA18" i="103"/>
  <c r="N30" i="103"/>
  <c r="AB30" i="103"/>
  <c r="AA30" i="103"/>
  <c r="N65" i="103"/>
  <c r="AB65" i="103"/>
  <c r="AA65" i="103"/>
  <c r="N47" i="103"/>
  <c r="AB47" i="103"/>
  <c r="AA47" i="103"/>
  <c r="AB7" i="103"/>
  <c r="AA7" i="103"/>
  <c r="N7" i="103"/>
  <c r="N54" i="103"/>
  <c r="AB54" i="103"/>
  <c r="AA54" i="103"/>
  <c r="N9" i="103"/>
  <c r="M10" i="103"/>
  <c r="AB9" i="103"/>
  <c r="AA9" i="103"/>
  <c r="N20" i="103"/>
  <c r="AB20" i="103"/>
  <c r="AA20" i="103"/>
  <c r="N44" i="103"/>
  <c r="AB44" i="103"/>
  <c r="AA44" i="103"/>
  <c r="N67" i="103"/>
  <c r="AB67" i="103"/>
  <c r="AA67" i="103"/>
  <c r="N69" i="103"/>
  <c r="AB69" i="103"/>
  <c r="AA69" i="103"/>
  <c r="N33" i="103"/>
  <c r="AB33" i="103"/>
  <c r="AA33" i="103"/>
  <c r="N57" i="103"/>
  <c r="AB57" i="103"/>
  <c r="AA57" i="103"/>
  <c r="G6" i="102"/>
  <c r="N21" i="103"/>
  <c r="AB21" i="103"/>
  <c r="AA21" i="103"/>
  <c r="N45" i="103"/>
  <c r="AB45" i="103"/>
  <c r="AA45" i="103"/>
  <c r="N70" i="103"/>
  <c r="AB70" i="103"/>
  <c r="AA70" i="103"/>
  <c r="Q58" i="103"/>
  <c r="P58" i="103"/>
  <c r="M16" i="103"/>
  <c r="N11" i="103"/>
  <c r="AB11" i="103"/>
  <c r="N19" i="103"/>
  <c r="AB19" i="103"/>
  <c r="AA19" i="103"/>
  <c r="N66" i="103"/>
  <c r="AB66" i="103"/>
  <c r="AA66" i="103"/>
  <c r="N68" i="103"/>
  <c r="AB68" i="103"/>
  <c r="AA68" i="103"/>
  <c r="N27" i="103"/>
  <c r="N29" i="103"/>
  <c r="N43" i="103"/>
  <c r="N53" i="103"/>
  <c r="N63" i="103"/>
  <c r="N15" i="103"/>
  <c r="N51" i="103"/>
  <c r="N5" i="103"/>
  <c r="N6" i="103"/>
  <c r="N14" i="103"/>
  <c r="P23" i="103"/>
  <c r="N24" i="103"/>
  <c r="P26" i="103"/>
  <c r="P28" i="103"/>
  <c r="N40" i="103"/>
  <c r="N49" i="103"/>
  <c r="N50" i="103"/>
  <c r="P52" i="103"/>
  <c r="P62" i="103"/>
  <c r="AA29" i="103"/>
  <c r="P37" i="103"/>
  <c r="P39" i="103"/>
  <c r="AA43" i="103"/>
  <c r="AA53" i="103"/>
  <c r="P59" i="103"/>
  <c r="AA63" i="103"/>
  <c r="AA26" i="103"/>
  <c r="AA28" i="103"/>
  <c r="P36" i="103"/>
  <c r="P38" i="103"/>
  <c r="AA52" i="103"/>
  <c r="AA62" i="103"/>
  <c r="AA15" i="103"/>
  <c r="AA25" i="103"/>
  <c r="AA27" i="103"/>
  <c r="M31" i="103"/>
  <c r="AA51" i="103"/>
  <c r="M55" i="103"/>
  <c r="AA5" i="103"/>
  <c r="AA6" i="103"/>
  <c r="AA14" i="103"/>
  <c r="AA23" i="103"/>
  <c r="AA24" i="103"/>
  <c r="AA40" i="103"/>
  <c r="AA49" i="103"/>
  <c r="AA50" i="103"/>
  <c r="F6" i="102"/>
  <c r="Q5" i="103" l="1"/>
  <c r="P5" i="103"/>
  <c r="Q70" i="103"/>
  <c r="P70" i="103"/>
  <c r="AB71" i="103"/>
  <c r="AC61" i="103" s="1"/>
  <c r="AA71" i="103"/>
  <c r="N71" i="103"/>
  <c r="Q20" i="103"/>
  <c r="P20" i="103"/>
  <c r="AB22" i="103"/>
  <c r="AC17" i="103" s="1"/>
  <c r="AA22" i="103"/>
  <c r="N22" i="103"/>
  <c r="Q64" i="103"/>
  <c r="P64" i="103"/>
  <c r="Q15" i="103"/>
  <c r="P15" i="103"/>
  <c r="P47" i="103"/>
  <c r="Q47" i="103"/>
  <c r="D14" i="102"/>
  <c r="Q8" i="103"/>
  <c r="R5" i="103" s="1"/>
  <c r="P8" i="103"/>
  <c r="Q51" i="103"/>
  <c r="P51" i="103"/>
  <c r="Q50" i="103"/>
  <c r="P50" i="103"/>
  <c r="Q63" i="103"/>
  <c r="P63" i="103"/>
  <c r="Q45" i="103"/>
  <c r="P45" i="103"/>
  <c r="Q61" i="103"/>
  <c r="P61" i="103"/>
  <c r="P17" i="103"/>
  <c r="Q17" i="103"/>
  <c r="P19" i="103"/>
  <c r="Q19" i="103"/>
  <c r="N10" i="103"/>
  <c r="AB10" i="103"/>
  <c r="AC9" i="103" s="1"/>
  <c r="AA10" i="103"/>
  <c r="Q49" i="103"/>
  <c r="P49" i="103"/>
  <c r="P69" i="103"/>
  <c r="Q69" i="103"/>
  <c r="Q40" i="103"/>
  <c r="P40" i="103"/>
  <c r="Q43" i="103"/>
  <c r="P43" i="103"/>
  <c r="Q9" i="103"/>
  <c r="P9" i="103"/>
  <c r="Q65" i="103"/>
  <c r="P65" i="103"/>
  <c r="Q53" i="103"/>
  <c r="P53" i="103"/>
  <c r="N55" i="103"/>
  <c r="AB55" i="103"/>
  <c r="AC49" i="103" s="1"/>
  <c r="AA55" i="103"/>
  <c r="Q29" i="103"/>
  <c r="P29" i="103"/>
  <c r="Q11" i="103"/>
  <c r="P11" i="103"/>
  <c r="Q21" i="103"/>
  <c r="P21" i="103"/>
  <c r="Q35" i="103"/>
  <c r="P35" i="103"/>
  <c r="AB60" i="103"/>
  <c r="AC56" i="103" s="1"/>
  <c r="AA60" i="103"/>
  <c r="N60" i="103"/>
  <c r="Q27" i="103"/>
  <c r="P27" i="103"/>
  <c r="AB16" i="103"/>
  <c r="AC11" i="103" s="1"/>
  <c r="AA16" i="103"/>
  <c r="N16" i="103"/>
  <c r="P67" i="103"/>
  <c r="Q67" i="103"/>
  <c r="AA48" i="103"/>
  <c r="AB48" i="103"/>
  <c r="AC42" i="103" s="1"/>
  <c r="N48" i="103"/>
  <c r="D2" i="103" s="1"/>
  <c r="Q56" i="103"/>
  <c r="P56" i="103"/>
  <c r="Q34" i="103"/>
  <c r="P34" i="103"/>
  <c r="P33" i="103"/>
  <c r="Q33" i="103"/>
  <c r="N31" i="103"/>
  <c r="AB31" i="103"/>
  <c r="AC23" i="103" s="1"/>
  <c r="AA31" i="103"/>
  <c r="Q24" i="103"/>
  <c r="P24" i="103"/>
  <c r="Q54" i="103"/>
  <c r="P54" i="103"/>
  <c r="Q30" i="103"/>
  <c r="P30" i="103"/>
  <c r="AB41" i="103"/>
  <c r="AC32" i="103" s="1"/>
  <c r="AA41" i="103"/>
  <c r="N41" i="103"/>
  <c r="Q7" i="103"/>
  <c r="P7" i="103"/>
  <c r="P68" i="103"/>
  <c r="Q68" i="103"/>
  <c r="Q44" i="103"/>
  <c r="P44" i="103"/>
  <c r="Q42" i="103"/>
  <c r="P42" i="103"/>
  <c r="P46" i="103"/>
  <c r="Q46" i="103"/>
  <c r="P66" i="103"/>
  <c r="Q66" i="103"/>
  <c r="Q14" i="103"/>
  <c r="P14" i="103"/>
  <c r="Q57" i="103"/>
  <c r="P57" i="103"/>
  <c r="Q6" i="103"/>
  <c r="P6" i="103"/>
  <c r="P18" i="103"/>
  <c r="Q18" i="103"/>
  <c r="Q32" i="103"/>
  <c r="P32" i="103"/>
  <c r="K14" i="102" l="1"/>
  <c r="P31" i="103"/>
  <c r="Q31" i="103"/>
  <c r="R23" i="103" s="1"/>
  <c r="F14" i="102"/>
  <c r="F15" i="102" s="1"/>
  <c r="Q16" i="103"/>
  <c r="R11" i="103" s="1"/>
  <c r="P16" i="103"/>
  <c r="G14" i="102"/>
  <c r="G15" i="102" s="1"/>
  <c r="Q22" i="103"/>
  <c r="R17" i="103" s="1"/>
  <c r="P22" i="103"/>
  <c r="L14" i="102"/>
  <c r="L15" i="102" s="1"/>
  <c r="Q41" i="103"/>
  <c r="R32" i="103" s="1"/>
  <c r="P41" i="103"/>
  <c r="D15" i="102"/>
  <c r="J14" i="102"/>
  <c r="J15" i="102" s="1"/>
  <c r="Q60" i="103"/>
  <c r="R56" i="103" s="1"/>
  <c r="P60" i="103"/>
  <c r="M14" i="102"/>
  <c r="M15" i="102" s="1"/>
  <c r="Q71" i="103"/>
  <c r="R61" i="103" s="1"/>
  <c r="P71" i="103"/>
  <c r="P55" i="103"/>
  <c r="Q55" i="103"/>
  <c r="R49" i="103" s="1"/>
  <c r="I14" i="102"/>
  <c r="I15" i="102" s="1"/>
  <c r="H14" i="102"/>
  <c r="H15" i="102" s="1"/>
  <c r="Q48" i="103"/>
  <c r="R42" i="103" s="1"/>
  <c r="P48" i="103"/>
  <c r="P10" i="103"/>
  <c r="E14" i="102"/>
  <c r="E15" i="102" s="1"/>
  <c r="Q10" i="103"/>
  <c r="R9" i="103" s="1"/>
  <c r="G8" i="102" l="1"/>
  <c r="F8" i="102"/>
  <c r="E7" i="102"/>
  <c r="F7" i="102"/>
  <c r="G7" i="102"/>
  <c r="I7" i="102"/>
  <c r="K15" i="102"/>
  <c r="I8" i="102" s="1"/>
  <c r="E8" i="102" l="1"/>
  <c r="O71" i="101" l="1"/>
  <c r="K71" i="101"/>
  <c r="V70" i="101"/>
  <c r="M70" i="101" s="1"/>
  <c r="U70" i="101"/>
  <c r="O70" i="101"/>
  <c r="K70" i="101"/>
  <c r="G70" i="101"/>
  <c r="V69" i="101"/>
  <c r="M69" i="101" s="1"/>
  <c r="U69" i="101"/>
  <c r="O69" i="101"/>
  <c r="K69" i="101"/>
  <c r="G69" i="101"/>
  <c r="V68" i="101"/>
  <c r="M68" i="101" s="1"/>
  <c r="U68" i="101"/>
  <c r="O68" i="101"/>
  <c r="K68" i="101"/>
  <c r="G68" i="101"/>
  <c r="X67" i="101"/>
  <c r="W67" i="101"/>
  <c r="V67" i="101"/>
  <c r="M67" i="101" s="1"/>
  <c r="U67" i="101"/>
  <c r="O67" i="101"/>
  <c r="K67" i="101"/>
  <c r="G67" i="101"/>
  <c r="V66" i="101"/>
  <c r="M66" i="101" s="1"/>
  <c r="U66" i="101"/>
  <c r="O66" i="101"/>
  <c r="K66" i="101"/>
  <c r="G66" i="101"/>
  <c r="V65" i="101"/>
  <c r="M65" i="101" s="1"/>
  <c r="U65" i="101"/>
  <c r="O65" i="101"/>
  <c r="K65" i="101"/>
  <c r="G65" i="101"/>
  <c r="V64" i="101"/>
  <c r="M64" i="101" s="1"/>
  <c r="U64" i="101"/>
  <c r="O64" i="101"/>
  <c r="K64" i="101"/>
  <c r="G64" i="101"/>
  <c r="V63" i="101"/>
  <c r="U63" i="101"/>
  <c r="O63" i="101"/>
  <c r="N63" i="101"/>
  <c r="Q63" i="101" s="1"/>
  <c r="M63" i="101"/>
  <c r="AB63" i="101" s="1"/>
  <c r="K63" i="101"/>
  <c r="G63" i="101"/>
  <c r="V62" i="101"/>
  <c r="U62" i="101"/>
  <c r="O62" i="101"/>
  <c r="M62" i="101"/>
  <c r="AB62" i="101" s="1"/>
  <c r="K62" i="101"/>
  <c r="G62" i="101"/>
  <c r="X61" i="101"/>
  <c r="W61" i="101"/>
  <c r="V61" i="101"/>
  <c r="M61" i="101" s="1"/>
  <c r="O61" i="101"/>
  <c r="K61" i="101"/>
  <c r="G61" i="101"/>
  <c r="O60" i="101"/>
  <c r="K60" i="101"/>
  <c r="V59" i="101"/>
  <c r="U59" i="101"/>
  <c r="O59" i="101"/>
  <c r="M59" i="101"/>
  <c r="AA59" i="101" s="1"/>
  <c r="K59" i="101"/>
  <c r="G59" i="101"/>
  <c r="AB58" i="101"/>
  <c r="V58" i="101"/>
  <c r="U58" i="101"/>
  <c r="O58" i="101"/>
  <c r="M58" i="101"/>
  <c r="N58" i="101" s="1"/>
  <c r="K58" i="101"/>
  <c r="G58" i="101"/>
  <c r="V57" i="101"/>
  <c r="M57" i="101" s="1"/>
  <c r="U57" i="101"/>
  <c r="O57" i="101"/>
  <c r="K57" i="101"/>
  <c r="G57" i="101"/>
  <c r="V56" i="101"/>
  <c r="M56" i="101" s="1"/>
  <c r="O56" i="101"/>
  <c r="K56" i="101"/>
  <c r="G56" i="101"/>
  <c r="O55" i="101"/>
  <c r="K55" i="101"/>
  <c r="V54" i="101"/>
  <c r="M54" i="101" s="1"/>
  <c r="U54" i="101"/>
  <c r="O54" i="101"/>
  <c r="K54" i="101"/>
  <c r="G54" i="101"/>
  <c r="V53" i="101"/>
  <c r="U53" i="101"/>
  <c r="O53" i="101"/>
  <c r="N53" i="101"/>
  <c r="Q53" i="101" s="1"/>
  <c r="M53" i="101"/>
  <c r="AB53" i="101" s="1"/>
  <c r="K53" i="101"/>
  <c r="G53" i="101"/>
  <c r="V52" i="101"/>
  <c r="U52" i="101"/>
  <c r="O52" i="101"/>
  <c r="M52" i="101"/>
  <c r="AB52" i="101" s="1"/>
  <c r="K52" i="101"/>
  <c r="G52" i="101"/>
  <c r="V51" i="101"/>
  <c r="U51" i="101"/>
  <c r="O51" i="101"/>
  <c r="M51" i="101"/>
  <c r="AB51" i="101" s="1"/>
  <c r="K51" i="101"/>
  <c r="G51" i="101"/>
  <c r="V50" i="101"/>
  <c r="U50" i="101"/>
  <c r="O50" i="101"/>
  <c r="N50" i="101"/>
  <c r="Q50" i="101" s="1"/>
  <c r="M50" i="101"/>
  <c r="AB50" i="101" s="1"/>
  <c r="K50" i="101"/>
  <c r="G50" i="101"/>
  <c r="V49" i="101"/>
  <c r="O49" i="101"/>
  <c r="N49" i="101"/>
  <c r="Q49" i="101" s="1"/>
  <c r="M49" i="101"/>
  <c r="AB49" i="101" s="1"/>
  <c r="K49" i="101"/>
  <c r="G49" i="101"/>
  <c r="O48" i="101"/>
  <c r="K48" i="101"/>
  <c r="V47" i="101"/>
  <c r="M47" i="101" s="1"/>
  <c r="U47" i="101"/>
  <c r="O47" i="101"/>
  <c r="K47" i="101"/>
  <c r="G47" i="101"/>
  <c r="V46" i="101"/>
  <c r="M46" i="101" s="1"/>
  <c r="U46" i="101"/>
  <c r="O46" i="101"/>
  <c r="K46" i="101"/>
  <c r="G46" i="101"/>
  <c r="V45" i="101"/>
  <c r="M45" i="101" s="1"/>
  <c r="U45" i="101"/>
  <c r="O45" i="101"/>
  <c r="K45" i="101"/>
  <c r="G45" i="101"/>
  <c r="V44" i="101"/>
  <c r="M44" i="101" s="1"/>
  <c r="U44" i="101"/>
  <c r="O44" i="101"/>
  <c r="K44" i="101"/>
  <c r="G44" i="101"/>
  <c r="V43" i="101"/>
  <c r="M43" i="101" s="1"/>
  <c r="U43" i="101"/>
  <c r="O43" i="101"/>
  <c r="K43" i="101"/>
  <c r="G43" i="101"/>
  <c r="AA42" i="101"/>
  <c r="X42" i="101"/>
  <c r="W42" i="101"/>
  <c r="V42" i="101"/>
  <c r="O42" i="101"/>
  <c r="N42" i="101"/>
  <c r="Q42" i="101" s="1"/>
  <c r="M42" i="101"/>
  <c r="AB42" i="101" s="1"/>
  <c r="K42" i="101"/>
  <c r="G42" i="101"/>
  <c r="O41" i="101"/>
  <c r="K41" i="101"/>
  <c r="V40" i="101"/>
  <c r="M40" i="101" s="1"/>
  <c r="U40" i="101"/>
  <c r="O40" i="101"/>
  <c r="K40" i="101"/>
  <c r="G40" i="101"/>
  <c r="V39" i="101"/>
  <c r="M39" i="101" s="1"/>
  <c r="U39" i="101"/>
  <c r="O39" i="101"/>
  <c r="K39" i="101"/>
  <c r="G39" i="101"/>
  <c r="V38" i="101"/>
  <c r="M38" i="101" s="1"/>
  <c r="U38" i="101"/>
  <c r="O38" i="101"/>
  <c r="K38" i="101"/>
  <c r="G38" i="101"/>
  <c r="X37" i="101"/>
  <c r="W37" i="101"/>
  <c r="V37" i="101"/>
  <c r="M37" i="101" s="1"/>
  <c r="U37" i="101"/>
  <c r="O37" i="101"/>
  <c r="K37" i="101"/>
  <c r="G37" i="101"/>
  <c r="V36" i="101"/>
  <c r="M36" i="101" s="1"/>
  <c r="U36" i="101"/>
  <c r="O36" i="101"/>
  <c r="K36" i="101"/>
  <c r="G36" i="101"/>
  <c r="V35" i="101"/>
  <c r="M35" i="101" s="1"/>
  <c r="U35" i="101"/>
  <c r="O35" i="101"/>
  <c r="K35" i="101"/>
  <c r="G35" i="101"/>
  <c r="V34" i="101"/>
  <c r="U34" i="101"/>
  <c r="O34" i="101"/>
  <c r="M34" i="101"/>
  <c r="AB34" i="101" s="1"/>
  <c r="K34" i="101"/>
  <c r="G34" i="101"/>
  <c r="V33" i="101"/>
  <c r="U33" i="101"/>
  <c r="Q33" i="101"/>
  <c r="O33" i="101"/>
  <c r="N33" i="101"/>
  <c r="P33" i="101" s="1"/>
  <c r="M33" i="101"/>
  <c r="AB33" i="101" s="1"/>
  <c r="K33" i="101"/>
  <c r="G33" i="101"/>
  <c r="X32" i="101"/>
  <c r="W32" i="101"/>
  <c r="V32" i="101"/>
  <c r="M32" i="101" s="1"/>
  <c r="O32" i="101"/>
  <c r="K32" i="101"/>
  <c r="G32" i="101"/>
  <c r="O31" i="101"/>
  <c r="K31" i="101"/>
  <c r="AB30" i="101"/>
  <c r="V30" i="101"/>
  <c r="U30" i="101"/>
  <c r="O30" i="101"/>
  <c r="N30" i="101"/>
  <c r="Q30" i="101" s="1"/>
  <c r="M30" i="101"/>
  <c r="AA30" i="101" s="1"/>
  <c r="K30" i="101"/>
  <c r="G30" i="101"/>
  <c r="V29" i="101"/>
  <c r="U29" i="101"/>
  <c r="O29" i="101"/>
  <c r="M29" i="101"/>
  <c r="N29" i="101" s="1"/>
  <c r="K29" i="101"/>
  <c r="G29" i="101"/>
  <c r="V28" i="101"/>
  <c r="M28" i="101" s="1"/>
  <c r="U28" i="101"/>
  <c r="O28" i="101"/>
  <c r="K28" i="101"/>
  <c r="G28" i="101"/>
  <c r="X27" i="101"/>
  <c r="W27" i="101"/>
  <c r="V27" i="101"/>
  <c r="U27" i="101"/>
  <c r="O27" i="101"/>
  <c r="M27" i="101"/>
  <c r="N27" i="101" s="1"/>
  <c r="K27" i="101"/>
  <c r="G27" i="101"/>
  <c r="V26" i="101"/>
  <c r="M26" i="101" s="1"/>
  <c r="U26" i="101"/>
  <c r="O26" i="101"/>
  <c r="K26" i="101"/>
  <c r="G26" i="101"/>
  <c r="V25" i="101"/>
  <c r="M25" i="101" s="1"/>
  <c r="U25" i="101"/>
  <c r="O25" i="101"/>
  <c r="K25" i="101"/>
  <c r="G25" i="101"/>
  <c r="V24" i="101"/>
  <c r="M24" i="101" s="1"/>
  <c r="U24" i="101"/>
  <c r="O24" i="101"/>
  <c r="K24" i="101"/>
  <c r="G24" i="101"/>
  <c r="X23" i="101"/>
  <c r="W23" i="101"/>
  <c r="V23" i="101"/>
  <c r="M23" i="101" s="1"/>
  <c r="O23" i="101"/>
  <c r="K23" i="101"/>
  <c r="G23" i="101"/>
  <c r="O22" i="101"/>
  <c r="K22" i="101"/>
  <c r="V21" i="101"/>
  <c r="M21" i="101" s="1"/>
  <c r="U21" i="101"/>
  <c r="O21" i="101"/>
  <c r="K21" i="101"/>
  <c r="G21" i="101"/>
  <c r="V20" i="101"/>
  <c r="U20" i="101"/>
  <c r="O20" i="101"/>
  <c r="M20" i="101"/>
  <c r="AB20" i="101" s="1"/>
  <c r="K20" i="101"/>
  <c r="G20" i="101"/>
  <c r="V19" i="101"/>
  <c r="U19" i="101"/>
  <c r="Q19" i="101"/>
  <c r="O19" i="101"/>
  <c r="N19" i="101"/>
  <c r="P19" i="101" s="1"/>
  <c r="M19" i="101"/>
  <c r="AB19" i="101" s="1"/>
  <c r="K19" i="101"/>
  <c r="G19" i="101"/>
  <c r="V18" i="101"/>
  <c r="U18" i="101"/>
  <c r="O18" i="101"/>
  <c r="M18" i="101"/>
  <c r="AB18" i="101" s="1"/>
  <c r="K18" i="101"/>
  <c r="G18" i="101"/>
  <c r="V17" i="101"/>
  <c r="O17" i="101"/>
  <c r="M17" i="101"/>
  <c r="AB17" i="101" s="1"/>
  <c r="K17" i="101"/>
  <c r="G17" i="101"/>
  <c r="O16" i="101"/>
  <c r="K16" i="101"/>
  <c r="V15" i="101"/>
  <c r="M15" i="101" s="1"/>
  <c r="U15" i="101"/>
  <c r="O15" i="101"/>
  <c r="K15" i="101"/>
  <c r="G15" i="101"/>
  <c r="V14" i="101"/>
  <c r="M14" i="101" s="1"/>
  <c r="U14" i="101"/>
  <c r="O14" i="101"/>
  <c r="K14" i="101"/>
  <c r="G14" i="101"/>
  <c r="V13" i="101"/>
  <c r="M13" i="101" s="1"/>
  <c r="U13" i="101"/>
  <c r="O13" i="101"/>
  <c r="K13" i="101"/>
  <c r="G13" i="101"/>
  <c r="V12" i="101"/>
  <c r="M12" i="101" s="1"/>
  <c r="U12" i="101"/>
  <c r="O12" i="101"/>
  <c r="K12" i="101"/>
  <c r="G12" i="101"/>
  <c r="X11" i="101"/>
  <c r="W11" i="101"/>
  <c r="V11" i="101"/>
  <c r="M11" i="101" s="1"/>
  <c r="O11" i="101"/>
  <c r="K11" i="101"/>
  <c r="G11" i="101"/>
  <c r="O10" i="101"/>
  <c r="K10" i="101"/>
  <c r="V9" i="101"/>
  <c r="O9" i="101"/>
  <c r="M9" i="101"/>
  <c r="AB9" i="101" s="1"/>
  <c r="K9" i="101"/>
  <c r="G9" i="101"/>
  <c r="O8" i="101"/>
  <c r="K8" i="101"/>
  <c r="V7" i="101"/>
  <c r="U7" i="101"/>
  <c r="O7" i="101"/>
  <c r="M7" i="101"/>
  <c r="N7" i="101" s="1"/>
  <c r="K7" i="101"/>
  <c r="G7" i="101"/>
  <c r="V6" i="101"/>
  <c r="M6" i="101" s="1"/>
  <c r="U6" i="101"/>
  <c r="O6" i="101"/>
  <c r="K6" i="101"/>
  <c r="G6" i="101"/>
  <c r="V5" i="101"/>
  <c r="M5" i="101" s="1"/>
  <c r="O5" i="101"/>
  <c r="K5" i="101"/>
  <c r="G5" i="101"/>
  <c r="F1" i="101" s="1"/>
  <c r="M18" i="100"/>
  <c r="D1" i="101"/>
  <c r="D18" i="100"/>
  <c r="M17" i="100"/>
  <c r="L17" i="100"/>
  <c r="K17" i="100"/>
  <c r="J17" i="100"/>
  <c r="I17" i="100"/>
  <c r="H17" i="100"/>
  <c r="G17" i="100"/>
  <c r="F17" i="100"/>
  <c r="E17" i="100"/>
  <c r="D17" i="100"/>
  <c r="L13" i="100"/>
  <c r="K13" i="100"/>
  <c r="D13" i="100"/>
  <c r="F3" i="100"/>
  <c r="I16" i="100" l="1"/>
  <c r="J16" i="100"/>
  <c r="M13" i="100"/>
  <c r="I6" i="100" s="1"/>
  <c r="F16" i="100"/>
  <c r="I18" i="100"/>
  <c r="G16" i="100"/>
  <c r="K16" i="100"/>
  <c r="F13" i="100"/>
  <c r="H13" i="100"/>
  <c r="I13" i="100"/>
  <c r="E13" i="100"/>
  <c r="J13" i="100"/>
  <c r="H16" i="100"/>
  <c r="D16" i="100"/>
  <c r="L16" i="100"/>
  <c r="C3" i="100"/>
  <c r="E16" i="100"/>
  <c r="N11" i="101"/>
  <c r="AB11" i="101"/>
  <c r="M16" i="101"/>
  <c r="AA11" i="101"/>
  <c r="N13" i="101"/>
  <c r="AB13" i="101"/>
  <c r="AA13" i="101"/>
  <c r="N23" i="101"/>
  <c r="AB23" i="101"/>
  <c r="AA23" i="101"/>
  <c r="M31" i="101"/>
  <c r="N25" i="101"/>
  <c r="AB25" i="101"/>
  <c r="AA25" i="101"/>
  <c r="Q29" i="101"/>
  <c r="P29" i="101"/>
  <c r="N37" i="101"/>
  <c r="AB37" i="101"/>
  <c r="AA37" i="101"/>
  <c r="Q58" i="101"/>
  <c r="P58" i="101"/>
  <c r="AB64" i="101"/>
  <c r="AA64" i="101"/>
  <c r="N64" i="101"/>
  <c r="N15" i="101"/>
  <c r="AB15" i="101"/>
  <c r="AA15" i="101"/>
  <c r="N5" i="101"/>
  <c r="M8" i="101"/>
  <c r="AB5" i="101"/>
  <c r="AA5" i="101"/>
  <c r="AB32" i="101"/>
  <c r="AA32" i="101"/>
  <c r="M41" i="101"/>
  <c r="N32" i="101"/>
  <c r="N40" i="101"/>
  <c r="AB40" i="101"/>
  <c r="AA40" i="101"/>
  <c r="N44" i="101"/>
  <c r="AB44" i="101"/>
  <c r="AA44" i="101"/>
  <c r="N46" i="101"/>
  <c r="AB46" i="101"/>
  <c r="AA46" i="101"/>
  <c r="AB38" i="101"/>
  <c r="AA38" i="101"/>
  <c r="N38" i="101"/>
  <c r="N67" i="101"/>
  <c r="AB67" i="101"/>
  <c r="AA67" i="101"/>
  <c r="N6" i="101"/>
  <c r="AB6" i="101"/>
  <c r="AA6" i="101"/>
  <c r="N14" i="101"/>
  <c r="AB14" i="101"/>
  <c r="AA14" i="101"/>
  <c r="N26" i="101"/>
  <c r="AB26" i="101"/>
  <c r="AA26" i="101"/>
  <c r="N56" i="101"/>
  <c r="M60" i="101"/>
  <c r="AB56" i="101"/>
  <c r="AA56" i="101"/>
  <c r="AB61" i="101"/>
  <c r="AA61" i="101"/>
  <c r="M71" i="101"/>
  <c r="N61" i="101"/>
  <c r="N69" i="101"/>
  <c r="AB69" i="101"/>
  <c r="AA69" i="101"/>
  <c r="AB21" i="101"/>
  <c r="AA21" i="101"/>
  <c r="N21" i="101"/>
  <c r="N28" i="101"/>
  <c r="AB28" i="101"/>
  <c r="AA28" i="101"/>
  <c r="N65" i="101"/>
  <c r="AB65" i="101"/>
  <c r="AA65" i="101"/>
  <c r="AB36" i="101"/>
  <c r="AA36" i="101"/>
  <c r="N36" i="101"/>
  <c r="AB12" i="101"/>
  <c r="AA12" i="101"/>
  <c r="N12" i="101"/>
  <c r="N24" i="101"/>
  <c r="AB24" i="101"/>
  <c r="AA24" i="101"/>
  <c r="Q7" i="101"/>
  <c r="P7" i="101"/>
  <c r="Q27" i="101"/>
  <c r="P27" i="101"/>
  <c r="N43" i="101"/>
  <c r="M48" i="101"/>
  <c r="AB43" i="101"/>
  <c r="AA43" i="101"/>
  <c r="N45" i="101"/>
  <c r="AB45" i="101"/>
  <c r="AA45" i="101"/>
  <c r="N47" i="101"/>
  <c r="AB47" i="101"/>
  <c r="AA47" i="101"/>
  <c r="N70" i="101"/>
  <c r="AB70" i="101"/>
  <c r="AA70" i="101"/>
  <c r="F2" i="101"/>
  <c r="I3" i="100"/>
  <c r="N39" i="101"/>
  <c r="AB39" i="101"/>
  <c r="AA39" i="101"/>
  <c r="N57" i="101"/>
  <c r="AB57" i="101"/>
  <c r="AA57" i="101"/>
  <c r="AB35" i="101"/>
  <c r="AA35" i="101"/>
  <c r="N35" i="101"/>
  <c r="AB54" i="101"/>
  <c r="AA54" i="101"/>
  <c r="N54" i="101"/>
  <c r="N66" i="101"/>
  <c r="AB66" i="101"/>
  <c r="AA66" i="101"/>
  <c r="N68" i="101"/>
  <c r="AB68" i="101"/>
  <c r="AA68" i="101"/>
  <c r="M10" i="101"/>
  <c r="AA58" i="101"/>
  <c r="AB59" i="101"/>
  <c r="AA7" i="101"/>
  <c r="AA29" i="101"/>
  <c r="G13" i="100"/>
  <c r="M16" i="100"/>
  <c r="E18" i="100"/>
  <c r="B2" i="101"/>
  <c r="AB7" i="101"/>
  <c r="N9" i="101"/>
  <c r="N20" i="101"/>
  <c r="AB29" i="101"/>
  <c r="N34" i="101"/>
  <c r="N52" i="101"/>
  <c r="N62" i="101"/>
  <c r="F18" i="100"/>
  <c r="AA27" i="101"/>
  <c r="N51" i="101"/>
  <c r="P53" i="101"/>
  <c r="P63" i="101"/>
  <c r="G18" i="100"/>
  <c r="N17" i="101"/>
  <c r="N18" i="101"/>
  <c r="AB27" i="101"/>
  <c r="H18" i="100"/>
  <c r="N59" i="101"/>
  <c r="P49" i="101"/>
  <c r="P50" i="101"/>
  <c r="J18" i="100"/>
  <c r="AA53" i="101"/>
  <c r="AA63" i="101"/>
  <c r="K18" i="100"/>
  <c r="AA9" i="101"/>
  <c r="AA20" i="101"/>
  <c r="P30" i="101"/>
  <c r="AA34" i="101"/>
  <c r="P42" i="101"/>
  <c r="AA52" i="101"/>
  <c r="AA62" i="101"/>
  <c r="L18" i="100"/>
  <c r="AA19" i="101"/>
  <c r="AA33" i="101"/>
  <c r="AA51" i="101"/>
  <c r="M55" i="101"/>
  <c r="AA17" i="101"/>
  <c r="AA18" i="101"/>
  <c r="M22" i="101"/>
  <c r="AA49" i="101"/>
  <c r="AA50" i="101"/>
  <c r="E6" i="100" l="1"/>
  <c r="Q62" i="101"/>
  <c r="P62" i="101"/>
  <c r="Q54" i="101"/>
  <c r="P54" i="101"/>
  <c r="Q38" i="101"/>
  <c r="P38" i="101"/>
  <c r="Q32" i="101"/>
  <c r="P32" i="101"/>
  <c r="P25" i="101"/>
  <c r="Q25" i="101"/>
  <c r="Q59" i="101"/>
  <c r="P59" i="101"/>
  <c r="Q52" i="101"/>
  <c r="P52" i="101"/>
  <c r="AA48" i="101"/>
  <c r="N48" i="101"/>
  <c r="AB48" i="101"/>
  <c r="AC42" i="101" s="1"/>
  <c r="Q36" i="101"/>
  <c r="P36" i="101"/>
  <c r="N41" i="101"/>
  <c r="AB41" i="101"/>
  <c r="AC32" i="101" s="1"/>
  <c r="AA41" i="101"/>
  <c r="AB31" i="101"/>
  <c r="AC23" i="101" s="1"/>
  <c r="AA31" i="101"/>
  <c r="N31" i="101"/>
  <c r="Q34" i="101"/>
  <c r="P34" i="101"/>
  <c r="F6" i="100"/>
  <c r="P43" i="101"/>
  <c r="Q43" i="101"/>
  <c r="Q26" i="101"/>
  <c r="P26" i="101"/>
  <c r="Q35" i="101"/>
  <c r="P35" i="101"/>
  <c r="P69" i="101"/>
  <c r="Q69" i="101"/>
  <c r="N22" i="101"/>
  <c r="AB22" i="101"/>
  <c r="AC17" i="101" s="1"/>
  <c r="AA22" i="101"/>
  <c r="Q18" i="101"/>
  <c r="P18" i="101"/>
  <c r="Q20" i="101"/>
  <c r="P20" i="101"/>
  <c r="Q70" i="101"/>
  <c r="P70" i="101"/>
  <c r="Q61" i="101"/>
  <c r="P61" i="101"/>
  <c r="G6" i="100"/>
  <c r="Q23" i="101"/>
  <c r="P23" i="101"/>
  <c r="Q17" i="101"/>
  <c r="P17" i="101"/>
  <c r="Q9" i="101"/>
  <c r="P9" i="101"/>
  <c r="AB10" i="101"/>
  <c r="AC9" i="101" s="1"/>
  <c r="AA10" i="101"/>
  <c r="N10" i="101"/>
  <c r="AB71" i="101"/>
  <c r="AC61" i="101" s="1"/>
  <c r="AA71" i="101"/>
  <c r="N71" i="101"/>
  <c r="Q14" i="101"/>
  <c r="P14" i="101"/>
  <c r="P46" i="101"/>
  <c r="Q46" i="101"/>
  <c r="Q65" i="101"/>
  <c r="P65" i="101"/>
  <c r="AB8" i="101"/>
  <c r="AC5" i="101" s="1"/>
  <c r="AA8" i="101"/>
  <c r="N8" i="101"/>
  <c r="N55" i="101"/>
  <c r="AB55" i="101"/>
  <c r="AC49" i="101" s="1"/>
  <c r="AA55" i="101"/>
  <c r="P47" i="101"/>
  <c r="Q47" i="101"/>
  <c r="Q5" i="101"/>
  <c r="P5" i="101"/>
  <c r="Q37" i="101"/>
  <c r="P37" i="101"/>
  <c r="Q13" i="101"/>
  <c r="P13" i="101"/>
  <c r="Q68" i="101"/>
  <c r="P68" i="101"/>
  <c r="Q57" i="101"/>
  <c r="P57" i="101"/>
  <c r="Q6" i="101"/>
  <c r="P6" i="101"/>
  <c r="P44" i="101"/>
  <c r="Q44" i="101"/>
  <c r="Q51" i="101"/>
  <c r="P51" i="101"/>
  <c r="Q24" i="101"/>
  <c r="P24" i="101"/>
  <c r="Q28" i="101"/>
  <c r="P28" i="101"/>
  <c r="AA16" i="101"/>
  <c r="N16" i="101"/>
  <c r="AB16" i="101"/>
  <c r="AC11" i="101" s="1"/>
  <c r="P45" i="101"/>
  <c r="Q45" i="101"/>
  <c r="Q12" i="101"/>
  <c r="P12" i="101"/>
  <c r="Q21" i="101"/>
  <c r="P21" i="101"/>
  <c r="AB60" i="101"/>
  <c r="AC56" i="101" s="1"/>
  <c r="AA60" i="101"/>
  <c r="N60" i="101"/>
  <c r="P15" i="101"/>
  <c r="Q15" i="101"/>
  <c r="Q66" i="101"/>
  <c r="P66" i="101"/>
  <c r="Q39" i="101"/>
  <c r="P39" i="101"/>
  <c r="Q56" i="101"/>
  <c r="P56" i="101"/>
  <c r="P67" i="101"/>
  <c r="Q67" i="101"/>
  <c r="Q40" i="101"/>
  <c r="P40" i="101"/>
  <c r="Q64" i="101"/>
  <c r="P64" i="101"/>
  <c r="Q11" i="101"/>
  <c r="P11" i="101"/>
  <c r="Q71" i="101" l="1"/>
  <c r="R61" i="101" s="1"/>
  <c r="P71" i="101"/>
  <c r="M14" i="100"/>
  <c r="M15" i="100" s="1"/>
  <c r="Q60" i="101"/>
  <c r="R56" i="101" s="1"/>
  <c r="P60" i="101"/>
  <c r="J14" i="100"/>
  <c r="J15" i="100" s="1"/>
  <c r="Q55" i="101"/>
  <c r="R49" i="101" s="1"/>
  <c r="P55" i="101"/>
  <c r="I14" i="100"/>
  <c r="I15" i="100" s="1"/>
  <c r="Q41" i="101"/>
  <c r="R32" i="101" s="1"/>
  <c r="P41" i="101"/>
  <c r="L14" i="100"/>
  <c r="L15" i="100" s="1"/>
  <c r="Q10" i="101"/>
  <c r="R9" i="101" s="1"/>
  <c r="P10" i="101"/>
  <c r="E14" i="100"/>
  <c r="E15" i="100" s="1"/>
  <c r="Q16" i="101"/>
  <c r="R11" i="101" s="1"/>
  <c r="P16" i="101"/>
  <c r="F14" i="100"/>
  <c r="F15" i="100" s="1"/>
  <c r="Q48" i="101"/>
  <c r="R42" i="101" s="1"/>
  <c r="P48" i="101"/>
  <c r="H14" i="100"/>
  <c r="H15" i="100" s="1"/>
  <c r="Q8" i="101"/>
  <c r="R5" i="101" s="1"/>
  <c r="P8" i="101"/>
  <c r="D2" i="101"/>
  <c r="D14" i="100"/>
  <c r="Q22" i="101"/>
  <c r="R17" i="101" s="1"/>
  <c r="P22" i="101"/>
  <c r="G14" i="100"/>
  <c r="G15" i="100" s="1"/>
  <c r="Q31" i="101"/>
  <c r="R23" i="101" s="1"/>
  <c r="P31" i="101"/>
  <c r="K14" i="100"/>
  <c r="K15" i="100" l="1"/>
  <c r="I8" i="100" s="1"/>
  <c r="I7" i="100"/>
  <c r="D15" i="100"/>
  <c r="G7" i="100"/>
  <c r="F7" i="100"/>
  <c r="E7" i="100"/>
  <c r="G8" i="100" l="1"/>
  <c r="F8" i="100"/>
  <c r="E8" i="100"/>
  <c r="O74" i="99" l="1"/>
  <c r="K74" i="99"/>
  <c r="V73" i="99"/>
  <c r="M73" i="99" s="1"/>
  <c r="U73" i="99"/>
  <c r="O73" i="99"/>
  <c r="K73" i="99"/>
  <c r="G73" i="99"/>
  <c r="V72" i="99"/>
  <c r="M72" i="99" s="1"/>
  <c r="U72" i="99"/>
  <c r="O72" i="99"/>
  <c r="K72" i="99"/>
  <c r="G72" i="99"/>
  <c r="V71" i="99"/>
  <c r="U71" i="99"/>
  <c r="O71" i="99"/>
  <c r="M71" i="99"/>
  <c r="N71" i="99" s="1"/>
  <c r="K71" i="99"/>
  <c r="G71" i="99"/>
  <c r="X70" i="99"/>
  <c r="W70" i="99"/>
  <c r="V70" i="99"/>
  <c r="M70" i="99" s="1"/>
  <c r="U70" i="99"/>
  <c r="O70" i="99"/>
  <c r="K70" i="99"/>
  <c r="G70" i="99"/>
  <c r="V69" i="99"/>
  <c r="U69" i="99"/>
  <c r="O69" i="99"/>
  <c r="M69" i="99"/>
  <c r="N69" i="99" s="1"/>
  <c r="K69" i="99"/>
  <c r="G69" i="99"/>
  <c r="V68" i="99"/>
  <c r="M68" i="99" s="1"/>
  <c r="U68" i="99"/>
  <c r="O68" i="99"/>
  <c r="K68" i="99"/>
  <c r="G68" i="99"/>
  <c r="V67" i="99"/>
  <c r="M67" i="99" s="1"/>
  <c r="U67" i="99"/>
  <c r="O67" i="99"/>
  <c r="K67" i="99"/>
  <c r="G67" i="99"/>
  <c r="V66" i="99"/>
  <c r="M66" i="99" s="1"/>
  <c r="U66" i="99"/>
  <c r="O66" i="99"/>
  <c r="K66" i="99"/>
  <c r="G66" i="99"/>
  <c r="V65" i="99"/>
  <c r="U65" i="99"/>
  <c r="O65" i="99"/>
  <c r="M65" i="99"/>
  <c r="AB65" i="99" s="1"/>
  <c r="K65" i="99"/>
  <c r="G65" i="99"/>
  <c r="X64" i="99"/>
  <c r="W64" i="99"/>
  <c r="V64" i="99"/>
  <c r="M64" i="99" s="1"/>
  <c r="O64" i="99"/>
  <c r="K64" i="99"/>
  <c r="G64" i="99"/>
  <c r="O63" i="99"/>
  <c r="K63" i="99"/>
  <c r="AB62" i="99"/>
  <c r="V62" i="99"/>
  <c r="U62" i="99"/>
  <c r="O62" i="99"/>
  <c r="M62" i="99"/>
  <c r="AA62" i="99" s="1"/>
  <c r="K62" i="99"/>
  <c r="G62" i="99"/>
  <c r="AB61" i="99"/>
  <c r="AA61" i="99"/>
  <c r="V61" i="99"/>
  <c r="U61" i="99"/>
  <c r="O61" i="99"/>
  <c r="N61" i="99"/>
  <c r="Q61" i="99" s="1"/>
  <c r="M61" i="99"/>
  <c r="K61" i="99"/>
  <c r="G61" i="99"/>
  <c r="AA60" i="99"/>
  <c r="V60" i="99"/>
  <c r="U60" i="99"/>
  <c r="O60" i="99"/>
  <c r="M60" i="99"/>
  <c r="N60" i="99" s="1"/>
  <c r="K60" i="99"/>
  <c r="G60" i="99"/>
  <c r="AA59" i="99"/>
  <c r="V59" i="99"/>
  <c r="O59" i="99"/>
  <c r="M59" i="99"/>
  <c r="N59" i="99" s="1"/>
  <c r="K59" i="99"/>
  <c r="G59" i="99"/>
  <c r="O58" i="99"/>
  <c r="K58" i="99"/>
  <c r="V57" i="99"/>
  <c r="M57" i="99" s="1"/>
  <c r="U57" i="99"/>
  <c r="O57" i="99"/>
  <c r="K57" i="99"/>
  <c r="G57" i="99"/>
  <c r="V56" i="99"/>
  <c r="M56" i="99" s="1"/>
  <c r="U56" i="99"/>
  <c r="O56" i="99"/>
  <c r="K56" i="99"/>
  <c r="G56" i="99"/>
  <c r="V55" i="99"/>
  <c r="U55" i="99"/>
  <c r="O55" i="99"/>
  <c r="M55" i="99"/>
  <c r="AB55" i="99" s="1"/>
  <c r="K55" i="99"/>
  <c r="G55" i="99"/>
  <c r="AA54" i="99"/>
  <c r="V54" i="99"/>
  <c r="U54" i="99"/>
  <c r="O54" i="99"/>
  <c r="M54" i="99"/>
  <c r="AB54" i="99" s="1"/>
  <c r="K54" i="99"/>
  <c r="G54" i="99"/>
  <c r="V53" i="99"/>
  <c r="M53" i="99" s="1"/>
  <c r="U53" i="99"/>
  <c r="O53" i="99"/>
  <c r="K53" i="99"/>
  <c r="G53" i="99"/>
  <c r="V52" i="99"/>
  <c r="M52" i="99" s="1"/>
  <c r="O52" i="99"/>
  <c r="K52" i="99"/>
  <c r="G52" i="99"/>
  <c r="O51" i="99"/>
  <c r="V50" i="99"/>
  <c r="U50" i="99"/>
  <c r="O50" i="99"/>
  <c r="M50" i="99"/>
  <c r="N50" i="99" s="1"/>
  <c r="G50" i="99"/>
  <c r="V49" i="99"/>
  <c r="M49" i="99" s="1"/>
  <c r="U49" i="99"/>
  <c r="O49" i="99"/>
  <c r="G49" i="99"/>
  <c r="V48" i="99"/>
  <c r="U48" i="99"/>
  <c r="O48" i="99"/>
  <c r="M48" i="99"/>
  <c r="AB48" i="99" s="1"/>
  <c r="G48" i="99"/>
  <c r="V47" i="99"/>
  <c r="M47" i="99" s="1"/>
  <c r="U47" i="99"/>
  <c r="O47" i="99"/>
  <c r="G47" i="99"/>
  <c r="AB46" i="99"/>
  <c r="V46" i="99"/>
  <c r="U46" i="99"/>
  <c r="O46" i="99"/>
  <c r="N46" i="99"/>
  <c r="Q46" i="99" s="1"/>
  <c r="M46" i="99"/>
  <c r="AA46" i="99" s="1"/>
  <c r="G46" i="99"/>
  <c r="AB45" i="99"/>
  <c r="AA45" i="99"/>
  <c r="X45" i="99"/>
  <c r="W45" i="99"/>
  <c r="V45" i="99"/>
  <c r="O45" i="99"/>
  <c r="M45" i="99"/>
  <c r="N45" i="99" s="1"/>
  <c r="G45" i="99"/>
  <c r="O44" i="99"/>
  <c r="K44" i="99"/>
  <c r="V43" i="99"/>
  <c r="M43" i="99" s="1"/>
  <c r="U43" i="99"/>
  <c r="O43" i="99"/>
  <c r="K43" i="99"/>
  <c r="G43" i="99"/>
  <c r="V42" i="99"/>
  <c r="M42" i="99" s="1"/>
  <c r="U42" i="99"/>
  <c r="O42" i="99"/>
  <c r="K42" i="99"/>
  <c r="G42" i="99"/>
  <c r="V41" i="99"/>
  <c r="M41" i="99" s="1"/>
  <c r="U41" i="99"/>
  <c r="O41" i="99"/>
  <c r="K41" i="99"/>
  <c r="G41" i="99"/>
  <c r="V40" i="99"/>
  <c r="U40" i="99"/>
  <c r="O40" i="99"/>
  <c r="M40" i="99"/>
  <c r="AB40" i="99" s="1"/>
  <c r="K40" i="99"/>
  <c r="G40" i="99"/>
  <c r="AA39" i="99"/>
  <c r="V39" i="99"/>
  <c r="U39" i="99"/>
  <c r="O39" i="99"/>
  <c r="M39" i="99"/>
  <c r="AB39" i="99" s="1"/>
  <c r="K39" i="99"/>
  <c r="G39" i="99"/>
  <c r="V38" i="99"/>
  <c r="M38" i="99" s="1"/>
  <c r="U38" i="99"/>
  <c r="O38" i="99"/>
  <c r="K38" i="99"/>
  <c r="G38" i="99"/>
  <c r="V37" i="99"/>
  <c r="U37" i="99"/>
  <c r="O37" i="99"/>
  <c r="N37" i="99"/>
  <c r="Q37" i="99" s="1"/>
  <c r="M37" i="99"/>
  <c r="AA37" i="99" s="1"/>
  <c r="K37" i="99"/>
  <c r="G37" i="99"/>
  <c r="X36" i="99"/>
  <c r="W36" i="99"/>
  <c r="V36" i="99"/>
  <c r="O36" i="99"/>
  <c r="M36" i="99"/>
  <c r="AA36" i="99" s="1"/>
  <c r="K36" i="99"/>
  <c r="G36" i="99"/>
  <c r="O35" i="99"/>
  <c r="K35" i="99"/>
  <c r="V34" i="99"/>
  <c r="M34" i="99" s="1"/>
  <c r="U34" i="99"/>
  <c r="O34" i="99"/>
  <c r="K34" i="99"/>
  <c r="G34" i="99"/>
  <c r="V33" i="99"/>
  <c r="M33" i="99" s="1"/>
  <c r="U33" i="99"/>
  <c r="O33" i="99"/>
  <c r="K33" i="99"/>
  <c r="G33" i="99"/>
  <c r="V32" i="99"/>
  <c r="U32" i="99"/>
  <c r="O32" i="99"/>
  <c r="M32" i="99"/>
  <c r="N32" i="99" s="1"/>
  <c r="K32" i="99"/>
  <c r="G32" i="99"/>
  <c r="V31" i="99"/>
  <c r="M31" i="99" s="1"/>
  <c r="U31" i="99"/>
  <c r="O31" i="99"/>
  <c r="K31" i="99"/>
  <c r="G31" i="99"/>
  <c r="V30" i="99"/>
  <c r="M30" i="99" s="1"/>
  <c r="U30" i="99"/>
  <c r="O30" i="99"/>
  <c r="K30" i="99"/>
  <c r="G30" i="99"/>
  <c r="V29" i="99"/>
  <c r="M29" i="99" s="1"/>
  <c r="U29" i="99"/>
  <c r="O29" i="99"/>
  <c r="K29" i="99"/>
  <c r="G29" i="99"/>
  <c r="V28" i="99"/>
  <c r="U28" i="99"/>
  <c r="O28" i="99"/>
  <c r="M28" i="99"/>
  <c r="AB28" i="99" s="1"/>
  <c r="K28" i="99"/>
  <c r="G28" i="99"/>
  <c r="AA27" i="99"/>
  <c r="V27" i="99"/>
  <c r="U27" i="99"/>
  <c r="O27" i="99"/>
  <c r="M27" i="99"/>
  <c r="AB27" i="99" s="1"/>
  <c r="K27" i="99"/>
  <c r="G27" i="99"/>
  <c r="V26" i="99"/>
  <c r="M26" i="99" s="1"/>
  <c r="U26" i="99"/>
  <c r="O26" i="99"/>
  <c r="K26" i="99"/>
  <c r="G26" i="99"/>
  <c r="V25" i="99"/>
  <c r="U25" i="99"/>
  <c r="O25" i="99"/>
  <c r="N25" i="99"/>
  <c r="Q25" i="99" s="1"/>
  <c r="M25" i="99"/>
  <c r="AA25" i="99" s="1"/>
  <c r="K25" i="99"/>
  <c r="G25" i="99"/>
  <c r="X24" i="99"/>
  <c r="W24" i="99"/>
  <c r="V24" i="99"/>
  <c r="O24" i="99"/>
  <c r="M24" i="99"/>
  <c r="AA24" i="99" s="1"/>
  <c r="K24" i="99"/>
  <c r="G24" i="99"/>
  <c r="O23" i="99"/>
  <c r="K23" i="99"/>
  <c r="V22" i="99"/>
  <c r="M22" i="99" s="1"/>
  <c r="U22" i="99"/>
  <c r="O22" i="99"/>
  <c r="K22" i="99"/>
  <c r="G22" i="99"/>
  <c r="V21" i="99"/>
  <c r="M21" i="99" s="1"/>
  <c r="U21" i="99"/>
  <c r="O21" i="99"/>
  <c r="K21" i="99"/>
  <c r="G21" i="99"/>
  <c r="V20" i="99"/>
  <c r="U20" i="99"/>
  <c r="O20" i="99"/>
  <c r="M20" i="99"/>
  <c r="N20" i="99" s="1"/>
  <c r="K20" i="99"/>
  <c r="G20" i="99"/>
  <c r="V19" i="99"/>
  <c r="M19" i="99" s="1"/>
  <c r="U19" i="99"/>
  <c r="O19" i="99"/>
  <c r="K19" i="99"/>
  <c r="G19" i="99"/>
  <c r="V18" i="99"/>
  <c r="M18" i="99" s="1"/>
  <c r="O18" i="99"/>
  <c r="K18" i="99"/>
  <c r="G18" i="99"/>
  <c r="O17" i="99"/>
  <c r="K17" i="99"/>
  <c r="V16" i="99"/>
  <c r="M16" i="99" s="1"/>
  <c r="U16" i="99"/>
  <c r="O16" i="99"/>
  <c r="K16" i="99"/>
  <c r="G16" i="99"/>
  <c r="AB15" i="99"/>
  <c r="V15" i="99"/>
  <c r="U15" i="99"/>
  <c r="O15" i="99"/>
  <c r="N15" i="99"/>
  <c r="Q15" i="99" s="1"/>
  <c r="M15" i="99"/>
  <c r="AA15" i="99" s="1"/>
  <c r="K15" i="99"/>
  <c r="G15" i="99"/>
  <c r="AB14" i="99"/>
  <c r="V14" i="99"/>
  <c r="U14" i="99"/>
  <c r="O14" i="99"/>
  <c r="N14" i="99"/>
  <c r="Q14" i="99" s="1"/>
  <c r="M14" i="99"/>
  <c r="AA14" i="99" s="1"/>
  <c r="K14" i="99"/>
  <c r="G14" i="99"/>
  <c r="X13" i="99"/>
  <c r="W13" i="99"/>
  <c r="V13" i="99"/>
  <c r="M13" i="99" s="1"/>
  <c r="U13" i="99"/>
  <c r="O13" i="99"/>
  <c r="K13" i="99"/>
  <c r="G13" i="99"/>
  <c r="AB12" i="99"/>
  <c r="V12" i="99"/>
  <c r="U12" i="99"/>
  <c r="O12" i="99"/>
  <c r="N12" i="99"/>
  <c r="Q12" i="99" s="1"/>
  <c r="M12" i="99"/>
  <c r="AA12" i="99" s="1"/>
  <c r="K12" i="99"/>
  <c r="G12" i="99"/>
  <c r="X11" i="99"/>
  <c r="W11" i="99"/>
  <c r="V11" i="99"/>
  <c r="M11" i="99" s="1"/>
  <c r="O11" i="99"/>
  <c r="K11" i="99"/>
  <c r="G11" i="99"/>
  <c r="O10" i="99"/>
  <c r="K10" i="99"/>
  <c r="V9" i="99"/>
  <c r="M9" i="99" s="1"/>
  <c r="O9" i="99"/>
  <c r="K9" i="99"/>
  <c r="G9" i="99"/>
  <c r="O8" i="99"/>
  <c r="K8" i="99"/>
  <c r="V7" i="99"/>
  <c r="M7" i="99" s="1"/>
  <c r="U7" i="99"/>
  <c r="O7" i="99"/>
  <c r="K7" i="99"/>
  <c r="G7" i="99"/>
  <c r="F1" i="99" s="1"/>
  <c r="V6" i="99"/>
  <c r="U6" i="99"/>
  <c r="O6" i="99"/>
  <c r="M6" i="99"/>
  <c r="AB6" i="99" s="1"/>
  <c r="K6" i="99"/>
  <c r="G6" i="99"/>
  <c r="V5" i="99"/>
  <c r="O5" i="99"/>
  <c r="M5" i="99"/>
  <c r="M8" i="99" s="1"/>
  <c r="K5" i="99"/>
  <c r="G5" i="99"/>
  <c r="D1" i="99"/>
  <c r="M18" i="98"/>
  <c r="L18" i="98"/>
  <c r="K18" i="98"/>
  <c r="J18" i="98"/>
  <c r="I18" i="98"/>
  <c r="H18" i="98"/>
  <c r="G18" i="98"/>
  <c r="F18" i="98"/>
  <c r="E18" i="98"/>
  <c r="D18" i="98"/>
  <c r="M17" i="98"/>
  <c r="L17" i="98"/>
  <c r="K17" i="98"/>
  <c r="J17" i="98"/>
  <c r="I17" i="98"/>
  <c r="H17" i="98"/>
  <c r="G17" i="98"/>
  <c r="F17" i="98"/>
  <c r="E17" i="98"/>
  <c r="D17" i="98"/>
  <c r="M16" i="98"/>
  <c r="L16" i="98"/>
  <c r="K16" i="98"/>
  <c r="J16" i="98"/>
  <c r="I16" i="98"/>
  <c r="H16" i="98"/>
  <c r="G16" i="98"/>
  <c r="F16" i="98"/>
  <c r="E16" i="98"/>
  <c r="D16" i="98"/>
  <c r="M13" i="98"/>
  <c r="L13" i="98"/>
  <c r="K13" i="98"/>
  <c r="I6" i="98" s="1"/>
  <c r="J13" i="98"/>
  <c r="I13" i="98"/>
  <c r="H13" i="98"/>
  <c r="G13" i="98"/>
  <c r="F13" i="98"/>
  <c r="E13" i="98"/>
  <c r="D13" i="98"/>
  <c r="E6" i="98" s="1"/>
  <c r="F3" i="98"/>
  <c r="C3" i="98"/>
  <c r="N9" i="99" l="1"/>
  <c r="M10" i="99"/>
  <c r="AB9" i="99"/>
  <c r="AA9" i="99"/>
  <c r="AB42" i="99"/>
  <c r="AA42" i="99"/>
  <c r="N42" i="99"/>
  <c r="Q60" i="99"/>
  <c r="P60" i="99"/>
  <c r="AB38" i="99"/>
  <c r="AA38" i="99"/>
  <c r="N38" i="99"/>
  <c r="Q50" i="99"/>
  <c r="P50" i="99"/>
  <c r="AB57" i="99"/>
  <c r="AA57" i="99"/>
  <c r="N57" i="99"/>
  <c r="AB29" i="99"/>
  <c r="AA29" i="99"/>
  <c r="N29" i="99"/>
  <c r="AB53" i="99"/>
  <c r="AA53" i="99"/>
  <c r="N53" i="99"/>
  <c r="N8" i="99"/>
  <c r="AB8" i="99"/>
  <c r="AC5" i="99" s="1"/>
  <c r="AA8" i="99"/>
  <c r="N13" i="99"/>
  <c r="AB13" i="99"/>
  <c r="AA13" i="99"/>
  <c r="Q45" i="99"/>
  <c r="P45" i="99"/>
  <c r="AB52" i="99"/>
  <c r="AA52" i="99"/>
  <c r="M58" i="99"/>
  <c r="N52" i="99"/>
  <c r="Q20" i="99"/>
  <c r="P20" i="99"/>
  <c r="AB49" i="99"/>
  <c r="AA49" i="99"/>
  <c r="N49" i="99"/>
  <c r="N70" i="99"/>
  <c r="AB70" i="99"/>
  <c r="AA70" i="99"/>
  <c r="N72" i="99"/>
  <c r="AB72" i="99"/>
  <c r="AA72" i="99"/>
  <c r="AB64" i="99"/>
  <c r="AA64" i="99"/>
  <c r="M74" i="99"/>
  <c r="N64" i="99"/>
  <c r="AB66" i="99"/>
  <c r="AA66" i="99"/>
  <c r="N66" i="99"/>
  <c r="Q69" i="99"/>
  <c r="P69" i="99"/>
  <c r="Q71" i="99"/>
  <c r="P71" i="99"/>
  <c r="Q59" i="99"/>
  <c r="P59" i="99"/>
  <c r="N73" i="99"/>
  <c r="AB73" i="99"/>
  <c r="AA73" i="99"/>
  <c r="N68" i="99"/>
  <c r="AB68" i="99"/>
  <c r="AA68" i="99"/>
  <c r="AB30" i="99"/>
  <c r="AA30" i="99"/>
  <c r="N30" i="99"/>
  <c r="AB41" i="99"/>
  <c r="AA41" i="99"/>
  <c r="N41" i="99"/>
  <c r="N22" i="99"/>
  <c r="AB22" i="99"/>
  <c r="AA22" i="99"/>
  <c r="N33" i="99"/>
  <c r="AB33" i="99"/>
  <c r="AA33" i="99"/>
  <c r="N31" i="99"/>
  <c r="AB31" i="99"/>
  <c r="AA31" i="99"/>
  <c r="F2" i="99"/>
  <c r="I3" i="98"/>
  <c r="N18" i="99"/>
  <c r="AB18" i="99"/>
  <c r="M23" i="99"/>
  <c r="AA18" i="99"/>
  <c r="AB47" i="99"/>
  <c r="AA47" i="99"/>
  <c r="M51" i="99"/>
  <c r="N47" i="99"/>
  <c r="Q32" i="99"/>
  <c r="P32" i="99"/>
  <c r="N34" i="99"/>
  <c r="AB34" i="99"/>
  <c r="AA34" i="99"/>
  <c r="N43" i="99"/>
  <c r="AB43" i="99"/>
  <c r="AA43" i="99"/>
  <c r="AB7" i="99"/>
  <c r="AA7" i="99"/>
  <c r="N7" i="99"/>
  <c r="N11" i="99"/>
  <c r="M17" i="99"/>
  <c r="AB11" i="99"/>
  <c r="AA11" i="99"/>
  <c r="N21" i="99"/>
  <c r="AB21" i="99"/>
  <c r="AA21" i="99"/>
  <c r="N19" i="99"/>
  <c r="AB19" i="99"/>
  <c r="AA19" i="99"/>
  <c r="AB16" i="99"/>
  <c r="AA16" i="99"/>
  <c r="N16" i="99"/>
  <c r="AB26" i="99"/>
  <c r="AA26" i="99"/>
  <c r="N26" i="99"/>
  <c r="AB56" i="99"/>
  <c r="AA56" i="99"/>
  <c r="N56" i="99"/>
  <c r="AB67" i="99"/>
  <c r="AA67" i="99"/>
  <c r="N67" i="99"/>
  <c r="AB24" i="99"/>
  <c r="AB25" i="99"/>
  <c r="AB36" i="99"/>
  <c r="AB37" i="99"/>
  <c r="N5" i="99"/>
  <c r="N6" i="99"/>
  <c r="N28" i="99"/>
  <c r="N40" i="99"/>
  <c r="N48" i="99"/>
  <c r="N55" i="99"/>
  <c r="AB59" i="99"/>
  <c r="AB60" i="99"/>
  <c r="M63" i="99"/>
  <c r="N65" i="99"/>
  <c r="N24" i="99"/>
  <c r="N27" i="99"/>
  <c r="N36" i="99"/>
  <c r="N39" i="99"/>
  <c r="N54" i="99"/>
  <c r="AA20" i="99"/>
  <c r="AA32" i="99"/>
  <c r="AA50" i="99"/>
  <c r="AA69" i="99"/>
  <c r="AA71" i="99"/>
  <c r="AB20" i="99"/>
  <c r="AB32" i="99"/>
  <c r="M35" i="99"/>
  <c r="AB50" i="99"/>
  <c r="N62" i="99"/>
  <c r="AB69" i="99"/>
  <c r="AB71" i="99"/>
  <c r="P15" i="99"/>
  <c r="P25" i="99"/>
  <c r="P37" i="99"/>
  <c r="AA5" i="99"/>
  <c r="AA6" i="99"/>
  <c r="P12" i="99"/>
  <c r="P14" i="99"/>
  <c r="AA28" i="99"/>
  <c r="AA40" i="99"/>
  <c r="M44" i="99"/>
  <c r="P46" i="99"/>
  <c r="AA48" i="99"/>
  <c r="AA55" i="99"/>
  <c r="P61" i="99"/>
  <c r="AA65" i="99"/>
  <c r="F6" i="98"/>
  <c r="G6" i="98"/>
  <c r="AB5" i="99"/>
  <c r="Q48" i="99" l="1"/>
  <c r="P48" i="99"/>
  <c r="Q56" i="99"/>
  <c r="P56" i="99"/>
  <c r="Q43" i="99"/>
  <c r="P43" i="99"/>
  <c r="Q22" i="99"/>
  <c r="P22" i="99"/>
  <c r="Q73" i="99"/>
  <c r="P73" i="99"/>
  <c r="D14" i="98"/>
  <c r="Q8" i="99"/>
  <c r="R5" i="99" s="1"/>
  <c r="P8" i="99"/>
  <c r="Q38" i="99"/>
  <c r="P38" i="99"/>
  <c r="Q40" i="99"/>
  <c r="P40" i="99"/>
  <c r="Q18" i="99"/>
  <c r="P18" i="99"/>
  <c r="Q41" i="99"/>
  <c r="P41" i="99"/>
  <c r="Q52" i="99"/>
  <c r="P52" i="99"/>
  <c r="Q53" i="99"/>
  <c r="P53" i="99"/>
  <c r="N58" i="99"/>
  <c r="AB58" i="99"/>
  <c r="AC52" i="99" s="1"/>
  <c r="AA58" i="99"/>
  <c r="Q39" i="99"/>
  <c r="P39" i="99"/>
  <c r="Q6" i="99"/>
  <c r="P6" i="99"/>
  <c r="Q26" i="99"/>
  <c r="P26" i="99"/>
  <c r="Q34" i="99"/>
  <c r="P34" i="99"/>
  <c r="N44" i="99"/>
  <c r="AB44" i="99"/>
  <c r="AC36" i="99" s="1"/>
  <c r="AA44" i="99"/>
  <c r="Q62" i="99"/>
  <c r="P62" i="99"/>
  <c r="Q36" i="99"/>
  <c r="P36" i="99"/>
  <c r="Q5" i="99"/>
  <c r="P5" i="99"/>
  <c r="Q30" i="99"/>
  <c r="P30" i="99"/>
  <c r="P72" i="99"/>
  <c r="Q72" i="99"/>
  <c r="Q29" i="99"/>
  <c r="P29" i="99"/>
  <c r="Q54" i="99"/>
  <c r="P54" i="99"/>
  <c r="Q27" i="99"/>
  <c r="P27" i="99"/>
  <c r="AB17" i="99"/>
  <c r="AC11" i="99" s="1"/>
  <c r="AA17" i="99"/>
  <c r="N17" i="99"/>
  <c r="Q42" i="99"/>
  <c r="P42" i="99"/>
  <c r="Q28" i="99"/>
  <c r="P28" i="99"/>
  <c r="AB35" i="99"/>
  <c r="AC24" i="99" s="1"/>
  <c r="AA35" i="99"/>
  <c r="N35" i="99"/>
  <c r="Q24" i="99"/>
  <c r="P24" i="99"/>
  <c r="Q16" i="99"/>
  <c r="P16" i="99"/>
  <c r="Q11" i="99"/>
  <c r="P11" i="99"/>
  <c r="Q47" i="99"/>
  <c r="P47" i="99"/>
  <c r="Q31" i="99"/>
  <c r="P31" i="99"/>
  <c r="Q65" i="99"/>
  <c r="P65" i="99"/>
  <c r="Q7" i="99"/>
  <c r="P7" i="99"/>
  <c r="AA51" i="99"/>
  <c r="N51" i="99"/>
  <c r="AB51" i="99"/>
  <c r="AC45" i="99" s="1"/>
  <c r="Q66" i="99"/>
  <c r="P66" i="99"/>
  <c r="P70" i="99"/>
  <c r="Q70" i="99"/>
  <c r="Q57" i="99"/>
  <c r="P57" i="99"/>
  <c r="AB63" i="99"/>
  <c r="AC59" i="99" s="1"/>
  <c r="AA63" i="99"/>
  <c r="N63" i="99"/>
  <c r="Q49" i="99"/>
  <c r="P49" i="99"/>
  <c r="P21" i="99"/>
  <c r="Q21" i="99"/>
  <c r="Q67" i="99"/>
  <c r="P67" i="99"/>
  <c r="P33" i="99"/>
  <c r="Q33" i="99"/>
  <c r="Q68" i="99"/>
  <c r="P68" i="99"/>
  <c r="Q13" i="99"/>
  <c r="P13" i="99"/>
  <c r="Q64" i="99"/>
  <c r="P64" i="99"/>
  <c r="AA10" i="99"/>
  <c r="N10" i="99"/>
  <c r="D2" i="99" s="1"/>
  <c r="AB10" i="99"/>
  <c r="AC9" i="99" s="1"/>
  <c r="Q55" i="99"/>
  <c r="P55" i="99"/>
  <c r="Q19" i="99"/>
  <c r="P19" i="99"/>
  <c r="AB23" i="99"/>
  <c r="AC18" i="99" s="1"/>
  <c r="AA23" i="99"/>
  <c r="N23" i="99"/>
  <c r="AB74" i="99"/>
  <c r="AC64" i="99" s="1"/>
  <c r="AA74" i="99"/>
  <c r="N74" i="99"/>
  <c r="Q9" i="99"/>
  <c r="P9" i="99"/>
  <c r="D15" i="98" l="1"/>
  <c r="F14" i="98"/>
  <c r="F15" i="98" s="1"/>
  <c r="Q17" i="99"/>
  <c r="R11" i="99" s="1"/>
  <c r="P17" i="99"/>
  <c r="Q74" i="99"/>
  <c r="R64" i="99" s="1"/>
  <c r="M14" i="98"/>
  <c r="M15" i="98" s="1"/>
  <c r="P74" i="99"/>
  <c r="Q23" i="99"/>
  <c r="R18" i="99" s="1"/>
  <c r="G14" i="98"/>
  <c r="G15" i="98" s="1"/>
  <c r="P23" i="99"/>
  <c r="Q10" i="99"/>
  <c r="R9" i="99" s="1"/>
  <c r="P10" i="99"/>
  <c r="E14" i="98"/>
  <c r="E15" i="98" s="1"/>
  <c r="Q35" i="99"/>
  <c r="R24" i="99" s="1"/>
  <c r="K14" i="98"/>
  <c r="P35" i="99"/>
  <c r="Q51" i="99"/>
  <c r="R45" i="99" s="1"/>
  <c r="P51" i="99"/>
  <c r="H14" i="98"/>
  <c r="H15" i="98" s="1"/>
  <c r="I14" i="98"/>
  <c r="I15" i="98" s="1"/>
  <c r="Q58" i="99"/>
  <c r="R52" i="99" s="1"/>
  <c r="P58" i="99"/>
  <c r="P44" i="99"/>
  <c r="L14" i="98"/>
  <c r="L15" i="98" s="1"/>
  <c r="Q44" i="99"/>
  <c r="R36" i="99" s="1"/>
  <c r="J14" i="98"/>
  <c r="J15" i="98" s="1"/>
  <c r="Q63" i="99"/>
  <c r="R59" i="99" s="1"/>
  <c r="P63" i="99"/>
  <c r="K15" i="98" l="1"/>
  <c r="I8" i="98" s="1"/>
  <c r="I7" i="98"/>
  <c r="E7" i="98"/>
  <c r="F7" i="98"/>
  <c r="G7" i="98"/>
  <c r="G8" i="98"/>
  <c r="F8" i="98"/>
  <c r="E8" i="98"/>
  <c r="H2" i="30" l="1"/>
  <c r="H2" i="42"/>
  <c r="H2" i="44"/>
  <c r="H2" i="45"/>
  <c r="H2" i="52"/>
  <c r="H2" i="54"/>
  <c r="H2" i="58"/>
  <c r="H2" i="59"/>
  <c r="H2" i="64"/>
  <c r="H2" i="66"/>
  <c r="H2" i="76"/>
  <c r="H2" i="72"/>
  <c r="H2" i="74"/>
  <c r="H2" i="78"/>
  <c r="H1" i="78"/>
  <c r="H1" i="74"/>
  <c r="H1" i="72"/>
  <c r="H1" i="76"/>
  <c r="H1" i="66"/>
  <c r="H1" i="64"/>
  <c r="H1" i="59"/>
  <c r="H1" i="52"/>
  <c r="H1" i="45"/>
  <c r="H1" i="42"/>
  <c r="H1" i="44"/>
  <c r="H1" i="30"/>
  <c r="O70" i="78" l="1"/>
  <c r="K70" i="78"/>
  <c r="AB69" i="78"/>
  <c r="V69" i="78"/>
  <c r="M69" i="78" s="1"/>
  <c r="U69" i="78"/>
  <c r="O69" i="78"/>
  <c r="K69" i="78"/>
  <c r="G69" i="78"/>
  <c r="AB68" i="78"/>
  <c r="AA68" i="78"/>
  <c r="V68" i="78"/>
  <c r="U68" i="78"/>
  <c r="Q68" i="78"/>
  <c r="O68" i="78"/>
  <c r="M68" i="78"/>
  <c r="N68" i="78" s="1"/>
  <c r="P68" i="78" s="1"/>
  <c r="K68" i="78"/>
  <c r="G68" i="78"/>
  <c r="AA67" i="78"/>
  <c r="X67" i="78"/>
  <c r="W67" i="78"/>
  <c r="V67" i="78"/>
  <c r="M67" i="78" s="1"/>
  <c r="U67" i="78"/>
  <c r="O67" i="78"/>
  <c r="K67" i="78"/>
  <c r="G67" i="78"/>
  <c r="AB66" i="78"/>
  <c r="AA66" i="78"/>
  <c r="V66" i="78"/>
  <c r="U66" i="78"/>
  <c r="Q66" i="78"/>
  <c r="O66" i="78"/>
  <c r="M66" i="78"/>
  <c r="N66" i="78" s="1"/>
  <c r="P66" i="78" s="1"/>
  <c r="K66" i="78"/>
  <c r="G66" i="78"/>
  <c r="AA65" i="78"/>
  <c r="V65" i="78"/>
  <c r="M65" i="78" s="1"/>
  <c r="U65" i="78"/>
  <c r="O65" i="78"/>
  <c r="K65" i="78"/>
  <c r="G65" i="78"/>
  <c r="V64" i="78"/>
  <c r="M64" i="78" s="1"/>
  <c r="U64" i="78"/>
  <c r="O64" i="78"/>
  <c r="K64" i="78"/>
  <c r="G64" i="78"/>
  <c r="V63" i="78"/>
  <c r="M63" i="78" s="1"/>
  <c r="U63" i="78"/>
  <c r="Q63" i="78"/>
  <c r="O63" i="78"/>
  <c r="N63" i="78"/>
  <c r="P63" i="78" s="1"/>
  <c r="K63" i="78"/>
  <c r="G63" i="78"/>
  <c r="X62" i="78"/>
  <c r="W62" i="78"/>
  <c r="V62" i="78"/>
  <c r="M62" i="78" s="1"/>
  <c r="O62" i="78"/>
  <c r="K62" i="78"/>
  <c r="G62" i="78"/>
  <c r="O61" i="78"/>
  <c r="M61" i="78"/>
  <c r="N61" i="78" s="1"/>
  <c r="K61" i="78"/>
  <c r="V60" i="78"/>
  <c r="M60" i="78" s="1"/>
  <c r="U60" i="78"/>
  <c r="O60" i="78"/>
  <c r="N60" i="78"/>
  <c r="K60" i="78"/>
  <c r="G60" i="78"/>
  <c r="V59" i="78"/>
  <c r="U59" i="78"/>
  <c r="O59" i="78"/>
  <c r="N59" i="78"/>
  <c r="M59" i="78"/>
  <c r="K59" i="78"/>
  <c r="G59" i="78"/>
  <c r="AB58" i="78"/>
  <c r="V58" i="78"/>
  <c r="U58" i="78"/>
  <c r="O58" i="78"/>
  <c r="M58" i="78"/>
  <c r="K58" i="78"/>
  <c r="G58" i="78"/>
  <c r="AB57" i="78"/>
  <c r="X57" i="78"/>
  <c r="W57" i="78"/>
  <c r="V57" i="78"/>
  <c r="M57" i="78" s="1"/>
  <c r="AA57" i="78" s="1"/>
  <c r="P57" i="78"/>
  <c r="O57" i="78"/>
  <c r="N57" i="78"/>
  <c r="Q57" i="78" s="1"/>
  <c r="K57" i="78"/>
  <c r="G57" i="78"/>
  <c r="O56" i="78"/>
  <c r="M56" i="78"/>
  <c r="K56" i="78"/>
  <c r="AB55" i="78"/>
  <c r="V55" i="78"/>
  <c r="M55" i="78" s="1"/>
  <c r="U55" i="78"/>
  <c r="O55" i="78"/>
  <c r="K55" i="78"/>
  <c r="G55" i="78"/>
  <c r="AB54" i="78"/>
  <c r="AA54" i="78"/>
  <c r="V54" i="78"/>
  <c r="U54" i="78"/>
  <c r="Q54" i="78"/>
  <c r="O54" i="78"/>
  <c r="M54" i="78"/>
  <c r="N54" i="78" s="1"/>
  <c r="P54" i="78" s="1"/>
  <c r="K54" i="78"/>
  <c r="G54" i="78"/>
  <c r="AB53" i="78"/>
  <c r="AA53" i="78"/>
  <c r="V53" i="78"/>
  <c r="M53" i="78" s="1"/>
  <c r="N53" i="78" s="1"/>
  <c r="U53" i="78"/>
  <c r="Q53" i="78"/>
  <c r="P53" i="78"/>
  <c r="O53" i="78"/>
  <c r="K53" i="78"/>
  <c r="G53" i="78"/>
  <c r="AA52" i="78"/>
  <c r="V52" i="78"/>
  <c r="M52" i="78" s="1"/>
  <c r="U52" i="78"/>
  <c r="O52" i="78"/>
  <c r="K52" i="78"/>
  <c r="G52" i="78"/>
  <c r="V51" i="78"/>
  <c r="M51" i="78" s="1"/>
  <c r="U51" i="78"/>
  <c r="O51" i="78"/>
  <c r="N51" i="78"/>
  <c r="P51" i="78" s="1"/>
  <c r="K51" i="78"/>
  <c r="G51" i="78"/>
  <c r="V50" i="78"/>
  <c r="M50" i="78" s="1"/>
  <c r="Q50" i="78"/>
  <c r="O50" i="78"/>
  <c r="N50" i="78"/>
  <c r="P50" i="78" s="1"/>
  <c r="K50" i="78"/>
  <c r="G50" i="78"/>
  <c r="O49" i="78"/>
  <c r="K49" i="78"/>
  <c r="AB48" i="78"/>
  <c r="V48" i="78"/>
  <c r="U48" i="78"/>
  <c r="O48" i="78"/>
  <c r="N48" i="78"/>
  <c r="M48" i="78"/>
  <c r="AA48" i="78" s="1"/>
  <c r="K48" i="78"/>
  <c r="G48" i="78"/>
  <c r="AB47" i="78"/>
  <c r="AA47" i="78"/>
  <c r="V47" i="78"/>
  <c r="U47" i="78"/>
  <c r="O47" i="78"/>
  <c r="M47" i="78"/>
  <c r="N47" i="78" s="1"/>
  <c r="K47" i="78"/>
  <c r="G47" i="78"/>
  <c r="AA46" i="78"/>
  <c r="V46" i="78"/>
  <c r="M46" i="78" s="1"/>
  <c r="U46" i="78"/>
  <c r="O46" i="78"/>
  <c r="K46" i="78"/>
  <c r="G46" i="78"/>
  <c r="AB45" i="78"/>
  <c r="V45" i="78"/>
  <c r="M45" i="78" s="1"/>
  <c r="U45" i="78"/>
  <c r="O45" i="78"/>
  <c r="K45" i="78"/>
  <c r="G45" i="78"/>
  <c r="AB44" i="78"/>
  <c r="AA44" i="78"/>
  <c r="V44" i="78"/>
  <c r="U44" i="78"/>
  <c r="Q44" i="78"/>
  <c r="O44" i="78"/>
  <c r="M44" i="78"/>
  <c r="N44" i="78" s="1"/>
  <c r="P44" i="78" s="1"/>
  <c r="K44" i="78"/>
  <c r="G44" i="78"/>
  <c r="AB43" i="78"/>
  <c r="AA43" i="78"/>
  <c r="X43" i="78"/>
  <c r="W43" i="78"/>
  <c r="V43" i="78"/>
  <c r="M43" i="78" s="1"/>
  <c r="O43" i="78"/>
  <c r="K43" i="78"/>
  <c r="G43" i="78"/>
  <c r="O42" i="78"/>
  <c r="K42" i="78"/>
  <c r="V41" i="78"/>
  <c r="M41" i="78" s="1"/>
  <c r="U41" i="78"/>
  <c r="O41" i="78"/>
  <c r="N41" i="78"/>
  <c r="P41" i="78" s="1"/>
  <c r="K41" i="78"/>
  <c r="G41" i="78"/>
  <c r="V40" i="78"/>
  <c r="U40" i="78"/>
  <c r="Q40" i="78"/>
  <c r="P40" i="78"/>
  <c r="O40" i="78"/>
  <c r="N40" i="78"/>
  <c r="M40" i="78"/>
  <c r="K40" i="78"/>
  <c r="G40" i="78"/>
  <c r="V39" i="78"/>
  <c r="U39" i="78"/>
  <c r="O39" i="78"/>
  <c r="M39" i="78"/>
  <c r="K39" i="78"/>
  <c r="G39" i="78"/>
  <c r="V38" i="78"/>
  <c r="M38" i="78" s="1"/>
  <c r="U38" i="78"/>
  <c r="O38" i="78"/>
  <c r="N38" i="78"/>
  <c r="Q38" i="78" s="1"/>
  <c r="K38" i="78"/>
  <c r="G38" i="78"/>
  <c r="X37" i="78"/>
  <c r="W37" i="78"/>
  <c r="V37" i="78"/>
  <c r="U37" i="78"/>
  <c r="O37" i="78"/>
  <c r="M37" i="78"/>
  <c r="K37" i="78"/>
  <c r="G37" i="78"/>
  <c r="V36" i="78"/>
  <c r="M36" i="78" s="1"/>
  <c r="U36" i="78"/>
  <c r="P36" i="78"/>
  <c r="O36" i="78"/>
  <c r="N36" i="78"/>
  <c r="Q36" i="78" s="1"/>
  <c r="K36" i="78"/>
  <c r="G36" i="78"/>
  <c r="V35" i="78"/>
  <c r="U35" i="78"/>
  <c r="O35" i="78"/>
  <c r="N35" i="78"/>
  <c r="M35" i="78"/>
  <c r="K35" i="78"/>
  <c r="G35" i="78"/>
  <c r="AB34" i="78"/>
  <c r="V34" i="78"/>
  <c r="U34" i="78"/>
  <c r="O34" i="78"/>
  <c r="N34" i="78"/>
  <c r="M34" i="78"/>
  <c r="AA34" i="78" s="1"/>
  <c r="K34" i="78"/>
  <c r="G34" i="78"/>
  <c r="AB33" i="78"/>
  <c r="X33" i="78"/>
  <c r="W33" i="78"/>
  <c r="V33" i="78"/>
  <c r="M33" i="78" s="1"/>
  <c r="P33" i="78"/>
  <c r="O33" i="78"/>
  <c r="N33" i="78"/>
  <c r="Q33" i="78" s="1"/>
  <c r="K33" i="78"/>
  <c r="G33" i="78"/>
  <c r="O32" i="78"/>
  <c r="M32" i="78"/>
  <c r="K32" i="78"/>
  <c r="AB31" i="78"/>
  <c r="V31" i="78"/>
  <c r="M31" i="78" s="1"/>
  <c r="U31" i="78"/>
  <c r="O31" i="78"/>
  <c r="K31" i="78"/>
  <c r="G31" i="78"/>
  <c r="AB30" i="78"/>
  <c r="AA30" i="78"/>
  <c r="V30" i="78"/>
  <c r="U30" i="78"/>
  <c r="Q30" i="78"/>
  <c r="O30" i="78"/>
  <c r="M30" i="78"/>
  <c r="N30" i="78" s="1"/>
  <c r="P30" i="78" s="1"/>
  <c r="K30" i="78"/>
  <c r="G30" i="78"/>
  <c r="AB29" i="78"/>
  <c r="AA29" i="78"/>
  <c r="V29" i="78"/>
  <c r="M29" i="78" s="1"/>
  <c r="N29" i="78" s="1"/>
  <c r="U29" i="78"/>
  <c r="Q29" i="78"/>
  <c r="P29" i="78"/>
  <c r="O29" i="78"/>
  <c r="K29" i="78"/>
  <c r="G29" i="78"/>
  <c r="AB28" i="78"/>
  <c r="AA28" i="78"/>
  <c r="X28" i="78"/>
  <c r="W28" i="78"/>
  <c r="V28" i="78"/>
  <c r="U28" i="78"/>
  <c r="Q28" i="78"/>
  <c r="O28" i="78"/>
  <c r="M28" i="78"/>
  <c r="N28" i="78" s="1"/>
  <c r="P28" i="78" s="1"/>
  <c r="K28" i="78"/>
  <c r="G28" i="78"/>
  <c r="AB27" i="78"/>
  <c r="AA27" i="78"/>
  <c r="V27" i="78"/>
  <c r="M27" i="78" s="1"/>
  <c r="N27" i="78" s="1"/>
  <c r="U27" i="78"/>
  <c r="Q27" i="78"/>
  <c r="P27" i="78"/>
  <c r="O27" i="78"/>
  <c r="K27" i="78"/>
  <c r="G27" i="78"/>
  <c r="AA26" i="78"/>
  <c r="V26" i="78"/>
  <c r="M26" i="78" s="1"/>
  <c r="U26" i="78"/>
  <c r="O26" i="78"/>
  <c r="K26" i="78"/>
  <c r="G26" i="78"/>
  <c r="V25" i="78"/>
  <c r="M25" i="78" s="1"/>
  <c r="U25" i="78"/>
  <c r="Q25" i="78"/>
  <c r="O25" i="78"/>
  <c r="N25" i="78"/>
  <c r="P25" i="78" s="1"/>
  <c r="K25" i="78"/>
  <c r="G25" i="78"/>
  <c r="V24" i="78"/>
  <c r="U24" i="78"/>
  <c r="O24" i="78"/>
  <c r="N24" i="78"/>
  <c r="Q24" i="78" s="1"/>
  <c r="M24" i="78"/>
  <c r="K24" i="78"/>
  <c r="G24" i="78"/>
  <c r="X23" i="78"/>
  <c r="W23" i="78"/>
  <c r="V23" i="78"/>
  <c r="M23" i="78" s="1"/>
  <c r="O23" i="78"/>
  <c r="K23" i="78"/>
  <c r="G23" i="78"/>
  <c r="O22" i="78"/>
  <c r="M22" i="78"/>
  <c r="K22" i="78"/>
  <c r="G13" i="77" s="1"/>
  <c r="V21" i="78"/>
  <c r="U21" i="78"/>
  <c r="O21" i="78"/>
  <c r="N21" i="78"/>
  <c r="M21" i="78"/>
  <c r="K21" i="78"/>
  <c r="G21" i="78"/>
  <c r="AB20" i="78"/>
  <c r="V20" i="78"/>
  <c r="U20" i="78"/>
  <c r="O20" i="78"/>
  <c r="N20" i="78"/>
  <c r="M20" i="78"/>
  <c r="AA20" i="78" s="1"/>
  <c r="K20" i="78"/>
  <c r="G20" i="78"/>
  <c r="AB19" i="78"/>
  <c r="AA19" i="78"/>
  <c r="V19" i="78"/>
  <c r="U19" i="78"/>
  <c r="O19" i="78"/>
  <c r="M19" i="78"/>
  <c r="N19" i="78" s="1"/>
  <c r="K19" i="78"/>
  <c r="G19" i="78"/>
  <c r="AA18" i="78"/>
  <c r="V18" i="78"/>
  <c r="M18" i="78" s="1"/>
  <c r="U18" i="78"/>
  <c r="O18" i="78"/>
  <c r="K18" i="78"/>
  <c r="G18" i="78"/>
  <c r="AA17" i="78"/>
  <c r="V17" i="78"/>
  <c r="M17" i="78" s="1"/>
  <c r="O17" i="78"/>
  <c r="K17" i="78"/>
  <c r="G17" i="78"/>
  <c r="O16" i="78"/>
  <c r="K16" i="78"/>
  <c r="V15" i="78"/>
  <c r="M15" i="78" s="1"/>
  <c r="U15" i="78"/>
  <c r="O15" i="78"/>
  <c r="N15" i="78"/>
  <c r="P15" i="78" s="1"/>
  <c r="K15" i="78"/>
  <c r="G15" i="78"/>
  <c r="V14" i="78"/>
  <c r="U14" i="78"/>
  <c r="Q14" i="78"/>
  <c r="O14" i="78"/>
  <c r="N14" i="78"/>
  <c r="P14" i="78" s="1"/>
  <c r="M14" i="78"/>
  <c r="K14" i="78"/>
  <c r="G14" i="78"/>
  <c r="V13" i="78"/>
  <c r="U13" i="78"/>
  <c r="O13" i="78"/>
  <c r="M13" i="78"/>
  <c r="K13" i="78"/>
  <c r="G13" i="78"/>
  <c r="V12" i="78"/>
  <c r="M12" i="78" s="1"/>
  <c r="U12" i="78"/>
  <c r="O12" i="78"/>
  <c r="N12" i="78"/>
  <c r="Q12" i="78" s="1"/>
  <c r="K12" i="78"/>
  <c r="G12" i="78"/>
  <c r="X11" i="78"/>
  <c r="W11" i="78"/>
  <c r="V11" i="78"/>
  <c r="Q11" i="78"/>
  <c r="P11" i="78"/>
  <c r="O11" i="78"/>
  <c r="N11" i="78"/>
  <c r="M11" i="78"/>
  <c r="K11" i="78"/>
  <c r="G11" i="78"/>
  <c r="O10" i="78"/>
  <c r="N10" i="78"/>
  <c r="M10" i="78"/>
  <c r="K10" i="78"/>
  <c r="AB9" i="78"/>
  <c r="V9" i="78"/>
  <c r="O9" i="78"/>
  <c r="N9" i="78"/>
  <c r="M9" i="78"/>
  <c r="AA9" i="78" s="1"/>
  <c r="K9" i="78"/>
  <c r="G9" i="78"/>
  <c r="O8" i="78"/>
  <c r="K8" i="78"/>
  <c r="AB7" i="78"/>
  <c r="AA7" i="78"/>
  <c r="V7" i="78"/>
  <c r="M7" i="78" s="1"/>
  <c r="N7" i="78" s="1"/>
  <c r="U7" i="78"/>
  <c r="Q7" i="78"/>
  <c r="P7" i="78"/>
  <c r="O7" i="78"/>
  <c r="K7" i="78"/>
  <c r="G7" i="78"/>
  <c r="AA6" i="78"/>
  <c r="V6" i="78"/>
  <c r="M6" i="78" s="1"/>
  <c r="U6" i="78"/>
  <c r="O6" i="78"/>
  <c r="K6" i="78"/>
  <c r="G6" i="78"/>
  <c r="AA5" i="78"/>
  <c r="V5" i="78"/>
  <c r="M5" i="78" s="1"/>
  <c r="O5" i="78"/>
  <c r="K5" i="78"/>
  <c r="G5" i="78"/>
  <c r="F1" i="78"/>
  <c r="F2" i="78" s="1"/>
  <c r="D1" i="78"/>
  <c r="M18" i="77"/>
  <c r="L18" i="77"/>
  <c r="K18" i="77"/>
  <c r="J18" i="77"/>
  <c r="I18" i="77"/>
  <c r="H18" i="77"/>
  <c r="G18" i="77"/>
  <c r="F18" i="77"/>
  <c r="E18" i="77"/>
  <c r="D18" i="77"/>
  <c r="M17" i="77"/>
  <c r="L17" i="77"/>
  <c r="K17" i="77"/>
  <c r="J17" i="77"/>
  <c r="I17" i="77"/>
  <c r="H17" i="77"/>
  <c r="G17" i="77"/>
  <c r="F17" i="77"/>
  <c r="E17" i="77"/>
  <c r="D17" i="77"/>
  <c r="M16" i="77"/>
  <c r="L16" i="77"/>
  <c r="K16" i="77"/>
  <c r="J16" i="77"/>
  <c r="I16" i="77"/>
  <c r="H16" i="77"/>
  <c r="G16" i="77"/>
  <c r="F16" i="77"/>
  <c r="E16" i="77"/>
  <c r="D16" i="77"/>
  <c r="E14" i="77"/>
  <c r="M13" i="77"/>
  <c r="L13" i="77"/>
  <c r="K13" i="77"/>
  <c r="J13" i="77"/>
  <c r="I13" i="77"/>
  <c r="H13" i="77"/>
  <c r="F13" i="77"/>
  <c r="E13" i="77"/>
  <c r="D13" i="77"/>
  <c r="F6" i="77" s="1"/>
  <c r="F3" i="77"/>
  <c r="C3" i="77"/>
  <c r="E15" i="77" l="1"/>
  <c r="I6" i="77"/>
  <c r="E6" i="77"/>
  <c r="G6" i="77"/>
  <c r="P61" i="78"/>
  <c r="J14" i="77"/>
  <c r="J15" i="77" s="1"/>
  <c r="Q61" i="78"/>
  <c r="R57" i="78" s="1"/>
  <c r="P24" i="78"/>
  <c r="Q51" i="78"/>
  <c r="I3" i="77"/>
  <c r="P12" i="78"/>
  <c r="Q15" i="78"/>
  <c r="P38" i="78"/>
  <c r="Q41" i="78"/>
  <c r="N5" i="78"/>
  <c r="M8" i="78"/>
  <c r="AB5" i="78"/>
  <c r="N6" i="78"/>
  <c r="AB6" i="78"/>
  <c r="Q9" i="78"/>
  <c r="P9" i="78"/>
  <c r="AB10" i="78"/>
  <c r="AC9" i="78" s="1"/>
  <c r="AA10" i="78"/>
  <c r="Q10" i="78"/>
  <c r="R9" i="78" s="1"/>
  <c r="P10" i="78"/>
  <c r="AB11" i="78"/>
  <c r="M16" i="78"/>
  <c r="AB16" i="78" s="1"/>
  <c r="AC11" i="78" s="1"/>
  <c r="AA11" i="78"/>
  <c r="AB12" i="78"/>
  <c r="AA12" i="78"/>
  <c r="AB13" i="78"/>
  <c r="AA13" i="78"/>
  <c r="N13" i="78"/>
  <c r="AB14" i="78"/>
  <c r="AA14" i="78"/>
  <c r="AB15" i="78"/>
  <c r="AA15" i="78"/>
  <c r="N17" i="78"/>
  <c r="AB17" i="78"/>
  <c r="N18" i="78"/>
  <c r="AB18" i="78"/>
  <c r="Q19" i="78"/>
  <c r="P19" i="78"/>
  <c r="Q20" i="78"/>
  <c r="P20" i="78"/>
  <c r="AB21" i="78"/>
  <c r="AA21" i="78"/>
  <c r="Q21" i="78"/>
  <c r="P21" i="78"/>
  <c r="AB22" i="78"/>
  <c r="AC17" i="78" s="1"/>
  <c r="AA22" i="78"/>
  <c r="N22" i="78"/>
  <c r="N23" i="78"/>
  <c r="AB23" i="78"/>
  <c r="AA23" i="78"/>
  <c r="AB24" i="78"/>
  <c r="AA24" i="78"/>
  <c r="AB25" i="78"/>
  <c r="AA25" i="78"/>
  <c r="N26" i="78"/>
  <c r="AB26" i="78"/>
  <c r="N31" i="78"/>
  <c r="AA31" i="78"/>
  <c r="AB32" i="78"/>
  <c r="AC23" i="78" s="1"/>
  <c r="AA32" i="78"/>
  <c r="N32" i="78"/>
  <c r="K14" i="77" s="1"/>
  <c r="AA33" i="78"/>
  <c r="M42" i="78"/>
  <c r="AB42" i="78" s="1"/>
  <c r="AC33" i="78" s="1"/>
  <c r="Q34" i="78"/>
  <c r="P34" i="78"/>
  <c r="AB35" i="78"/>
  <c r="AA35" i="78"/>
  <c r="Q35" i="78"/>
  <c r="P35" i="78"/>
  <c r="AB36" i="78"/>
  <c r="AA36" i="78"/>
  <c r="AB37" i="78"/>
  <c r="AA37" i="78"/>
  <c r="N37" i="78"/>
  <c r="AB38" i="78"/>
  <c r="AA38" i="78"/>
  <c r="AB39" i="78"/>
  <c r="AA39" i="78"/>
  <c r="N39" i="78"/>
  <c r="AB40" i="78"/>
  <c r="AA40" i="78"/>
  <c r="AB41" i="78"/>
  <c r="AA41" i="78"/>
  <c r="N43" i="78"/>
  <c r="M49" i="78"/>
  <c r="N49" i="78" s="1"/>
  <c r="P49" i="78" s="1"/>
  <c r="N45" i="78"/>
  <c r="AA45" i="78"/>
  <c r="N46" i="78"/>
  <c r="AB46" i="78"/>
  <c r="Q47" i="78"/>
  <c r="P47" i="78"/>
  <c r="Q48" i="78"/>
  <c r="P48" i="78"/>
  <c r="Q49" i="78"/>
  <c r="R43" i="78" s="1"/>
  <c r="H14" i="77"/>
  <c r="H15" i="77" s="1"/>
  <c r="AB50" i="78"/>
  <c r="AA50" i="78"/>
  <c r="AB51" i="78"/>
  <c r="AA51" i="78"/>
  <c r="N52" i="78"/>
  <c r="AB52" i="78"/>
  <c r="N55" i="78"/>
  <c r="AA55" i="78"/>
  <c r="AB56" i="78"/>
  <c r="AC50" i="78" s="1"/>
  <c r="AA56" i="78"/>
  <c r="N56" i="78"/>
  <c r="AA58" i="78"/>
  <c r="N58" i="78"/>
  <c r="AB59" i="78"/>
  <c r="AA59" i="78"/>
  <c r="Q59" i="78"/>
  <c r="P59" i="78"/>
  <c r="Q60" i="78"/>
  <c r="P60" i="78"/>
  <c r="AB60" i="78"/>
  <c r="AA60" i="78"/>
  <c r="AB61" i="78"/>
  <c r="AC57" i="78" s="1"/>
  <c r="AA61" i="78"/>
  <c r="N62" i="78"/>
  <c r="AB62" i="78"/>
  <c r="AA62" i="78"/>
  <c r="M70" i="78"/>
  <c r="AB63" i="78"/>
  <c r="AA63" i="78"/>
  <c r="N64" i="78"/>
  <c r="AB64" i="78"/>
  <c r="AA64" i="78"/>
  <c r="N65" i="78"/>
  <c r="AB65" i="78"/>
  <c r="N67" i="78"/>
  <c r="AB67" i="78"/>
  <c r="N69" i="78"/>
  <c r="AA69" i="78"/>
  <c r="O64" i="76"/>
  <c r="K64" i="76"/>
  <c r="V63" i="76"/>
  <c r="M63" i="76" s="1"/>
  <c r="N63" i="76" s="1"/>
  <c r="U63" i="76"/>
  <c r="O63" i="76"/>
  <c r="K63" i="76"/>
  <c r="G63" i="76"/>
  <c r="AB62" i="76"/>
  <c r="AA62" i="76"/>
  <c r="X62" i="76"/>
  <c r="W62" i="76"/>
  <c r="V62" i="76"/>
  <c r="M62" i="76" s="1"/>
  <c r="N62" i="76" s="1"/>
  <c r="U62" i="76"/>
  <c r="O62" i="76"/>
  <c r="K62" i="76"/>
  <c r="G62" i="76"/>
  <c r="V61" i="76"/>
  <c r="M61" i="76" s="1"/>
  <c r="N61" i="76" s="1"/>
  <c r="U61" i="76"/>
  <c r="O61" i="76"/>
  <c r="K61" i="76"/>
  <c r="G61" i="76"/>
  <c r="V60" i="76"/>
  <c r="M60" i="76" s="1"/>
  <c r="N60" i="76" s="1"/>
  <c r="P60" i="76" s="1"/>
  <c r="U60" i="76"/>
  <c r="Q60" i="76"/>
  <c r="O60" i="76"/>
  <c r="K60" i="76"/>
  <c r="G60" i="76"/>
  <c r="V59" i="76"/>
  <c r="M59" i="76" s="1"/>
  <c r="U59" i="76"/>
  <c r="O59" i="76"/>
  <c r="K59" i="76"/>
  <c r="G59" i="76"/>
  <c r="V58" i="76"/>
  <c r="M58" i="76" s="1"/>
  <c r="U58" i="76"/>
  <c r="O58" i="76"/>
  <c r="K58" i="76"/>
  <c r="G58" i="76"/>
  <c r="X57" i="76"/>
  <c r="W57" i="76"/>
  <c r="V57" i="76"/>
  <c r="M57" i="76" s="1"/>
  <c r="O57" i="76"/>
  <c r="K57" i="76"/>
  <c r="G57" i="76"/>
  <c r="O56" i="76"/>
  <c r="K56" i="76"/>
  <c r="V55" i="76"/>
  <c r="U55" i="76"/>
  <c r="O55" i="76"/>
  <c r="M55" i="76"/>
  <c r="N55" i="76" s="1"/>
  <c r="K55" i="76"/>
  <c r="G55" i="76"/>
  <c r="V54" i="76"/>
  <c r="U54" i="76"/>
  <c r="O54" i="76"/>
  <c r="M54" i="76"/>
  <c r="K54" i="76"/>
  <c r="G54" i="76"/>
  <c r="V53" i="76"/>
  <c r="U53" i="76"/>
  <c r="O53" i="76"/>
  <c r="M53" i="76"/>
  <c r="N53" i="76" s="1"/>
  <c r="K53" i="76"/>
  <c r="G53" i="76"/>
  <c r="X52" i="76"/>
  <c r="W52" i="76"/>
  <c r="V52" i="76"/>
  <c r="O52" i="76"/>
  <c r="M52" i="76"/>
  <c r="K52" i="76"/>
  <c r="G52" i="76"/>
  <c r="O51" i="76"/>
  <c r="M51" i="76"/>
  <c r="K51" i="76"/>
  <c r="V50" i="76"/>
  <c r="M50" i="76" s="1"/>
  <c r="N50" i="76" s="1"/>
  <c r="U50" i="76"/>
  <c r="O50" i="76"/>
  <c r="K50" i="76"/>
  <c r="G50" i="76"/>
  <c r="V49" i="76"/>
  <c r="M49" i="76" s="1"/>
  <c r="N49" i="76" s="1"/>
  <c r="U49" i="76"/>
  <c r="O49" i="76"/>
  <c r="K49" i="76"/>
  <c r="G49" i="76"/>
  <c r="V48" i="76"/>
  <c r="M48" i="76" s="1"/>
  <c r="N48" i="76" s="1"/>
  <c r="P48" i="76" s="1"/>
  <c r="U48" i="76"/>
  <c r="Q48" i="76"/>
  <c r="O48" i="76"/>
  <c r="K48" i="76"/>
  <c r="G48" i="76"/>
  <c r="AA47" i="76"/>
  <c r="V47" i="76"/>
  <c r="M47" i="76" s="1"/>
  <c r="U47" i="76"/>
  <c r="O47" i="76"/>
  <c r="K47" i="76"/>
  <c r="G47" i="76"/>
  <c r="V46" i="76"/>
  <c r="M46" i="76" s="1"/>
  <c r="U46" i="76"/>
  <c r="O46" i="76"/>
  <c r="K46" i="76"/>
  <c r="G46" i="76"/>
  <c r="V45" i="76"/>
  <c r="M45" i="76" s="1"/>
  <c r="O45" i="76"/>
  <c r="K45" i="76"/>
  <c r="G45" i="76"/>
  <c r="O44" i="76"/>
  <c r="K44" i="76"/>
  <c r="V43" i="76"/>
  <c r="U43" i="76"/>
  <c r="O43" i="76"/>
  <c r="M43" i="76"/>
  <c r="N43" i="76" s="1"/>
  <c r="K43" i="76"/>
  <c r="G43" i="76"/>
  <c r="AB42" i="76"/>
  <c r="V42" i="76"/>
  <c r="U42" i="76"/>
  <c r="O42" i="76"/>
  <c r="M42" i="76"/>
  <c r="K42" i="76"/>
  <c r="G42" i="76"/>
  <c r="AB41" i="76"/>
  <c r="AA41" i="76"/>
  <c r="V41" i="76"/>
  <c r="U41" i="76"/>
  <c r="O41" i="76"/>
  <c r="M41" i="76"/>
  <c r="N41" i="76" s="1"/>
  <c r="K41" i="76"/>
  <c r="G41" i="76"/>
  <c r="V40" i="76"/>
  <c r="M40" i="76" s="1"/>
  <c r="N40" i="76" s="1"/>
  <c r="U40" i="76"/>
  <c r="O40" i="76"/>
  <c r="K40" i="76"/>
  <c r="G40" i="76"/>
  <c r="V39" i="76"/>
  <c r="M39" i="76" s="1"/>
  <c r="N39" i="76" s="1"/>
  <c r="U39" i="76"/>
  <c r="O39" i="76"/>
  <c r="K39" i="76"/>
  <c r="G39" i="76"/>
  <c r="AB38" i="76"/>
  <c r="AA38" i="76"/>
  <c r="X38" i="76"/>
  <c r="W38" i="76"/>
  <c r="V38" i="76"/>
  <c r="O38" i="76"/>
  <c r="M38" i="76"/>
  <c r="N38" i="76" s="1"/>
  <c r="K38" i="76"/>
  <c r="G38" i="76"/>
  <c r="O37" i="76"/>
  <c r="K37" i="76"/>
  <c r="V36" i="76"/>
  <c r="M36" i="76" s="1"/>
  <c r="U36" i="76"/>
  <c r="O36" i="76"/>
  <c r="K36" i="76"/>
  <c r="G36" i="76"/>
  <c r="X35" i="76"/>
  <c r="W35" i="76"/>
  <c r="V35" i="76"/>
  <c r="M35" i="76" s="1"/>
  <c r="U35" i="76"/>
  <c r="O35" i="76"/>
  <c r="K35" i="76"/>
  <c r="G35" i="76"/>
  <c r="V34" i="76"/>
  <c r="M34" i="76" s="1"/>
  <c r="U34" i="76"/>
  <c r="O34" i="76"/>
  <c r="K34" i="76"/>
  <c r="G34" i="76"/>
  <c r="V33" i="76"/>
  <c r="M33" i="76" s="1"/>
  <c r="U33" i="76"/>
  <c r="O33" i="76"/>
  <c r="N33" i="76"/>
  <c r="Q33" i="76" s="1"/>
  <c r="K33" i="76"/>
  <c r="G33" i="76"/>
  <c r="V32" i="76"/>
  <c r="U32" i="76"/>
  <c r="O32" i="76"/>
  <c r="M32" i="76"/>
  <c r="N32" i="76" s="1"/>
  <c r="K32" i="76"/>
  <c r="G32" i="76"/>
  <c r="X31" i="76"/>
  <c r="W31" i="76"/>
  <c r="V31" i="76"/>
  <c r="M31" i="76" s="1"/>
  <c r="O31" i="76"/>
  <c r="K31" i="76"/>
  <c r="G31" i="76"/>
  <c r="O30" i="76"/>
  <c r="M30" i="76"/>
  <c r="K30" i="76"/>
  <c r="K13" i="75" s="1"/>
  <c r="V29" i="76"/>
  <c r="U29" i="76"/>
  <c r="O29" i="76"/>
  <c r="M29" i="76"/>
  <c r="K29" i="76"/>
  <c r="G29" i="76"/>
  <c r="AB28" i="76"/>
  <c r="X28" i="76"/>
  <c r="W28" i="76"/>
  <c r="V28" i="76"/>
  <c r="U28" i="76"/>
  <c r="O28" i="76"/>
  <c r="M28" i="76"/>
  <c r="AA28" i="76" s="1"/>
  <c r="K28" i="76"/>
  <c r="G28" i="76"/>
  <c r="V27" i="76"/>
  <c r="U27" i="76"/>
  <c r="O27" i="76"/>
  <c r="M27" i="76"/>
  <c r="N27" i="76" s="1"/>
  <c r="K27" i="76"/>
  <c r="G27" i="76"/>
  <c r="AB26" i="76"/>
  <c r="V26" i="76"/>
  <c r="U26" i="76"/>
  <c r="O26" i="76"/>
  <c r="M26" i="76"/>
  <c r="K26" i="76"/>
  <c r="G26" i="76"/>
  <c r="AB25" i="76"/>
  <c r="AA25" i="76"/>
  <c r="V25" i="76"/>
  <c r="U25" i="76"/>
  <c r="O25" i="76"/>
  <c r="M25" i="76"/>
  <c r="N25" i="76" s="1"/>
  <c r="K25" i="76"/>
  <c r="G25" i="76"/>
  <c r="V24" i="76"/>
  <c r="M24" i="76" s="1"/>
  <c r="N24" i="76" s="1"/>
  <c r="U24" i="76"/>
  <c r="O24" i="76"/>
  <c r="K24" i="76"/>
  <c r="G24" i="76"/>
  <c r="AB23" i="76"/>
  <c r="AA23" i="76"/>
  <c r="X23" i="76"/>
  <c r="W23" i="76"/>
  <c r="V23" i="76"/>
  <c r="O23" i="76"/>
  <c r="M23" i="76"/>
  <c r="N23" i="76" s="1"/>
  <c r="K23" i="76"/>
  <c r="G23" i="76"/>
  <c r="O22" i="76"/>
  <c r="K22" i="76"/>
  <c r="G13" i="75" s="1"/>
  <c r="AA21" i="76"/>
  <c r="V21" i="76"/>
  <c r="M21" i="76" s="1"/>
  <c r="U21" i="76"/>
  <c r="O21" i="76"/>
  <c r="K21" i="76"/>
  <c r="G21" i="76"/>
  <c r="V20" i="76"/>
  <c r="M20" i="76" s="1"/>
  <c r="U20" i="76"/>
  <c r="O20" i="76"/>
  <c r="K20" i="76"/>
  <c r="G20" i="76"/>
  <c r="V19" i="76"/>
  <c r="M19" i="76" s="1"/>
  <c r="U19" i="76"/>
  <c r="O19" i="76"/>
  <c r="N19" i="76"/>
  <c r="Q19" i="76" s="1"/>
  <c r="K19" i="76"/>
  <c r="G19" i="76"/>
  <c r="V18" i="76"/>
  <c r="U18" i="76"/>
  <c r="O18" i="76"/>
  <c r="M18" i="76"/>
  <c r="K18" i="76"/>
  <c r="G18" i="76"/>
  <c r="V17" i="76"/>
  <c r="O17" i="76"/>
  <c r="N17" i="76"/>
  <c r="M17" i="76"/>
  <c r="K17" i="76"/>
  <c r="G17" i="76"/>
  <c r="O16" i="76"/>
  <c r="K16" i="76"/>
  <c r="F13" i="75" s="1"/>
  <c r="AB15" i="76"/>
  <c r="AA15" i="76"/>
  <c r="V15" i="76"/>
  <c r="U15" i="76"/>
  <c r="O15" i="76"/>
  <c r="M15" i="76"/>
  <c r="N15" i="76" s="1"/>
  <c r="K15" i="76"/>
  <c r="G15" i="76"/>
  <c r="V14" i="76"/>
  <c r="M14" i="76" s="1"/>
  <c r="N14" i="76" s="1"/>
  <c r="U14" i="76"/>
  <c r="O14" i="76"/>
  <c r="K14" i="76"/>
  <c r="G14" i="76"/>
  <c r="AB13" i="76"/>
  <c r="AA13" i="76"/>
  <c r="V13" i="76"/>
  <c r="M13" i="76" s="1"/>
  <c r="N13" i="76" s="1"/>
  <c r="U13" i="76"/>
  <c r="O13" i="76"/>
  <c r="K13" i="76"/>
  <c r="G13" i="76"/>
  <c r="V12" i="76"/>
  <c r="M12" i="76" s="1"/>
  <c r="N12" i="76" s="1"/>
  <c r="P12" i="76" s="1"/>
  <c r="U12" i="76"/>
  <c r="Q12" i="76"/>
  <c r="O12" i="76"/>
  <c r="K12" i="76"/>
  <c r="G12" i="76"/>
  <c r="X11" i="76"/>
  <c r="W11" i="76"/>
  <c r="V11" i="76"/>
  <c r="M11" i="76" s="1"/>
  <c r="N11" i="76" s="1"/>
  <c r="O11" i="76"/>
  <c r="K11" i="76"/>
  <c r="G11" i="76"/>
  <c r="O10" i="76"/>
  <c r="K10" i="76"/>
  <c r="V9" i="76"/>
  <c r="M9" i="76" s="1"/>
  <c r="O9" i="76"/>
  <c r="K9" i="76"/>
  <c r="G9" i="76"/>
  <c r="O8" i="76"/>
  <c r="K8" i="76"/>
  <c r="D13" i="75" s="1"/>
  <c r="V7" i="76"/>
  <c r="U7" i="76"/>
  <c r="O7" i="76"/>
  <c r="M7" i="76"/>
  <c r="K7" i="76"/>
  <c r="G7" i="76"/>
  <c r="AB6" i="76"/>
  <c r="V6" i="76"/>
  <c r="U6" i="76"/>
  <c r="O6" i="76"/>
  <c r="M6" i="76"/>
  <c r="K6" i="76"/>
  <c r="G6" i="76"/>
  <c r="V5" i="76"/>
  <c r="O5" i="76"/>
  <c r="M5" i="76"/>
  <c r="AA5" i="76" s="1"/>
  <c r="K5" i="76"/>
  <c r="G5" i="76"/>
  <c r="D1" i="76"/>
  <c r="M18" i="75"/>
  <c r="L18" i="75"/>
  <c r="K18" i="75"/>
  <c r="J18" i="75"/>
  <c r="I18" i="75"/>
  <c r="H18" i="75"/>
  <c r="G18" i="75"/>
  <c r="F18" i="75"/>
  <c r="E18" i="75"/>
  <c r="D18" i="75"/>
  <c r="M17" i="75"/>
  <c r="L17" i="75"/>
  <c r="K17" i="75"/>
  <c r="J17" i="75"/>
  <c r="I17" i="75"/>
  <c r="H17" i="75"/>
  <c r="G17" i="75"/>
  <c r="F17" i="75"/>
  <c r="E17" i="75"/>
  <c r="D17" i="75"/>
  <c r="M16" i="75"/>
  <c r="L16" i="75"/>
  <c r="K16" i="75"/>
  <c r="J16" i="75"/>
  <c r="I16" i="75"/>
  <c r="H16" i="75"/>
  <c r="G16" i="75"/>
  <c r="F16" i="75"/>
  <c r="E16" i="75"/>
  <c r="D16" i="75"/>
  <c r="M13" i="75"/>
  <c r="L13" i="75"/>
  <c r="J13" i="75"/>
  <c r="I13" i="75"/>
  <c r="H13" i="75"/>
  <c r="E13" i="75"/>
  <c r="F3" i="75"/>
  <c r="C3" i="75"/>
  <c r="I6" i="75" l="1"/>
  <c r="P17" i="76"/>
  <c r="P62" i="78"/>
  <c r="Q62" i="78"/>
  <c r="N8" i="78"/>
  <c r="D14" i="77" s="1"/>
  <c r="AB8" i="78"/>
  <c r="AC5" i="78" s="1"/>
  <c r="AA8" i="78"/>
  <c r="Q5" i="78"/>
  <c r="P5" i="78"/>
  <c r="Q22" i="78"/>
  <c r="R17" i="78" s="1"/>
  <c r="P22" i="78"/>
  <c r="G14" i="77"/>
  <c r="G15" i="77" s="1"/>
  <c r="P65" i="78"/>
  <c r="Q65" i="78"/>
  <c r="P39" i="78"/>
  <c r="Q39" i="78"/>
  <c r="Q26" i="78"/>
  <c r="P26" i="78"/>
  <c r="Q64" i="78"/>
  <c r="P64" i="78"/>
  <c r="K15" i="77"/>
  <c r="Q6" i="78"/>
  <c r="P6" i="78"/>
  <c r="Q52" i="78"/>
  <c r="P52" i="78"/>
  <c r="Q13" i="78"/>
  <c r="P13" i="78"/>
  <c r="P37" i="78"/>
  <c r="Q37" i="78"/>
  <c r="Q23" i="78"/>
  <c r="P23" i="78"/>
  <c r="Q69" i="78"/>
  <c r="P69" i="78"/>
  <c r="Q67" i="78"/>
  <c r="P67" i="78"/>
  <c r="AB70" i="78"/>
  <c r="AC62" i="78" s="1"/>
  <c r="AA70" i="78"/>
  <c r="N70" i="78"/>
  <c r="M14" i="77" s="1"/>
  <c r="M15" i="77" s="1"/>
  <c r="Q58" i="78"/>
  <c r="P58" i="78"/>
  <c r="Q56" i="78"/>
  <c r="R50" i="78" s="1"/>
  <c r="P56" i="78"/>
  <c r="I14" i="77"/>
  <c r="I15" i="77" s="1"/>
  <c r="Q55" i="78"/>
  <c r="P55" i="78"/>
  <c r="Q46" i="78"/>
  <c r="P46" i="78"/>
  <c r="Q45" i="78"/>
  <c r="P45" i="78"/>
  <c r="AB49" i="78"/>
  <c r="AC43" i="78" s="1"/>
  <c r="AA49" i="78"/>
  <c r="Q43" i="78"/>
  <c r="P43" i="78"/>
  <c r="N42" i="78"/>
  <c r="AA42" i="78"/>
  <c r="Q32" i="78"/>
  <c r="R23" i="78" s="1"/>
  <c r="P32" i="78"/>
  <c r="Q31" i="78"/>
  <c r="P31" i="78"/>
  <c r="Q18" i="78"/>
  <c r="P18" i="78"/>
  <c r="Q17" i="78"/>
  <c r="P17" i="78"/>
  <c r="N16" i="78"/>
  <c r="AA16" i="78"/>
  <c r="Q8" i="78"/>
  <c r="R5" i="78" s="1"/>
  <c r="P8" i="78"/>
  <c r="P43" i="76"/>
  <c r="Q43" i="76"/>
  <c r="P27" i="76"/>
  <c r="Q27" i="76"/>
  <c r="P53" i="76"/>
  <c r="Q53" i="76"/>
  <c r="Q55" i="76"/>
  <c r="P55" i="76"/>
  <c r="Q32" i="76"/>
  <c r="P32" i="76"/>
  <c r="AB59" i="76"/>
  <c r="N59" i="76"/>
  <c r="Q49" i="76"/>
  <c r="P49" i="76"/>
  <c r="AB7" i="76"/>
  <c r="AA7" i="76"/>
  <c r="Q11" i="76"/>
  <c r="P11" i="76"/>
  <c r="AB12" i="76"/>
  <c r="Q14" i="76"/>
  <c r="P14" i="76"/>
  <c r="M16" i="76"/>
  <c r="P19" i="76"/>
  <c r="N36" i="76"/>
  <c r="AA36" i="76"/>
  <c r="AB36" i="76"/>
  <c r="N58" i="76"/>
  <c r="AA58" i="76"/>
  <c r="AB58" i="76"/>
  <c r="Q17" i="76"/>
  <c r="Q61" i="76"/>
  <c r="P61" i="76"/>
  <c r="AB32" i="76"/>
  <c r="AA32" i="76"/>
  <c r="AB61" i="76"/>
  <c r="AA14" i="76"/>
  <c r="AB18" i="76"/>
  <c r="AA18" i="76"/>
  <c r="Q23" i="76"/>
  <c r="P23" i="76"/>
  <c r="Q24" i="76"/>
  <c r="P24" i="76"/>
  <c r="AA33" i="76"/>
  <c r="AB33" i="76"/>
  <c r="AA48" i="76"/>
  <c r="Q63" i="76"/>
  <c r="P63" i="76"/>
  <c r="AA26" i="76"/>
  <c r="N26" i="76"/>
  <c r="AB29" i="76"/>
  <c r="AA29" i="76"/>
  <c r="Q50" i="76"/>
  <c r="P50" i="76"/>
  <c r="AA63" i="76"/>
  <c r="Q25" i="76"/>
  <c r="P25" i="76"/>
  <c r="N31" i="76"/>
  <c r="M37" i="76"/>
  <c r="AB31" i="76"/>
  <c r="AA31" i="76"/>
  <c r="N51" i="76"/>
  <c r="AB51" i="76"/>
  <c r="AC45" i="76" s="1"/>
  <c r="AA51" i="76"/>
  <c r="N5" i="76"/>
  <c r="AA30" i="76"/>
  <c r="AB30" i="76"/>
  <c r="AC23" i="76" s="1"/>
  <c r="N34" i="76"/>
  <c r="AA34" i="76"/>
  <c r="AB34" i="76"/>
  <c r="Q38" i="76"/>
  <c r="P38" i="76"/>
  <c r="Q39" i="76"/>
  <c r="P39" i="76"/>
  <c r="Q41" i="76"/>
  <c r="P41" i="76"/>
  <c r="AA49" i="76"/>
  <c r="AB53" i="76"/>
  <c r="AA53" i="76"/>
  <c r="AA59" i="76"/>
  <c r="N20" i="76"/>
  <c r="AB20" i="76"/>
  <c r="AA20" i="76"/>
  <c r="P33" i="76"/>
  <c r="AB39" i="76"/>
  <c r="N46" i="76"/>
  <c r="AA46" i="76"/>
  <c r="AB46" i="76"/>
  <c r="M56" i="76"/>
  <c r="AB52" i="76"/>
  <c r="AA52" i="76"/>
  <c r="AB55" i="76"/>
  <c r="AA55" i="76"/>
  <c r="AA61" i="76"/>
  <c r="N52" i="76"/>
  <c r="G6" i="75"/>
  <c r="F6" i="75"/>
  <c r="E6" i="75"/>
  <c r="AA11" i="76"/>
  <c r="AA19" i="76"/>
  <c r="AB19" i="76"/>
  <c r="AB24" i="76"/>
  <c r="N29" i="76"/>
  <c r="N35" i="76"/>
  <c r="AA35" i="76"/>
  <c r="AB35" i="76"/>
  <c r="Q40" i="76"/>
  <c r="P40" i="76"/>
  <c r="N45" i="76"/>
  <c r="AA45" i="76"/>
  <c r="AB45" i="76"/>
  <c r="AA50" i="76"/>
  <c r="AB54" i="76"/>
  <c r="AA54" i="76"/>
  <c r="M64" i="76"/>
  <c r="AA57" i="76"/>
  <c r="AB57" i="76"/>
  <c r="N57" i="76"/>
  <c r="AA60" i="76"/>
  <c r="AB63" i="76"/>
  <c r="AB27" i="76"/>
  <c r="AA27" i="76"/>
  <c r="N30" i="76"/>
  <c r="AA39" i="76"/>
  <c r="AB49" i="76"/>
  <c r="AB5" i="76"/>
  <c r="N7" i="76"/>
  <c r="AA12" i="76"/>
  <c r="AB43" i="76"/>
  <c r="AA43" i="76"/>
  <c r="N9" i="76"/>
  <c r="AA9" i="76"/>
  <c r="AB9" i="76"/>
  <c r="M10" i="76"/>
  <c r="AB14" i="76"/>
  <c r="N18" i="76"/>
  <c r="AA24" i="76"/>
  <c r="AB48" i="76"/>
  <c r="AA6" i="76"/>
  <c r="N6" i="76"/>
  <c r="M8" i="76"/>
  <c r="AB11" i="76"/>
  <c r="AA40" i="76"/>
  <c r="AA42" i="76"/>
  <c r="N42" i="76"/>
  <c r="AB50" i="76"/>
  <c r="N54" i="76"/>
  <c r="AB60" i="76"/>
  <c r="Q62" i="76"/>
  <c r="P62" i="76"/>
  <c r="F1" i="76"/>
  <c r="Q13" i="76"/>
  <c r="P13" i="76"/>
  <c r="Q15" i="76"/>
  <c r="P15" i="76"/>
  <c r="AB17" i="76"/>
  <c r="M22" i="76"/>
  <c r="AA17" i="76"/>
  <c r="AB21" i="76"/>
  <c r="N21" i="76"/>
  <c r="N28" i="76"/>
  <c r="AB40" i="76"/>
  <c r="M44" i="76"/>
  <c r="AB47" i="76"/>
  <c r="N47" i="76"/>
  <c r="Q42" i="78" l="1"/>
  <c r="R33" i="78" s="1"/>
  <c r="L14" i="77"/>
  <c r="P42" i="78"/>
  <c r="F14" i="77"/>
  <c r="F15" i="77" s="1"/>
  <c r="Q16" i="78"/>
  <c r="R11" i="78" s="1"/>
  <c r="P16" i="78"/>
  <c r="D2" i="78"/>
  <c r="D15" i="77"/>
  <c r="Q70" i="78"/>
  <c r="R62" i="78" s="1"/>
  <c r="P70" i="78"/>
  <c r="P36" i="76"/>
  <c r="Q36" i="76"/>
  <c r="N37" i="76"/>
  <c r="AB37" i="76"/>
  <c r="AC31" i="76" s="1"/>
  <c r="AA37" i="76"/>
  <c r="P57" i="76"/>
  <c r="Q57" i="76"/>
  <c r="Q31" i="76"/>
  <c r="P31" i="76"/>
  <c r="Q26" i="76"/>
  <c r="P26" i="76"/>
  <c r="N22" i="76"/>
  <c r="AA22" i="76"/>
  <c r="AB22" i="76"/>
  <c r="AC17" i="76" s="1"/>
  <c r="P9" i="76"/>
  <c r="Q9" i="76"/>
  <c r="Q52" i="76"/>
  <c r="P52" i="76"/>
  <c r="AB16" i="76"/>
  <c r="AC11" i="76" s="1"/>
  <c r="AA16" i="76"/>
  <c r="N16" i="76"/>
  <c r="P47" i="76"/>
  <c r="Q47" i="76"/>
  <c r="AA8" i="76"/>
  <c r="AB8" i="76"/>
  <c r="AC5" i="76" s="1"/>
  <c r="N8" i="76"/>
  <c r="Q20" i="76"/>
  <c r="P20" i="76"/>
  <c r="N10" i="76"/>
  <c r="AB10" i="76"/>
  <c r="AC9" i="76" s="1"/>
  <c r="AA10" i="76"/>
  <c r="Q45" i="76"/>
  <c r="P45" i="76"/>
  <c r="AA44" i="76"/>
  <c r="AB44" i="76"/>
  <c r="AC38" i="76" s="1"/>
  <c r="N44" i="76"/>
  <c r="I14" i="75"/>
  <c r="I15" i="75" s="1"/>
  <c r="Q51" i="76"/>
  <c r="R45" i="76" s="1"/>
  <c r="P51" i="76"/>
  <c r="Q6" i="76"/>
  <c r="P6" i="76"/>
  <c r="Q35" i="76"/>
  <c r="P35" i="76"/>
  <c r="AB64" i="76"/>
  <c r="AC57" i="76" s="1"/>
  <c r="AA64" i="76"/>
  <c r="N64" i="76"/>
  <c r="P28" i="76"/>
  <c r="Q28" i="76"/>
  <c r="Q5" i="76"/>
  <c r="P5" i="76"/>
  <c r="P21" i="76"/>
  <c r="Q21" i="76"/>
  <c r="Q18" i="76"/>
  <c r="P18" i="76"/>
  <c r="P58" i="76"/>
  <c r="Q58" i="76"/>
  <c r="Q46" i="76"/>
  <c r="P46" i="76"/>
  <c r="Q42" i="76"/>
  <c r="P42" i="76"/>
  <c r="Q59" i="76"/>
  <c r="P59" i="76"/>
  <c r="P34" i="76"/>
  <c r="Q34" i="76"/>
  <c r="I3" i="75"/>
  <c r="F2" i="76"/>
  <c r="P7" i="76"/>
  <c r="Q7" i="76"/>
  <c r="P29" i="76"/>
  <c r="Q29" i="76"/>
  <c r="AB56" i="76"/>
  <c r="AC52" i="76" s="1"/>
  <c r="N56" i="76"/>
  <c r="AA56" i="76"/>
  <c r="Q54" i="76"/>
  <c r="P54" i="76"/>
  <c r="Q30" i="76"/>
  <c r="R23" i="76" s="1"/>
  <c r="P30" i="76"/>
  <c r="K14" i="75"/>
  <c r="L15" i="77" l="1"/>
  <c r="I8" i="77" s="1"/>
  <c r="I7" i="77"/>
  <c r="F7" i="77"/>
  <c r="G8" i="77"/>
  <c r="F8" i="77"/>
  <c r="E8" i="77"/>
  <c r="G7" i="77"/>
  <c r="E7" i="77"/>
  <c r="D2" i="76"/>
  <c r="D14" i="75"/>
  <c r="Q8" i="76"/>
  <c r="R5" i="76" s="1"/>
  <c r="P8" i="76"/>
  <c r="Q44" i="76"/>
  <c r="R38" i="76" s="1"/>
  <c r="H14" i="75"/>
  <c r="H15" i="75" s="1"/>
  <c r="P44" i="76"/>
  <c r="Q22" i="76"/>
  <c r="R17" i="76" s="1"/>
  <c r="G14" i="75"/>
  <c r="G15" i="75" s="1"/>
  <c r="P22" i="76"/>
  <c r="Q64" i="76"/>
  <c r="R57" i="76" s="1"/>
  <c r="P64" i="76"/>
  <c r="M14" i="75"/>
  <c r="M15" i="75" s="1"/>
  <c r="J14" i="75"/>
  <c r="J15" i="75" s="1"/>
  <c r="Q56" i="76"/>
  <c r="R52" i="76" s="1"/>
  <c r="P56" i="76"/>
  <c r="F14" i="75"/>
  <c r="F15" i="75" s="1"/>
  <c r="P16" i="76"/>
  <c r="Q16" i="76"/>
  <c r="R11" i="76" s="1"/>
  <c r="K15" i="75"/>
  <c r="E14" i="75"/>
  <c r="E15" i="75" s="1"/>
  <c r="P10" i="76"/>
  <c r="Q10" i="76"/>
  <c r="R9" i="76" s="1"/>
  <c r="P37" i="76"/>
  <c r="Q37" i="76"/>
  <c r="R31" i="76" s="1"/>
  <c r="L14" i="75"/>
  <c r="L15" i="75" s="1"/>
  <c r="I7" i="75" l="1"/>
  <c r="I8" i="75"/>
  <c r="D15" i="75"/>
  <c r="E7" i="75"/>
  <c r="F7" i="75"/>
  <c r="G7" i="75"/>
  <c r="G8" i="75" l="1"/>
  <c r="F8" i="75"/>
  <c r="E8" i="75"/>
  <c r="O71" i="74" l="1"/>
  <c r="K71" i="74"/>
  <c r="V70" i="74"/>
  <c r="M70" i="74" s="1"/>
  <c r="U70" i="74"/>
  <c r="O70" i="74"/>
  <c r="K70" i="74"/>
  <c r="G70" i="74"/>
  <c r="AB69" i="74"/>
  <c r="AA69" i="74"/>
  <c r="V69" i="74"/>
  <c r="U69" i="74"/>
  <c r="O69" i="74"/>
  <c r="M69" i="74"/>
  <c r="N69" i="74" s="1"/>
  <c r="K69" i="74"/>
  <c r="G69" i="74"/>
  <c r="AB68" i="74"/>
  <c r="AA68" i="74"/>
  <c r="V68" i="74"/>
  <c r="U68" i="74"/>
  <c r="O68" i="74"/>
  <c r="M68" i="74"/>
  <c r="N68" i="74" s="1"/>
  <c r="K68" i="74"/>
  <c r="G68" i="74"/>
  <c r="AB67" i="74"/>
  <c r="AA67" i="74"/>
  <c r="X67" i="74"/>
  <c r="W67" i="74"/>
  <c r="V67" i="74"/>
  <c r="U67" i="74"/>
  <c r="O67" i="74"/>
  <c r="M67" i="74"/>
  <c r="N67" i="74" s="1"/>
  <c r="K67" i="74"/>
  <c r="G67" i="74"/>
  <c r="AB66" i="74"/>
  <c r="AA66" i="74"/>
  <c r="V66" i="74"/>
  <c r="U66" i="74"/>
  <c r="O66" i="74"/>
  <c r="M66" i="74"/>
  <c r="N66" i="74" s="1"/>
  <c r="K66" i="74"/>
  <c r="G66" i="74"/>
  <c r="AB65" i="74"/>
  <c r="AA65" i="74"/>
  <c r="V65" i="74"/>
  <c r="U65" i="74"/>
  <c r="O65" i="74"/>
  <c r="M65" i="74"/>
  <c r="N65" i="74" s="1"/>
  <c r="K65" i="74"/>
  <c r="G65" i="74"/>
  <c r="AB64" i="74"/>
  <c r="AA64" i="74"/>
  <c r="V64" i="74"/>
  <c r="U64" i="74"/>
  <c r="O64" i="74"/>
  <c r="N64" i="74"/>
  <c r="Q64" i="74" s="1"/>
  <c r="M64" i="74"/>
  <c r="K64" i="74"/>
  <c r="G64" i="74"/>
  <c r="V63" i="74"/>
  <c r="U63" i="74"/>
  <c r="O63" i="74"/>
  <c r="M63" i="74"/>
  <c r="K63" i="74"/>
  <c r="G63" i="74"/>
  <c r="AB62" i="74"/>
  <c r="AA62" i="74"/>
  <c r="X62" i="74"/>
  <c r="W62" i="74"/>
  <c r="V62" i="74"/>
  <c r="O62" i="74"/>
  <c r="M62" i="74"/>
  <c r="N62" i="74" s="1"/>
  <c r="K62" i="74"/>
  <c r="G62" i="74"/>
  <c r="O61" i="74"/>
  <c r="N61" i="74"/>
  <c r="Q61" i="74" s="1"/>
  <c r="R57" i="74" s="1"/>
  <c r="M61" i="74"/>
  <c r="AB61" i="74" s="1"/>
  <c r="AC57" i="74" s="1"/>
  <c r="K61" i="74"/>
  <c r="J13" i="73" s="1"/>
  <c r="AB60" i="74"/>
  <c r="AA60" i="74"/>
  <c r="V60" i="74"/>
  <c r="U60" i="74"/>
  <c r="P60" i="74"/>
  <c r="O60" i="74"/>
  <c r="N60" i="74"/>
  <c r="Q60" i="74" s="1"/>
  <c r="M60" i="74"/>
  <c r="K60" i="74"/>
  <c r="G60" i="74"/>
  <c r="AB59" i="74"/>
  <c r="AA59" i="74"/>
  <c r="V59" i="74"/>
  <c r="U59" i="74"/>
  <c r="Q59" i="74"/>
  <c r="P59" i="74"/>
  <c r="O59" i="74"/>
  <c r="N59" i="74"/>
  <c r="M59" i="74"/>
  <c r="K59" i="74"/>
  <c r="G59" i="74"/>
  <c r="AB58" i="74"/>
  <c r="AA58" i="74"/>
  <c r="V58" i="74"/>
  <c r="U58" i="74"/>
  <c r="O58" i="74"/>
  <c r="N58" i="74"/>
  <c r="Q58" i="74" s="1"/>
  <c r="M58" i="74"/>
  <c r="K58" i="74"/>
  <c r="G58" i="74"/>
  <c r="AB57" i="74"/>
  <c r="AA57" i="74"/>
  <c r="X57" i="74"/>
  <c r="W57" i="74"/>
  <c r="V57" i="74"/>
  <c r="P57" i="74"/>
  <c r="O57" i="74"/>
  <c r="N57" i="74"/>
  <c r="Q57" i="74" s="1"/>
  <c r="M57" i="74"/>
  <c r="K57" i="74"/>
  <c r="G57" i="74"/>
  <c r="O56" i="74"/>
  <c r="K56" i="74"/>
  <c r="AB55" i="74"/>
  <c r="AA55" i="74"/>
  <c r="V55" i="74"/>
  <c r="U55" i="74"/>
  <c r="O55" i="74"/>
  <c r="M55" i="74"/>
  <c r="N55" i="74" s="1"/>
  <c r="K55" i="74"/>
  <c r="G55" i="74"/>
  <c r="AB54" i="74"/>
  <c r="AA54" i="74"/>
  <c r="V54" i="74"/>
  <c r="U54" i="74"/>
  <c r="O54" i="74"/>
  <c r="M54" i="74"/>
  <c r="N54" i="74" s="1"/>
  <c r="K54" i="74"/>
  <c r="G54" i="74"/>
  <c r="AB53" i="74"/>
  <c r="AA53" i="74"/>
  <c r="V53" i="74"/>
  <c r="U53" i="74"/>
  <c r="O53" i="74"/>
  <c r="M53" i="74"/>
  <c r="N53" i="74" s="1"/>
  <c r="K53" i="74"/>
  <c r="G53" i="74"/>
  <c r="AB52" i="74"/>
  <c r="AA52" i="74"/>
  <c r="V52" i="74"/>
  <c r="U52" i="74"/>
  <c r="O52" i="74"/>
  <c r="N52" i="74"/>
  <c r="Q52" i="74" s="1"/>
  <c r="M52" i="74"/>
  <c r="K52" i="74"/>
  <c r="G52" i="74"/>
  <c r="V51" i="74"/>
  <c r="U51" i="74"/>
  <c r="O51" i="74"/>
  <c r="M51" i="74"/>
  <c r="AB51" i="74" s="1"/>
  <c r="K51" i="74"/>
  <c r="G51" i="74"/>
  <c r="V50" i="74"/>
  <c r="O50" i="74"/>
  <c r="M50" i="74"/>
  <c r="AB50" i="74" s="1"/>
  <c r="K50" i="74"/>
  <c r="G50" i="74"/>
  <c r="O49" i="74"/>
  <c r="K49" i="74"/>
  <c r="AB48" i="74"/>
  <c r="AA48" i="74"/>
  <c r="V48" i="74"/>
  <c r="U48" i="74"/>
  <c r="O48" i="74"/>
  <c r="N48" i="74"/>
  <c r="Q48" i="74" s="1"/>
  <c r="M48" i="74"/>
  <c r="K48" i="74"/>
  <c r="G48" i="74"/>
  <c r="V47" i="74"/>
  <c r="M47" i="74" s="1"/>
  <c r="U47" i="74"/>
  <c r="O47" i="74"/>
  <c r="K47" i="74"/>
  <c r="G47" i="74"/>
  <c r="V46" i="74"/>
  <c r="M46" i="74" s="1"/>
  <c r="U46" i="74"/>
  <c r="O46" i="74"/>
  <c r="K46" i="74"/>
  <c r="G46" i="74"/>
  <c r="V45" i="74"/>
  <c r="M45" i="74" s="1"/>
  <c r="U45" i="74"/>
  <c r="O45" i="74"/>
  <c r="K45" i="74"/>
  <c r="G45" i="74"/>
  <c r="AB44" i="74"/>
  <c r="AA44" i="74"/>
  <c r="V44" i="74"/>
  <c r="U44" i="74"/>
  <c r="O44" i="74"/>
  <c r="M44" i="74"/>
  <c r="N44" i="74" s="1"/>
  <c r="K44" i="74"/>
  <c r="G44" i="74"/>
  <c r="X43" i="74"/>
  <c r="W43" i="74"/>
  <c r="V43" i="74"/>
  <c r="M43" i="74" s="1"/>
  <c r="O43" i="74"/>
  <c r="K43" i="74"/>
  <c r="G43" i="74"/>
  <c r="O42" i="74"/>
  <c r="K42" i="74"/>
  <c r="V41" i="74"/>
  <c r="U41" i="74"/>
  <c r="O41" i="74"/>
  <c r="M41" i="74"/>
  <c r="AB41" i="74" s="1"/>
  <c r="K41" i="74"/>
  <c r="G41" i="74"/>
  <c r="V40" i="74"/>
  <c r="U40" i="74"/>
  <c r="O40" i="74"/>
  <c r="N40" i="74"/>
  <c r="Q40" i="74" s="1"/>
  <c r="M40" i="74"/>
  <c r="AB40" i="74" s="1"/>
  <c r="K40" i="74"/>
  <c r="G40" i="74"/>
  <c r="V39" i="74"/>
  <c r="U39" i="74"/>
  <c r="O39" i="74"/>
  <c r="M39" i="74"/>
  <c r="AB39" i="74" s="1"/>
  <c r="K39" i="74"/>
  <c r="G39" i="74"/>
  <c r="X38" i="74"/>
  <c r="W38" i="74"/>
  <c r="V38" i="74"/>
  <c r="U38" i="74"/>
  <c r="O38" i="74"/>
  <c r="N38" i="74"/>
  <c r="Q38" i="74" s="1"/>
  <c r="M38" i="74"/>
  <c r="AB38" i="74" s="1"/>
  <c r="K38" i="74"/>
  <c r="G38" i="74"/>
  <c r="V37" i="74"/>
  <c r="U37" i="74"/>
  <c r="O37" i="74"/>
  <c r="M37" i="74"/>
  <c r="AB37" i="74" s="1"/>
  <c r="K37" i="74"/>
  <c r="G37" i="74"/>
  <c r="AB36" i="74"/>
  <c r="AA36" i="74"/>
  <c r="V36" i="74"/>
  <c r="U36" i="74"/>
  <c r="O36" i="74"/>
  <c r="N36" i="74"/>
  <c r="Q36" i="74" s="1"/>
  <c r="M36" i="74"/>
  <c r="K36" i="74"/>
  <c r="P36" i="74" s="1"/>
  <c r="G36" i="74"/>
  <c r="AB35" i="74"/>
  <c r="AA35" i="74"/>
  <c r="V35" i="74"/>
  <c r="U35" i="74"/>
  <c r="Q35" i="74"/>
  <c r="P35" i="74"/>
  <c r="O35" i="74"/>
  <c r="N35" i="74"/>
  <c r="M35" i="74"/>
  <c r="K35" i="74"/>
  <c r="G35" i="74"/>
  <c r="AB34" i="74"/>
  <c r="X34" i="74"/>
  <c r="W34" i="74"/>
  <c r="V34" i="74"/>
  <c r="O34" i="74"/>
  <c r="M34" i="74"/>
  <c r="AA34" i="74" s="1"/>
  <c r="K34" i="74"/>
  <c r="G34" i="74"/>
  <c r="O33" i="74"/>
  <c r="K33" i="74"/>
  <c r="V32" i="74"/>
  <c r="M32" i="74" s="1"/>
  <c r="U32" i="74"/>
  <c r="O32" i="74"/>
  <c r="K32" i="74"/>
  <c r="G32" i="74"/>
  <c r="V31" i="74"/>
  <c r="M31" i="74" s="1"/>
  <c r="U31" i="74"/>
  <c r="O31" i="74"/>
  <c r="K31" i="74"/>
  <c r="G31" i="74"/>
  <c r="AB30" i="74"/>
  <c r="AA30" i="74"/>
  <c r="V30" i="74"/>
  <c r="U30" i="74"/>
  <c r="Q30" i="74"/>
  <c r="P30" i="74"/>
  <c r="O30" i="74"/>
  <c r="N30" i="74"/>
  <c r="M30" i="74"/>
  <c r="K30" i="74"/>
  <c r="G30" i="74"/>
  <c r="AB29" i="74"/>
  <c r="AA29" i="74"/>
  <c r="V29" i="74"/>
  <c r="U29" i="74"/>
  <c r="O29" i="74"/>
  <c r="M29" i="74"/>
  <c r="N29" i="74" s="1"/>
  <c r="K29" i="74"/>
  <c r="G29" i="74"/>
  <c r="AB28" i="74"/>
  <c r="AA28" i="74"/>
  <c r="X28" i="74"/>
  <c r="W28" i="74"/>
  <c r="V28" i="74"/>
  <c r="U28" i="74"/>
  <c r="Q28" i="74"/>
  <c r="P28" i="74"/>
  <c r="O28" i="74"/>
  <c r="N28" i="74"/>
  <c r="M28" i="74"/>
  <c r="K28" i="74"/>
  <c r="G28" i="74"/>
  <c r="AB27" i="74"/>
  <c r="AA27" i="74"/>
  <c r="V27" i="74"/>
  <c r="U27" i="74"/>
  <c r="O27" i="74"/>
  <c r="M27" i="74"/>
  <c r="N27" i="74" s="1"/>
  <c r="K27" i="74"/>
  <c r="G27" i="74"/>
  <c r="AB26" i="74"/>
  <c r="AA26" i="74"/>
  <c r="V26" i="74"/>
  <c r="U26" i="74"/>
  <c r="O26" i="74"/>
  <c r="N26" i="74"/>
  <c r="Q26" i="74" s="1"/>
  <c r="M26" i="74"/>
  <c r="K26" i="74"/>
  <c r="G26" i="74"/>
  <c r="V25" i="74"/>
  <c r="U25" i="74"/>
  <c r="O25" i="74"/>
  <c r="M25" i="74"/>
  <c r="K25" i="74"/>
  <c r="G25" i="74"/>
  <c r="V24" i="74"/>
  <c r="U24" i="74"/>
  <c r="O24" i="74"/>
  <c r="N24" i="74"/>
  <c r="Q24" i="74" s="1"/>
  <c r="M24" i="74"/>
  <c r="AB24" i="74" s="1"/>
  <c r="K24" i="74"/>
  <c r="G24" i="74"/>
  <c r="AA23" i="74"/>
  <c r="X23" i="74"/>
  <c r="W23" i="74"/>
  <c r="V23" i="74"/>
  <c r="O23" i="74"/>
  <c r="N23" i="74"/>
  <c r="Q23" i="74" s="1"/>
  <c r="M23" i="74"/>
  <c r="AB23" i="74" s="1"/>
  <c r="K23" i="74"/>
  <c r="G23" i="74"/>
  <c r="O22" i="74"/>
  <c r="K22" i="74"/>
  <c r="AB21" i="74"/>
  <c r="AA21" i="74"/>
  <c r="V21" i="74"/>
  <c r="U21" i="74"/>
  <c r="Q21" i="74"/>
  <c r="P21" i="74"/>
  <c r="O21" i="74"/>
  <c r="N21" i="74"/>
  <c r="M21" i="74"/>
  <c r="K21" i="74"/>
  <c r="G21" i="74"/>
  <c r="AB20" i="74"/>
  <c r="AA20" i="74"/>
  <c r="V20" i="74"/>
  <c r="U20" i="74"/>
  <c r="O20" i="74"/>
  <c r="N20" i="74"/>
  <c r="Q20" i="74" s="1"/>
  <c r="M20" i="74"/>
  <c r="K20" i="74"/>
  <c r="G20" i="74"/>
  <c r="V19" i="74"/>
  <c r="M19" i="74" s="1"/>
  <c r="U19" i="74"/>
  <c r="O19" i="74"/>
  <c r="K19" i="74"/>
  <c r="G19" i="74"/>
  <c r="V18" i="74"/>
  <c r="M18" i="74" s="1"/>
  <c r="U18" i="74"/>
  <c r="O18" i="74"/>
  <c r="K18" i="74"/>
  <c r="G18" i="74"/>
  <c r="V17" i="74"/>
  <c r="M17" i="74" s="1"/>
  <c r="O17" i="74"/>
  <c r="K17" i="74"/>
  <c r="G17" i="74"/>
  <c r="O16" i="74"/>
  <c r="K16" i="74"/>
  <c r="V15" i="74"/>
  <c r="U15" i="74"/>
  <c r="O15" i="74"/>
  <c r="M15" i="74"/>
  <c r="AB15" i="74" s="1"/>
  <c r="K15" i="74"/>
  <c r="G15" i="74"/>
  <c r="V14" i="74"/>
  <c r="U14" i="74"/>
  <c r="O14" i="74"/>
  <c r="N14" i="74"/>
  <c r="Q14" i="74" s="1"/>
  <c r="M14" i="74"/>
  <c r="AB14" i="74" s="1"/>
  <c r="K14" i="74"/>
  <c r="G14" i="74"/>
  <c r="V13" i="74"/>
  <c r="U13" i="74"/>
  <c r="O13" i="74"/>
  <c r="M13" i="74"/>
  <c r="AB13" i="74" s="1"/>
  <c r="K13" i="74"/>
  <c r="G13" i="74"/>
  <c r="AB12" i="74"/>
  <c r="AA12" i="74"/>
  <c r="V12" i="74"/>
  <c r="U12" i="74"/>
  <c r="O12" i="74"/>
  <c r="N12" i="74"/>
  <c r="Q12" i="74" s="1"/>
  <c r="M12" i="74"/>
  <c r="K12" i="74"/>
  <c r="P12" i="74" s="1"/>
  <c r="G12" i="74"/>
  <c r="F1" i="74" s="1"/>
  <c r="X11" i="74"/>
  <c r="W11" i="74"/>
  <c r="V11" i="74"/>
  <c r="O11" i="74"/>
  <c r="N11" i="74"/>
  <c r="Q11" i="74" s="1"/>
  <c r="M11" i="74"/>
  <c r="AB11" i="74" s="1"/>
  <c r="K11" i="74"/>
  <c r="G11" i="74"/>
  <c r="O10" i="74"/>
  <c r="N10" i="74"/>
  <c r="Q10" i="74" s="1"/>
  <c r="R9" i="74" s="1"/>
  <c r="M10" i="74"/>
  <c r="AB10" i="74" s="1"/>
  <c r="AC9" i="74" s="1"/>
  <c r="K10" i="74"/>
  <c r="AB9" i="74"/>
  <c r="AA9" i="74"/>
  <c r="V9" i="74"/>
  <c r="O9" i="74"/>
  <c r="N9" i="74"/>
  <c r="Q9" i="74" s="1"/>
  <c r="M9" i="74"/>
  <c r="K9" i="74"/>
  <c r="G9" i="74"/>
  <c r="AB8" i="74"/>
  <c r="AC5" i="74" s="1"/>
  <c r="AA8" i="74"/>
  <c r="O8" i="74"/>
  <c r="M8" i="74"/>
  <c r="N8" i="74" s="1"/>
  <c r="K8" i="74"/>
  <c r="AB7" i="74"/>
  <c r="AA7" i="74"/>
  <c r="V7" i="74"/>
  <c r="U7" i="74"/>
  <c r="Q7" i="74"/>
  <c r="P7" i="74"/>
  <c r="O7" i="74"/>
  <c r="N7" i="74"/>
  <c r="M7" i="74"/>
  <c r="K7" i="74"/>
  <c r="G7" i="74"/>
  <c r="AA6" i="74"/>
  <c r="V6" i="74"/>
  <c r="U6" i="74"/>
  <c r="O6" i="74"/>
  <c r="N6" i="74"/>
  <c r="Q6" i="74" s="1"/>
  <c r="M6" i="74"/>
  <c r="AB6" i="74" s="1"/>
  <c r="K6" i="74"/>
  <c r="G6" i="74"/>
  <c r="AA5" i="74"/>
  <c r="V5" i="74"/>
  <c r="O5" i="74"/>
  <c r="N5" i="74"/>
  <c r="Q5" i="74" s="1"/>
  <c r="M5" i="74"/>
  <c r="AB5" i="74" s="1"/>
  <c r="K5" i="74"/>
  <c r="G5" i="74"/>
  <c r="D1" i="74"/>
  <c r="M18" i="73"/>
  <c r="L18" i="73"/>
  <c r="K18" i="73"/>
  <c r="J18" i="73"/>
  <c r="I18" i="73"/>
  <c r="H18" i="73"/>
  <c r="G18" i="73"/>
  <c r="F18" i="73"/>
  <c r="E18" i="73"/>
  <c r="D18" i="73"/>
  <c r="M17" i="73"/>
  <c r="L17" i="73"/>
  <c r="K17" i="73"/>
  <c r="J17" i="73"/>
  <c r="I17" i="73"/>
  <c r="H17" i="73"/>
  <c r="G17" i="73"/>
  <c r="F17" i="73"/>
  <c r="E17" i="73"/>
  <c r="D17" i="73"/>
  <c r="M16" i="73"/>
  <c r="L16" i="73"/>
  <c r="K16" i="73"/>
  <c r="J16" i="73"/>
  <c r="I16" i="73"/>
  <c r="H16" i="73"/>
  <c r="G16" i="73"/>
  <c r="F16" i="73"/>
  <c r="E16" i="73"/>
  <c r="D16" i="73"/>
  <c r="E14" i="73"/>
  <c r="M13" i="73"/>
  <c r="L13" i="73"/>
  <c r="K13" i="73"/>
  <c r="I6" i="73" s="1"/>
  <c r="I13" i="73"/>
  <c r="H13" i="73"/>
  <c r="G13" i="73"/>
  <c r="F13" i="73"/>
  <c r="E13" i="73"/>
  <c r="D13" i="73"/>
  <c r="F3" i="73"/>
  <c r="C3" i="73"/>
  <c r="E15" i="73" l="1"/>
  <c r="N17" i="74"/>
  <c r="AB17" i="74"/>
  <c r="AA17" i="74"/>
  <c r="M22" i="74"/>
  <c r="Q65" i="74"/>
  <c r="P65" i="74"/>
  <c r="Q62" i="74"/>
  <c r="P62" i="74"/>
  <c r="AB43" i="74"/>
  <c r="N43" i="74"/>
  <c r="AA43" i="74"/>
  <c r="M49" i="74"/>
  <c r="P68" i="74"/>
  <c r="Q68" i="74"/>
  <c r="N47" i="74"/>
  <c r="AB47" i="74"/>
  <c r="AA47" i="74"/>
  <c r="N18" i="74"/>
  <c r="AB18" i="74"/>
  <c r="AA18" i="74"/>
  <c r="P67" i="74"/>
  <c r="Q67" i="74"/>
  <c r="Q27" i="74"/>
  <c r="P27" i="74"/>
  <c r="N45" i="74"/>
  <c r="AB45" i="74"/>
  <c r="AA45" i="74"/>
  <c r="P55" i="74"/>
  <c r="Q55" i="74"/>
  <c r="F2" i="74"/>
  <c r="I3" i="73"/>
  <c r="Q29" i="74"/>
  <c r="P29" i="74"/>
  <c r="N32" i="74"/>
  <c r="AB32" i="74"/>
  <c r="AA32" i="74"/>
  <c r="G6" i="73"/>
  <c r="Q44" i="74"/>
  <c r="P44" i="74"/>
  <c r="N31" i="74"/>
  <c r="AB31" i="74"/>
  <c r="AA31" i="74"/>
  <c r="Q53" i="74"/>
  <c r="P53" i="74"/>
  <c r="P8" i="74"/>
  <c r="D14" i="73"/>
  <c r="Q8" i="74"/>
  <c r="R5" i="74" s="1"/>
  <c r="M33" i="74"/>
  <c r="P66" i="74"/>
  <c r="Q66" i="74"/>
  <c r="N70" i="74"/>
  <c r="AB70" i="74"/>
  <c r="AA70" i="74"/>
  <c r="N19" i="74"/>
  <c r="AB19" i="74"/>
  <c r="AA19" i="74"/>
  <c r="Q54" i="74"/>
  <c r="P54" i="74"/>
  <c r="M71" i="74"/>
  <c r="N46" i="74"/>
  <c r="AB46" i="74"/>
  <c r="AA46" i="74"/>
  <c r="P69" i="74"/>
  <c r="Q69" i="74"/>
  <c r="N15" i="74"/>
  <c r="N25" i="74"/>
  <c r="N41" i="74"/>
  <c r="N50" i="74"/>
  <c r="N51" i="74"/>
  <c r="N63" i="74"/>
  <c r="P6" i="74"/>
  <c r="P23" i="74"/>
  <c r="P26" i="74"/>
  <c r="P52" i="74"/>
  <c r="P64" i="74"/>
  <c r="P5" i="74"/>
  <c r="E6" i="73"/>
  <c r="N13" i="74"/>
  <c r="N34" i="74"/>
  <c r="N37" i="74"/>
  <c r="N39" i="74"/>
  <c r="F6" i="73"/>
  <c r="P11" i="74"/>
  <c r="P14" i="74"/>
  <c r="P24" i="74"/>
  <c r="P38" i="74"/>
  <c r="P40" i="74"/>
  <c r="P61" i="74"/>
  <c r="M56" i="74"/>
  <c r="AA61" i="74"/>
  <c r="J14" i="73"/>
  <c r="J15" i="73" s="1"/>
  <c r="P10" i="74"/>
  <c r="AA15" i="74"/>
  <c r="AA25" i="74"/>
  <c r="AA41" i="74"/>
  <c r="AA50" i="74"/>
  <c r="AA51" i="74"/>
  <c r="AA63" i="74"/>
  <c r="P9" i="74"/>
  <c r="AA14" i="74"/>
  <c r="P20" i="74"/>
  <c r="AA24" i="74"/>
  <c r="AB25" i="74"/>
  <c r="AA40" i="74"/>
  <c r="P48" i="74"/>
  <c r="P58" i="74"/>
  <c r="AB63" i="74"/>
  <c r="AA10" i="74"/>
  <c r="AA13" i="74"/>
  <c r="AA37" i="74"/>
  <c r="AA39" i="74"/>
  <c r="AA11" i="74"/>
  <c r="M16" i="74"/>
  <c r="AA38" i="74"/>
  <c r="M42" i="74"/>
  <c r="O64" i="72"/>
  <c r="K64" i="72"/>
  <c r="V63" i="72"/>
  <c r="M63" i="72" s="1"/>
  <c r="U63" i="72"/>
  <c r="O63" i="72"/>
  <c r="K63" i="72"/>
  <c r="G63" i="72"/>
  <c r="X62" i="72"/>
  <c r="W62" i="72"/>
  <c r="V62" i="72"/>
  <c r="M62" i="72" s="1"/>
  <c r="U62" i="72"/>
  <c r="O62" i="72"/>
  <c r="K62" i="72"/>
  <c r="G62" i="72"/>
  <c r="V61" i="72"/>
  <c r="M61" i="72" s="1"/>
  <c r="U61" i="72"/>
  <c r="O61" i="72"/>
  <c r="K61" i="72"/>
  <c r="G61" i="72"/>
  <c r="V60" i="72"/>
  <c r="M60" i="72" s="1"/>
  <c r="U60" i="72"/>
  <c r="O60" i="72"/>
  <c r="K60" i="72"/>
  <c r="G60" i="72"/>
  <c r="V59" i="72"/>
  <c r="M59" i="72" s="1"/>
  <c r="U59" i="72"/>
  <c r="O59" i="72"/>
  <c r="K59" i="72"/>
  <c r="G59" i="72"/>
  <c r="X58" i="72"/>
  <c r="W58" i="72"/>
  <c r="V58" i="72"/>
  <c r="M58" i="72" s="1"/>
  <c r="O58" i="72"/>
  <c r="K58" i="72"/>
  <c r="G58" i="72"/>
  <c r="O57" i="72"/>
  <c r="K57" i="72"/>
  <c r="V56" i="72"/>
  <c r="U56" i="72"/>
  <c r="O56" i="72"/>
  <c r="N56" i="72"/>
  <c r="Q56" i="72" s="1"/>
  <c r="M56" i="72"/>
  <c r="AB56" i="72" s="1"/>
  <c r="K56" i="72"/>
  <c r="G56" i="72"/>
  <c r="V55" i="72"/>
  <c r="U55" i="72"/>
  <c r="O55" i="72"/>
  <c r="M55" i="72"/>
  <c r="AB55" i="72" s="1"/>
  <c r="K55" i="72"/>
  <c r="G55" i="72"/>
  <c r="V54" i="72"/>
  <c r="U54" i="72"/>
  <c r="O54" i="72"/>
  <c r="M54" i="72"/>
  <c r="AB54" i="72" s="1"/>
  <c r="K54" i="72"/>
  <c r="G54" i="72"/>
  <c r="V53" i="72"/>
  <c r="O53" i="72"/>
  <c r="M53" i="72"/>
  <c r="M57" i="72" s="1"/>
  <c r="K53" i="72"/>
  <c r="G53" i="72"/>
  <c r="O52" i="72"/>
  <c r="K52" i="72"/>
  <c r="V51" i="72"/>
  <c r="M51" i="72" s="1"/>
  <c r="U51" i="72"/>
  <c r="O51" i="72"/>
  <c r="K51" i="72"/>
  <c r="G51" i="72"/>
  <c r="V50" i="72"/>
  <c r="M50" i="72" s="1"/>
  <c r="U50" i="72"/>
  <c r="O50" i="72"/>
  <c r="K50" i="72"/>
  <c r="G50" i="72"/>
  <c r="V49" i="72"/>
  <c r="M49" i="72" s="1"/>
  <c r="U49" i="72"/>
  <c r="O49" i="72"/>
  <c r="K49" i="72"/>
  <c r="G49" i="72"/>
  <c r="V48" i="72"/>
  <c r="M48" i="72" s="1"/>
  <c r="U48" i="72"/>
  <c r="O48" i="72"/>
  <c r="K48" i="72"/>
  <c r="G48" i="72"/>
  <c r="V47" i="72"/>
  <c r="M47" i="72" s="1"/>
  <c r="U47" i="72"/>
  <c r="O47" i="72"/>
  <c r="K47" i="72"/>
  <c r="G47" i="72"/>
  <c r="V46" i="72"/>
  <c r="M46" i="72" s="1"/>
  <c r="O46" i="72"/>
  <c r="K46" i="72"/>
  <c r="G46" i="72"/>
  <c r="O45" i="72"/>
  <c r="K45" i="72"/>
  <c r="V44" i="72"/>
  <c r="U44" i="72"/>
  <c r="O44" i="72"/>
  <c r="M44" i="72"/>
  <c r="AA44" i="72" s="1"/>
  <c r="K44" i="72"/>
  <c r="G44" i="72"/>
  <c r="AB43" i="72"/>
  <c r="AA43" i="72"/>
  <c r="V43" i="72"/>
  <c r="U43" i="72"/>
  <c r="O43" i="72"/>
  <c r="N43" i="72"/>
  <c r="M43" i="72"/>
  <c r="K43" i="72"/>
  <c r="Q43" i="72" s="1"/>
  <c r="G43" i="72"/>
  <c r="V42" i="72"/>
  <c r="M42" i="72" s="1"/>
  <c r="U42" i="72"/>
  <c r="O42" i="72"/>
  <c r="K42" i="72"/>
  <c r="G42" i="72"/>
  <c r="V41" i="72"/>
  <c r="M41" i="72" s="1"/>
  <c r="U41" i="72"/>
  <c r="O41" i="72"/>
  <c r="K41" i="72"/>
  <c r="G41" i="72"/>
  <c r="V40" i="72"/>
  <c r="M40" i="72" s="1"/>
  <c r="U40" i="72"/>
  <c r="O40" i="72"/>
  <c r="K40" i="72"/>
  <c r="G40" i="72"/>
  <c r="X39" i="72"/>
  <c r="W39" i="72"/>
  <c r="V39" i="72"/>
  <c r="M39" i="72" s="1"/>
  <c r="O39" i="72"/>
  <c r="K39" i="72"/>
  <c r="G39" i="72"/>
  <c r="O38" i="72"/>
  <c r="K38" i="72"/>
  <c r="V37" i="72"/>
  <c r="M37" i="72" s="1"/>
  <c r="U37" i="72"/>
  <c r="O37" i="72"/>
  <c r="K37" i="72"/>
  <c r="G37" i="72"/>
  <c r="X36" i="72"/>
  <c r="W36" i="72"/>
  <c r="V36" i="72"/>
  <c r="M36" i="72" s="1"/>
  <c r="U36" i="72"/>
  <c r="O36" i="72"/>
  <c r="K36" i="72"/>
  <c r="G36" i="72"/>
  <c r="V35" i="72"/>
  <c r="M35" i="72" s="1"/>
  <c r="U35" i="72"/>
  <c r="O35" i="72"/>
  <c r="K35" i="72"/>
  <c r="G35" i="72"/>
  <c r="V34" i="72"/>
  <c r="U34" i="72"/>
  <c r="O34" i="72"/>
  <c r="N34" i="72"/>
  <c r="Q34" i="72" s="1"/>
  <c r="M34" i="72"/>
  <c r="AB34" i="72" s="1"/>
  <c r="K34" i="72"/>
  <c r="G34" i="72"/>
  <c r="V33" i="72"/>
  <c r="U33" i="72"/>
  <c r="O33" i="72"/>
  <c r="M33" i="72"/>
  <c r="AB33" i="72" s="1"/>
  <c r="K33" i="72"/>
  <c r="G33" i="72"/>
  <c r="V32" i="72"/>
  <c r="U32" i="72"/>
  <c r="O32" i="72"/>
  <c r="M32" i="72"/>
  <c r="AB32" i="72" s="1"/>
  <c r="K32" i="72"/>
  <c r="G32" i="72"/>
  <c r="X31" i="72"/>
  <c r="W31" i="72"/>
  <c r="V31" i="72"/>
  <c r="O31" i="72"/>
  <c r="N31" i="72"/>
  <c r="Q31" i="72" s="1"/>
  <c r="M31" i="72"/>
  <c r="AB31" i="72" s="1"/>
  <c r="K31" i="72"/>
  <c r="G31" i="72"/>
  <c r="O30" i="72"/>
  <c r="K30" i="72"/>
  <c r="AB29" i="72"/>
  <c r="AA29" i="72"/>
  <c r="V29" i="72"/>
  <c r="U29" i="72"/>
  <c r="O29" i="72"/>
  <c r="N29" i="72"/>
  <c r="M29" i="72"/>
  <c r="K29" i="72"/>
  <c r="Q29" i="72" s="1"/>
  <c r="G29" i="72"/>
  <c r="AB28" i="72"/>
  <c r="AA28" i="72"/>
  <c r="X28" i="72"/>
  <c r="W28" i="72"/>
  <c r="V28" i="72"/>
  <c r="U28" i="72"/>
  <c r="O28" i="72"/>
  <c r="M28" i="72"/>
  <c r="N28" i="72" s="1"/>
  <c r="K28" i="72"/>
  <c r="G28" i="72"/>
  <c r="AB27" i="72"/>
  <c r="AA27" i="72"/>
  <c r="V27" i="72"/>
  <c r="U27" i="72"/>
  <c r="O27" i="72"/>
  <c r="N27" i="72"/>
  <c r="M27" i="72"/>
  <c r="K27" i="72"/>
  <c r="Q27" i="72" s="1"/>
  <c r="G27" i="72"/>
  <c r="V26" i="72"/>
  <c r="M26" i="72" s="1"/>
  <c r="U26" i="72"/>
  <c r="O26" i="72"/>
  <c r="K26" i="72"/>
  <c r="G26" i="72"/>
  <c r="V25" i="72"/>
  <c r="M25" i="72" s="1"/>
  <c r="U25" i="72"/>
  <c r="O25" i="72"/>
  <c r="K25" i="72"/>
  <c r="G25" i="72"/>
  <c r="V24" i="72"/>
  <c r="M24" i="72" s="1"/>
  <c r="U24" i="72"/>
  <c r="O24" i="72"/>
  <c r="K24" i="72"/>
  <c r="G24" i="72"/>
  <c r="X23" i="72"/>
  <c r="W23" i="72"/>
  <c r="V23" i="72"/>
  <c r="M23" i="72" s="1"/>
  <c r="O23" i="72"/>
  <c r="K23" i="72"/>
  <c r="G23" i="72"/>
  <c r="O22" i="72"/>
  <c r="K22" i="72"/>
  <c r="V21" i="72"/>
  <c r="M21" i="72" s="1"/>
  <c r="U21" i="72"/>
  <c r="O21" i="72"/>
  <c r="K21" i="72"/>
  <c r="G21" i="72"/>
  <c r="V20" i="72"/>
  <c r="U20" i="72"/>
  <c r="O20" i="72"/>
  <c r="N20" i="72"/>
  <c r="Q20" i="72" s="1"/>
  <c r="M20" i="72"/>
  <c r="AB20" i="72" s="1"/>
  <c r="K20" i="72"/>
  <c r="G20" i="72"/>
  <c r="V19" i="72"/>
  <c r="U19" i="72"/>
  <c r="O19" i="72"/>
  <c r="M19" i="72"/>
  <c r="AB19" i="72" s="1"/>
  <c r="K19" i="72"/>
  <c r="G19" i="72"/>
  <c r="V18" i="72"/>
  <c r="U18" i="72"/>
  <c r="O18" i="72"/>
  <c r="M18" i="72"/>
  <c r="AB18" i="72" s="1"/>
  <c r="K18" i="72"/>
  <c r="G18" i="72"/>
  <c r="V17" i="72"/>
  <c r="O17" i="72"/>
  <c r="M17" i="72"/>
  <c r="AB17" i="72" s="1"/>
  <c r="K17" i="72"/>
  <c r="G17" i="72"/>
  <c r="O16" i="72"/>
  <c r="K16" i="72"/>
  <c r="V15" i="72"/>
  <c r="M15" i="72" s="1"/>
  <c r="U15" i="72"/>
  <c r="O15" i="72"/>
  <c r="K15" i="72"/>
  <c r="G15" i="72"/>
  <c r="V14" i="72"/>
  <c r="M14" i="72" s="1"/>
  <c r="U14" i="72"/>
  <c r="O14" i="72"/>
  <c r="K14" i="72"/>
  <c r="G14" i="72"/>
  <c r="V13" i="72"/>
  <c r="M13" i="72" s="1"/>
  <c r="U13" i="72"/>
  <c r="O13" i="72"/>
  <c r="K13" i="72"/>
  <c r="G13" i="72"/>
  <c r="V12" i="72"/>
  <c r="M12" i="72" s="1"/>
  <c r="U12" i="72"/>
  <c r="O12" i="72"/>
  <c r="K12" i="72"/>
  <c r="G12" i="72"/>
  <c r="V11" i="72"/>
  <c r="M11" i="72" s="1"/>
  <c r="O11" i="72"/>
  <c r="K11" i="72"/>
  <c r="G11" i="72"/>
  <c r="O10" i="72"/>
  <c r="M10" i="72"/>
  <c r="AB10" i="72" s="1"/>
  <c r="AC9" i="72" s="1"/>
  <c r="K10" i="72"/>
  <c r="V9" i="72"/>
  <c r="O9" i="72"/>
  <c r="M9" i="72"/>
  <c r="AB9" i="72" s="1"/>
  <c r="K9" i="72"/>
  <c r="G9" i="72"/>
  <c r="O8" i="72"/>
  <c r="K8" i="72"/>
  <c r="V7" i="72"/>
  <c r="M7" i="72" s="1"/>
  <c r="U7" i="72"/>
  <c r="O7" i="72"/>
  <c r="K7" i="72"/>
  <c r="G7" i="72"/>
  <c r="V6" i="72"/>
  <c r="M6" i="72" s="1"/>
  <c r="U6" i="72"/>
  <c r="O6" i="72"/>
  <c r="K6" i="72"/>
  <c r="G6" i="72"/>
  <c r="V5" i="72"/>
  <c r="M5" i="72" s="1"/>
  <c r="O5" i="72"/>
  <c r="K5" i="72"/>
  <c r="G5" i="72"/>
  <c r="F1" i="72"/>
  <c r="F2" i="72" s="1"/>
  <c r="D1" i="72"/>
  <c r="M18" i="71"/>
  <c r="L18" i="71"/>
  <c r="K18" i="71"/>
  <c r="J18" i="71"/>
  <c r="I18" i="71"/>
  <c r="H18" i="71"/>
  <c r="G18" i="71"/>
  <c r="F18" i="71"/>
  <c r="E18" i="71"/>
  <c r="D18" i="71"/>
  <c r="M17" i="71"/>
  <c r="L17" i="71"/>
  <c r="K17" i="71"/>
  <c r="J17" i="71"/>
  <c r="I17" i="71"/>
  <c r="H17" i="71"/>
  <c r="G17" i="71"/>
  <c r="F17" i="71"/>
  <c r="E17" i="71"/>
  <c r="D17" i="71"/>
  <c r="M16" i="71"/>
  <c r="L16" i="71"/>
  <c r="K16" i="71"/>
  <c r="J16" i="71"/>
  <c r="I16" i="71"/>
  <c r="H16" i="71"/>
  <c r="G16" i="71"/>
  <c r="F16" i="71"/>
  <c r="E16" i="71"/>
  <c r="D16" i="71"/>
  <c r="M13" i="71"/>
  <c r="L13" i="71"/>
  <c r="K13" i="71"/>
  <c r="J13" i="71"/>
  <c r="I13" i="71"/>
  <c r="H13" i="71"/>
  <c r="G13" i="71"/>
  <c r="F13" i="71"/>
  <c r="E13" i="71"/>
  <c r="D13" i="71"/>
  <c r="G6" i="71" s="1"/>
  <c r="I3" i="71"/>
  <c r="F3" i="71"/>
  <c r="C3" i="71"/>
  <c r="E6" i="71" l="1"/>
  <c r="I6" i="71"/>
  <c r="AB49" i="74"/>
  <c r="AC43" i="74" s="1"/>
  <c r="AA49" i="74"/>
  <c r="N49" i="74"/>
  <c r="Q32" i="74"/>
  <c r="P32" i="74"/>
  <c r="Q41" i="74"/>
  <c r="P41" i="74"/>
  <c r="P13" i="74"/>
  <c r="Q13" i="74"/>
  <c r="Q25" i="74"/>
  <c r="P25" i="74"/>
  <c r="Q19" i="74"/>
  <c r="P19" i="74"/>
  <c r="Q43" i="74"/>
  <c r="P43" i="74"/>
  <c r="P37" i="74"/>
  <c r="Q37" i="74"/>
  <c r="P34" i="74"/>
  <c r="Q34" i="74"/>
  <c r="N16" i="74"/>
  <c r="AB16" i="74"/>
  <c r="AC11" i="74" s="1"/>
  <c r="AA16" i="74"/>
  <c r="AA56" i="74"/>
  <c r="AB56" i="74"/>
  <c r="AC50" i="74" s="1"/>
  <c r="N56" i="74"/>
  <c r="Q15" i="74"/>
  <c r="P15" i="74"/>
  <c r="Q18" i="74"/>
  <c r="P18" i="74"/>
  <c r="D15" i="73"/>
  <c r="P39" i="74"/>
  <c r="Q39" i="74"/>
  <c r="Q50" i="74"/>
  <c r="P50" i="74"/>
  <c r="Q70" i="74"/>
  <c r="P70" i="74"/>
  <c r="P31" i="74"/>
  <c r="Q31" i="74"/>
  <c r="AB22" i="74"/>
  <c r="AC17" i="74" s="1"/>
  <c r="AA22" i="74"/>
  <c r="N22" i="74"/>
  <c r="Q47" i="74"/>
  <c r="P47" i="74"/>
  <c r="AB71" i="74"/>
  <c r="AC62" i="74" s="1"/>
  <c r="AA71" i="74"/>
  <c r="N71" i="74"/>
  <c r="Q63" i="74"/>
  <c r="P63" i="74"/>
  <c r="Q51" i="74"/>
  <c r="P51" i="74"/>
  <c r="N42" i="74"/>
  <c r="AB42" i="74"/>
  <c r="AC34" i="74" s="1"/>
  <c r="AA42" i="74"/>
  <c r="Q46" i="74"/>
  <c r="P46" i="74"/>
  <c r="AB33" i="74"/>
  <c r="AC23" i="74" s="1"/>
  <c r="AA33" i="74"/>
  <c r="N33" i="74"/>
  <c r="P45" i="74"/>
  <c r="Q45" i="74"/>
  <c r="Q17" i="74"/>
  <c r="P17" i="74"/>
  <c r="AB21" i="72"/>
  <c r="AA21" i="72"/>
  <c r="N21" i="72"/>
  <c r="AB35" i="72"/>
  <c r="AA35" i="72"/>
  <c r="N35" i="72"/>
  <c r="N6" i="72"/>
  <c r="AB6" i="72"/>
  <c r="AA6" i="72"/>
  <c r="N40" i="72"/>
  <c r="AB40" i="72"/>
  <c r="AA40" i="72"/>
  <c r="N57" i="72"/>
  <c r="AB57" i="72"/>
  <c r="AC53" i="72" s="1"/>
  <c r="AA57" i="72"/>
  <c r="N14" i="72"/>
  <c r="AB14" i="72"/>
  <c r="AA14" i="72"/>
  <c r="N49" i="72"/>
  <c r="AB49" i="72"/>
  <c r="AA49" i="72"/>
  <c r="N24" i="72"/>
  <c r="AB24" i="72"/>
  <c r="AA24" i="72"/>
  <c r="N12" i="72"/>
  <c r="AB12" i="72"/>
  <c r="AA12" i="72"/>
  <c r="N62" i="72"/>
  <c r="AB62" i="72"/>
  <c r="AA62" i="72"/>
  <c r="N15" i="72"/>
  <c r="AB15" i="72"/>
  <c r="AA15" i="72"/>
  <c r="N25" i="72"/>
  <c r="AB25" i="72"/>
  <c r="AA25" i="72"/>
  <c r="N60" i="72"/>
  <c r="AB60" i="72"/>
  <c r="AA60" i="72"/>
  <c r="N7" i="72"/>
  <c r="AB7" i="72"/>
  <c r="AA7" i="72"/>
  <c r="N39" i="72"/>
  <c r="AB39" i="72"/>
  <c r="AA39" i="72"/>
  <c r="M45" i="72"/>
  <c r="N48" i="72"/>
  <c r="AB48" i="72"/>
  <c r="AA48" i="72"/>
  <c r="N5" i="72"/>
  <c r="M8" i="72"/>
  <c r="AB5" i="72"/>
  <c r="AA5" i="72"/>
  <c r="N11" i="72"/>
  <c r="AB11" i="72"/>
  <c r="M16" i="72"/>
  <c r="AA11" i="72"/>
  <c r="AB46" i="72"/>
  <c r="AA46" i="72"/>
  <c r="M52" i="72"/>
  <c r="N46" i="72"/>
  <c r="N51" i="72"/>
  <c r="AB51" i="72"/>
  <c r="AA51" i="72"/>
  <c r="N42" i="72"/>
  <c r="AB42" i="72"/>
  <c r="AA42" i="72"/>
  <c r="AB37" i="72"/>
  <c r="AA37" i="72"/>
  <c r="N37" i="72"/>
  <c r="N59" i="72"/>
  <c r="AB59" i="72"/>
  <c r="AA59" i="72"/>
  <c r="AB47" i="72"/>
  <c r="AA47" i="72"/>
  <c r="N47" i="72"/>
  <c r="N50" i="72"/>
  <c r="AB50" i="72"/>
  <c r="AA50" i="72"/>
  <c r="N23" i="72"/>
  <c r="AB23" i="72"/>
  <c r="M30" i="72"/>
  <c r="AA23" i="72"/>
  <c r="N36" i="72"/>
  <c r="AB36" i="72"/>
  <c r="AA36" i="72"/>
  <c r="N58" i="72"/>
  <c r="M64" i="72"/>
  <c r="AB58" i="72"/>
  <c r="AA58" i="72"/>
  <c r="N13" i="72"/>
  <c r="AB13" i="72"/>
  <c r="AA13" i="72"/>
  <c r="N41" i="72"/>
  <c r="AB41" i="72"/>
  <c r="AA41" i="72"/>
  <c r="N26" i="72"/>
  <c r="AB26" i="72"/>
  <c r="AA26" i="72"/>
  <c r="Q28" i="72"/>
  <c r="P28" i="72"/>
  <c r="N61" i="72"/>
  <c r="AB61" i="72"/>
  <c r="AA61" i="72"/>
  <c r="N63" i="72"/>
  <c r="AB63" i="72"/>
  <c r="AA63" i="72"/>
  <c r="AB44" i="72"/>
  <c r="F6" i="71"/>
  <c r="N10" i="72"/>
  <c r="N19" i="72"/>
  <c r="N33" i="72"/>
  <c r="N55" i="72"/>
  <c r="N9" i="72"/>
  <c r="N17" i="72"/>
  <c r="N18" i="72"/>
  <c r="P20" i="72"/>
  <c r="P31" i="72"/>
  <c r="N32" i="72"/>
  <c r="P34" i="72"/>
  <c r="N53" i="72"/>
  <c r="N54" i="72"/>
  <c r="P56" i="72"/>
  <c r="N44" i="72"/>
  <c r="AA10" i="72"/>
  <c r="AA20" i="72"/>
  <c r="AA34" i="72"/>
  <c r="AA56" i="72"/>
  <c r="AA19" i="72"/>
  <c r="P27" i="72"/>
  <c r="P29" i="72"/>
  <c r="AA33" i="72"/>
  <c r="P43" i="72"/>
  <c r="AA55" i="72"/>
  <c r="AA9" i="72"/>
  <c r="AA17" i="72"/>
  <c r="AA18" i="72"/>
  <c r="M22" i="72"/>
  <c r="AA31" i="72"/>
  <c r="AA32" i="72"/>
  <c r="M38" i="72"/>
  <c r="AA53" i="72"/>
  <c r="AA54" i="72"/>
  <c r="AB53" i="72"/>
  <c r="P22" i="74" l="1"/>
  <c r="Q22" i="74"/>
  <c r="R17" i="74" s="1"/>
  <c r="G14" i="73"/>
  <c r="G15" i="73" s="1"/>
  <c r="L14" i="73"/>
  <c r="L15" i="73" s="1"/>
  <c r="Q42" i="74"/>
  <c r="R34" i="74" s="1"/>
  <c r="P42" i="74"/>
  <c r="F14" i="73"/>
  <c r="Q16" i="74"/>
  <c r="R11" i="74" s="1"/>
  <c r="P16" i="74"/>
  <c r="H14" i="73"/>
  <c r="H15" i="73" s="1"/>
  <c r="Q49" i="74"/>
  <c r="R43" i="74" s="1"/>
  <c r="P49" i="74"/>
  <c r="D2" i="74"/>
  <c r="Q33" i="74"/>
  <c r="R23" i="74" s="1"/>
  <c r="P33" i="74"/>
  <c r="K14" i="73"/>
  <c r="M14" i="73"/>
  <c r="M15" i="73" s="1"/>
  <c r="Q71" i="74"/>
  <c r="R62" i="74" s="1"/>
  <c r="P71" i="74"/>
  <c r="Q56" i="74"/>
  <c r="R50" i="74" s="1"/>
  <c r="P56" i="74"/>
  <c r="I14" i="73"/>
  <c r="I15" i="73" s="1"/>
  <c r="Q36" i="72"/>
  <c r="P36" i="72"/>
  <c r="Q59" i="72"/>
  <c r="P59" i="72"/>
  <c r="AB45" i="72"/>
  <c r="AC39" i="72" s="1"/>
  <c r="AA45" i="72"/>
  <c r="N45" i="72"/>
  <c r="P40" i="72"/>
  <c r="Q40" i="72"/>
  <c r="AB16" i="72"/>
  <c r="AC11" i="72" s="1"/>
  <c r="AA16" i="72"/>
  <c r="N16" i="72"/>
  <c r="Q17" i="72"/>
  <c r="P17" i="72"/>
  <c r="Q39" i="72"/>
  <c r="P39" i="72"/>
  <c r="N22" i="72"/>
  <c r="AB22" i="72"/>
  <c r="AC17" i="72" s="1"/>
  <c r="AA22" i="72"/>
  <c r="Q35" i="72"/>
  <c r="P35" i="72"/>
  <c r="Q55" i="72"/>
  <c r="P55" i="72"/>
  <c r="P50" i="72"/>
  <c r="Q50" i="72"/>
  <c r="Q42" i="72"/>
  <c r="P42" i="72"/>
  <c r="AB52" i="72"/>
  <c r="AC46" i="72" s="1"/>
  <c r="AA52" i="72"/>
  <c r="N52" i="72"/>
  <c r="Q48" i="72"/>
  <c r="P48" i="72"/>
  <c r="AB30" i="72"/>
  <c r="AC23" i="72" s="1"/>
  <c r="AA30" i="72"/>
  <c r="N30" i="72"/>
  <c r="Q37" i="72"/>
  <c r="P37" i="72"/>
  <c r="P24" i="72"/>
  <c r="Q24" i="72"/>
  <c r="Q23" i="72"/>
  <c r="P23" i="72"/>
  <c r="Q15" i="72"/>
  <c r="P15" i="72"/>
  <c r="Q61" i="72"/>
  <c r="P61" i="72"/>
  <c r="N38" i="72"/>
  <c r="AB38" i="72"/>
  <c r="AC31" i="72" s="1"/>
  <c r="AA38" i="72"/>
  <c r="Q63" i="72"/>
  <c r="P63" i="72"/>
  <c r="Q13" i="72"/>
  <c r="P13" i="72"/>
  <c r="Q49" i="72"/>
  <c r="P49" i="72"/>
  <c r="Q11" i="72"/>
  <c r="P11" i="72"/>
  <c r="Q44" i="72"/>
  <c r="P44" i="72"/>
  <c r="Q47" i="72"/>
  <c r="P47" i="72"/>
  <c r="P14" i="72"/>
  <c r="Q14" i="72"/>
  <c r="Q32" i="72"/>
  <c r="P32" i="72"/>
  <c r="Q41" i="72"/>
  <c r="P41" i="72"/>
  <c r="Q25" i="72"/>
  <c r="P25" i="72"/>
  <c r="Q18" i="72"/>
  <c r="P18" i="72"/>
  <c r="P6" i="72"/>
  <c r="Q6" i="72"/>
  <c r="Q9" i="72"/>
  <c r="P9" i="72"/>
  <c r="Q33" i="72"/>
  <c r="P33" i="72"/>
  <c r="AB64" i="72"/>
  <c r="AC58" i="72" s="1"/>
  <c r="AA64" i="72"/>
  <c r="N64" i="72"/>
  <c r="Q7" i="72"/>
  <c r="P7" i="72"/>
  <c r="Q62" i="72"/>
  <c r="P62" i="72"/>
  <c r="Q19" i="72"/>
  <c r="P19" i="72"/>
  <c r="Q58" i="72"/>
  <c r="P58" i="72"/>
  <c r="AB8" i="72"/>
  <c r="AC5" i="72" s="1"/>
  <c r="AA8" i="72"/>
  <c r="N8" i="72"/>
  <c r="Q21" i="72"/>
  <c r="P21" i="72"/>
  <c r="Q54" i="72"/>
  <c r="P54" i="72"/>
  <c r="Q10" i="72"/>
  <c r="R9" i="72" s="1"/>
  <c r="P10" i="72"/>
  <c r="E14" i="71"/>
  <c r="E15" i="71" s="1"/>
  <c r="Q51" i="72"/>
  <c r="P51" i="72"/>
  <c r="P5" i="72"/>
  <c r="Q5" i="72"/>
  <c r="Q53" i="72"/>
  <c r="P53" i="72"/>
  <c r="Q26" i="72"/>
  <c r="P26" i="72"/>
  <c r="Q46" i="72"/>
  <c r="P46" i="72"/>
  <c r="P60" i="72"/>
  <c r="Q60" i="72"/>
  <c r="Q12" i="72"/>
  <c r="P12" i="72"/>
  <c r="Q57" i="72"/>
  <c r="R53" i="72" s="1"/>
  <c r="P57" i="72"/>
  <c r="J14" i="71"/>
  <c r="J15" i="71" s="1"/>
  <c r="F15" i="73" l="1"/>
  <c r="F7" i="73"/>
  <c r="G7" i="73"/>
  <c r="E7" i="73"/>
  <c r="I7" i="73"/>
  <c r="K15" i="73"/>
  <c r="I8" i="73" s="1"/>
  <c r="Q30" i="72"/>
  <c r="R23" i="72" s="1"/>
  <c r="P30" i="72"/>
  <c r="K14" i="71"/>
  <c r="Q38" i="72"/>
  <c r="R31" i="72" s="1"/>
  <c r="L14" i="71"/>
  <c r="L15" i="71" s="1"/>
  <c r="P38" i="72"/>
  <c r="Q16" i="72"/>
  <c r="R11" i="72" s="1"/>
  <c r="P16" i="72"/>
  <c r="F14" i="71"/>
  <c r="F15" i="71" s="1"/>
  <c r="Q64" i="72"/>
  <c r="R58" i="72" s="1"/>
  <c r="P64" i="72"/>
  <c r="M14" i="71"/>
  <c r="M15" i="71" s="1"/>
  <c r="Q45" i="72"/>
  <c r="R39" i="72" s="1"/>
  <c r="P45" i="72"/>
  <c r="H14" i="71"/>
  <c r="H15" i="71" s="1"/>
  <c r="Q8" i="72"/>
  <c r="R5" i="72" s="1"/>
  <c r="P8" i="72"/>
  <c r="D2" i="72"/>
  <c r="D14" i="71"/>
  <c r="Q52" i="72"/>
  <c r="R46" i="72" s="1"/>
  <c r="P52" i="72"/>
  <c r="I14" i="71"/>
  <c r="I15" i="71" s="1"/>
  <c r="Q22" i="72"/>
  <c r="R17" i="72" s="1"/>
  <c r="G14" i="71"/>
  <c r="G15" i="71" s="1"/>
  <c r="P22" i="72"/>
  <c r="E8" i="73" l="1"/>
  <c r="F8" i="73"/>
  <c r="G8" i="73"/>
  <c r="D15" i="71"/>
  <c r="G7" i="71"/>
  <c r="F7" i="71"/>
  <c r="E7" i="71"/>
  <c r="K15" i="71"/>
  <c r="I8" i="71" s="1"/>
  <c r="I7" i="71"/>
  <c r="G8" i="71" l="1"/>
  <c r="F8" i="71"/>
  <c r="E8" i="71"/>
  <c r="O73" i="66" l="1"/>
  <c r="K73" i="66"/>
  <c r="V72" i="66"/>
  <c r="M72" i="66" s="1"/>
  <c r="U72" i="66"/>
  <c r="O72" i="66"/>
  <c r="K72" i="66"/>
  <c r="G72" i="66"/>
  <c r="V71" i="66"/>
  <c r="M71" i="66" s="1"/>
  <c r="U71" i="66"/>
  <c r="O71" i="66"/>
  <c r="K71" i="66"/>
  <c r="G71" i="66"/>
  <c r="V70" i="66"/>
  <c r="M70" i="66" s="1"/>
  <c r="U70" i="66"/>
  <c r="O70" i="66"/>
  <c r="K70" i="66"/>
  <c r="G70" i="66"/>
  <c r="X69" i="66"/>
  <c r="W69" i="66"/>
  <c r="V69" i="66"/>
  <c r="M69" i="66" s="1"/>
  <c r="U69" i="66"/>
  <c r="O69" i="66"/>
  <c r="K69" i="66"/>
  <c r="G69" i="66"/>
  <c r="V68" i="66"/>
  <c r="M68" i="66" s="1"/>
  <c r="U68" i="66"/>
  <c r="O68" i="66"/>
  <c r="K68" i="66"/>
  <c r="G68" i="66"/>
  <c r="V67" i="66"/>
  <c r="M67" i="66" s="1"/>
  <c r="U67" i="66"/>
  <c r="O67" i="66"/>
  <c r="K67" i="66"/>
  <c r="G67" i="66"/>
  <c r="V66" i="66"/>
  <c r="M66" i="66" s="1"/>
  <c r="U66" i="66"/>
  <c r="O66" i="66"/>
  <c r="K66" i="66"/>
  <c r="G66" i="66"/>
  <c r="X65" i="66"/>
  <c r="W65" i="66"/>
  <c r="V65" i="66"/>
  <c r="M65" i="66" s="1"/>
  <c r="O65" i="66"/>
  <c r="K65" i="66"/>
  <c r="G65" i="66"/>
  <c r="O64" i="66"/>
  <c r="M64" i="66"/>
  <c r="AB64" i="66" s="1"/>
  <c r="AC60" i="66" s="1"/>
  <c r="K64" i="66"/>
  <c r="V63" i="66"/>
  <c r="U63" i="66"/>
  <c r="O63" i="66"/>
  <c r="N63" i="66"/>
  <c r="Q63" i="66" s="1"/>
  <c r="M63" i="66"/>
  <c r="AB63" i="66" s="1"/>
  <c r="K63" i="66"/>
  <c r="G63" i="66"/>
  <c r="V62" i="66"/>
  <c r="U62" i="66"/>
  <c r="O62" i="66"/>
  <c r="M62" i="66"/>
  <c r="AB62" i="66" s="1"/>
  <c r="K62" i="66"/>
  <c r="G62" i="66"/>
  <c r="AB61" i="66"/>
  <c r="V61" i="66"/>
  <c r="U61" i="66"/>
  <c r="O61" i="66"/>
  <c r="M61" i="66"/>
  <c r="AA61" i="66" s="1"/>
  <c r="K61" i="66"/>
  <c r="G61" i="66"/>
  <c r="AB60" i="66"/>
  <c r="X60" i="66"/>
  <c r="W60" i="66"/>
  <c r="V60" i="66"/>
  <c r="O60" i="66"/>
  <c r="N60" i="66"/>
  <c r="Q60" i="66" s="1"/>
  <c r="M60" i="66"/>
  <c r="AA60" i="66" s="1"/>
  <c r="K60" i="66"/>
  <c r="G60" i="66"/>
  <c r="O59" i="66"/>
  <c r="K59" i="66"/>
  <c r="V58" i="66"/>
  <c r="M58" i="66" s="1"/>
  <c r="U58" i="66"/>
  <c r="O58" i="66"/>
  <c r="K58" i="66"/>
  <c r="G58" i="66"/>
  <c r="V57" i="66"/>
  <c r="M57" i="66" s="1"/>
  <c r="U57" i="66"/>
  <c r="O57" i="66"/>
  <c r="K57" i="66"/>
  <c r="G57" i="66"/>
  <c r="V56" i="66"/>
  <c r="M56" i="66" s="1"/>
  <c r="U56" i="66"/>
  <c r="O56" i="66"/>
  <c r="K56" i="66"/>
  <c r="G56" i="66"/>
  <c r="V55" i="66"/>
  <c r="M55" i="66" s="1"/>
  <c r="U55" i="66"/>
  <c r="O55" i="66"/>
  <c r="K55" i="66"/>
  <c r="G55" i="66"/>
  <c r="V54" i="66"/>
  <c r="M54" i="66" s="1"/>
  <c r="U54" i="66"/>
  <c r="O54" i="66"/>
  <c r="K54" i="66"/>
  <c r="G54" i="66"/>
  <c r="V53" i="66"/>
  <c r="M53" i="66" s="1"/>
  <c r="O53" i="66"/>
  <c r="K53" i="66"/>
  <c r="G53" i="66"/>
  <c r="O52" i="66"/>
  <c r="K52" i="66"/>
  <c r="AB51" i="66"/>
  <c r="V51" i="66"/>
  <c r="U51" i="66"/>
  <c r="O51" i="66"/>
  <c r="M51" i="66"/>
  <c r="AA51" i="66" s="1"/>
  <c r="K51" i="66"/>
  <c r="G51" i="66"/>
  <c r="AB50" i="66"/>
  <c r="AA50" i="66"/>
  <c r="V50" i="66"/>
  <c r="U50" i="66"/>
  <c r="O50" i="66"/>
  <c r="M50" i="66"/>
  <c r="N50" i="66" s="1"/>
  <c r="K50" i="66"/>
  <c r="G50" i="66"/>
  <c r="V49" i="66"/>
  <c r="M49" i="66" s="1"/>
  <c r="U49" i="66"/>
  <c r="O49" i="66"/>
  <c r="K49" i="66"/>
  <c r="G49" i="66"/>
  <c r="V48" i="66"/>
  <c r="M48" i="66" s="1"/>
  <c r="U48" i="66"/>
  <c r="O48" i="66"/>
  <c r="K48" i="66"/>
  <c r="G48" i="66"/>
  <c r="V47" i="66"/>
  <c r="M47" i="66" s="1"/>
  <c r="U47" i="66"/>
  <c r="O47" i="66"/>
  <c r="K47" i="66"/>
  <c r="G47" i="66"/>
  <c r="X46" i="66"/>
  <c r="W46" i="66"/>
  <c r="V46" i="66"/>
  <c r="M46" i="66" s="1"/>
  <c r="O46" i="66"/>
  <c r="K46" i="66"/>
  <c r="G46" i="66"/>
  <c r="O45" i="66"/>
  <c r="K45" i="66"/>
  <c r="V44" i="66"/>
  <c r="M44" i="66" s="1"/>
  <c r="U44" i="66"/>
  <c r="O44" i="66"/>
  <c r="K44" i="66"/>
  <c r="G44" i="66"/>
  <c r="V43" i="66"/>
  <c r="U43" i="66"/>
  <c r="O43" i="66"/>
  <c r="M43" i="66"/>
  <c r="AB43" i="66" s="1"/>
  <c r="K43" i="66"/>
  <c r="G43" i="66"/>
  <c r="V42" i="66"/>
  <c r="U42" i="66"/>
  <c r="O42" i="66"/>
  <c r="N42" i="66"/>
  <c r="Q42" i="66" s="1"/>
  <c r="M42" i="66"/>
  <c r="AB42" i="66" s="1"/>
  <c r="K42" i="66"/>
  <c r="G42" i="66"/>
  <c r="V41" i="66"/>
  <c r="U41" i="66"/>
  <c r="O41" i="66"/>
  <c r="M41" i="66"/>
  <c r="AB41" i="66" s="1"/>
  <c r="K41" i="66"/>
  <c r="G41" i="66"/>
  <c r="X40" i="66"/>
  <c r="W40" i="66"/>
  <c r="V40" i="66"/>
  <c r="U40" i="66"/>
  <c r="O40" i="66"/>
  <c r="N40" i="66"/>
  <c r="Q40" i="66" s="1"/>
  <c r="M40" i="66"/>
  <c r="AB40" i="66" s="1"/>
  <c r="K40" i="66"/>
  <c r="G40" i="66"/>
  <c r="V39" i="66"/>
  <c r="U39" i="66"/>
  <c r="O39" i="66"/>
  <c r="M39" i="66"/>
  <c r="AB39" i="66" s="1"/>
  <c r="K39" i="66"/>
  <c r="G39" i="66"/>
  <c r="V38" i="66"/>
  <c r="U38" i="66"/>
  <c r="O38" i="66"/>
  <c r="M38" i="66"/>
  <c r="AB38" i="66" s="1"/>
  <c r="K38" i="66"/>
  <c r="G38" i="66"/>
  <c r="AB37" i="66"/>
  <c r="V37" i="66"/>
  <c r="U37" i="66"/>
  <c r="O37" i="66"/>
  <c r="M37" i="66"/>
  <c r="AA37" i="66" s="1"/>
  <c r="K37" i="66"/>
  <c r="G37" i="66"/>
  <c r="AB36" i="66"/>
  <c r="AA36" i="66"/>
  <c r="V36" i="66"/>
  <c r="U36" i="66"/>
  <c r="O36" i="66"/>
  <c r="M36" i="66"/>
  <c r="N36" i="66" s="1"/>
  <c r="K36" i="66"/>
  <c r="G36" i="66"/>
  <c r="AA35" i="66"/>
  <c r="X35" i="66"/>
  <c r="W35" i="66"/>
  <c r="V35" i="66"/>
  <c r="O35" i="66"/>
  <c r="M35" i="66"/>
  <c r="M45" i="66" s="1"/>
  <c r="K35" i="66"/>
  <c r="G35" i="66"/>
  <c r="O34" i="66"/>
  <c r="K34" i="66"/>
  <c r="V33" i="66"/>
  <c r="M33" i="66" s="1"/>
  <c r="U33" i="66"/>
  <c r="O33" i="66"/>
  <c r="K33" i="66"/>
  <c r="G33" i="66"/>
  <c r="V32" i="66"/>
  <c r="M32" i="66" s="1"/>
  <c r="U32" i="66"/>
  <c r="O32" i="66"/>
  <c r="K32" i="66"/>
  <c r="G32" i="66"/>
  <c r="V31" i="66"/>
  <c r="M31" i="66" s="1"/>
  <c r="U31" i="66"/>
  <c r="O31" i="66"/>
  <c r="K31" i="66"/>
  <c r="G31" i="66"/>
  <c r="V30" i="66"/>
  <c r="M30" i="66" s="1"/>
  <c r="U30" i="66"/>
  <c r="O30" i="66"/>
  <c r="K30" i="66"/>
  <c r="G30" i="66"/>
  <c r="V29" i="66"/>
  <c r="U29" i="66"/>
  <c r="O29" i="66"/>
  <c r="M29" i="66"/>
  <c r="AB29" i="66" s="1"/>
  <c r="K29" i="66"/>
  <c r="G29" i="66"/>
  <c r="X28" i="66"/>
  <c r="W28" i="66"/>
  <c r="V28" i="66"/>
  <c r="M28" i="66" s="1"/>
  <c r="U28" i="66"/>
  <c r="O28" i="66"/>
  <c r="K28" i="66"/>
  <c r="G28" i="66"/>
  <c r="V27" i="66"/>
  <c r="U27" i="66"/>
  <c r="O27" i="66"/>
  <c r="M27" i="66"/>
  <c r="AB27" i="66" s="1"/>
  <c r="K27" i="66"/>
  <c r="G27" i="66"/>
  <c r="V26" i="66"/>
  <c r="U26" i="66"/>
  <c r="O26" i="66"/>
  <c r="N26" i="66"/>
  <c r="Q26" i="66" s="1"/>
  <c r="M26" i="66"/>
  <c r="AB26" i="66" s="1"/>
  <c r="K26" i="66"/>
  <c r="G26" i="66"/>
  <c r="V25" i="66"/>
  <c r="U25" i="66"/>
  <c r="O25" i="66"/>
  <c r="M25" i="66"/>
  <c r="AB25" i="66" s="1"/>
  <c r="K25" i="66"/>
  <c r="G25" i="66"/>
  <c r="V24" i="66"/>
  <c r="U24" i="66"/>
  <c r="O24" i="66"/>
  <c r="M24" i="66"/>
  <c r="AB24" i="66" s="1"/>
  <c r="K24" i="66"/>
  <c r="G24" i="66"/>
  <c r="X23" i="66"/>
  <c r="W23" i="66"/>
  <c r="V23" i="66"/>
  <c r="O23" i="66"/>
  <c r="N23" i="66"/>
  <c r="Q23" i="66" s="1"/>
  <c r="M23" i="66"/>
  <c r="AB23" i="66" s="1"/>
  <c r="K23" i="66"/>
  <c r="G23" i="66"/>
  <c r="O22" i="66"/>
  <c r="K22" i="66"/>
  <c r="V21" i="66"/>
  <c r="M21" i="66" s="1"/>
  <c r="U21" i="66"/>
  <c r="O21" i="66"/>
  <c r="K21" i="66"/>
  <c r="G21" i="66"/>
  <c r="V20" i="66"/>
  <c r="M20" i="66" s="1"/>
  <c r="U20" i="66"/>
  <c r="O20" i="66"/>
  <c r="K20" i="66"/>
  <c r="G20" i="66"/>
  <c r="V19" i="66"/>
  <c r="M19" i="66" s="1"/>
  <c r="U19" i="66"/>
  <c r="O19" i="66"/>
  <c r="K19" i="66"/>
  <c r="G19" i="66"/>
  <c r="V18" i="66"/>
  <c r="M18" i="66" s="1"/>
  <c r="U18" i="66"/>
  <c r="O18" i="66"/>
  <c r="K18" i="66"/>
  <c r="G18" i="66"/>
  <c r="V17" i="66"/>
  <c r="M17" i="66" s="1"/>
  <c r="O17" i="66"/>
  <c r="K17" i="66"/>
  <c r="G17" i="66"/>
  <c r="O16" i="66"/>
  <c r="K16" i="66"/>
  <c r="V15" i="66"/>
  <c r="U15" i="66"/>
  <c r="O15" i="66"/>
  <c r="M15" i="66"/>
  <c r="AB15" i="66" s="1"/>
  <c r="K15" i="66"/>
  <c r="G15" i="66"/>
  <c r="V14" i="66"/>
  <c r="U14" i="66"/>
  <c r="O14" i="66"/>
  <c r="M14" i="66"/>
  <c r="AB14" i="66" s="1"/>
  <c r="K14" i="66"/>
  <c r="G14" i="66"/>
  <c r="AB13" i="66"/>
  <c r="V13" i="66"/>
  <c r="U13" i="66"/>
  <c r="O13" i="66"/>
  <c r="M13" i="66"/>
  <c r="AA13" i="66" s="1"/>
  <c r="K13" i="66"/>
  <c r="G13" i="66"/>
  <c r="V12" i="66"/>
  <c r="M12" i="66" s="1"/>
  <c r="U12" i="66"/>
  <c r="O12" i="66"/>
  <c r="K12" i="66"/>
  <c r="G12" i="66"/>
  <c r="AA11" i="66"/>
  <c r="X11" i="66"/>
  <c r="W11" i="66"/>
  <c r="V11" i="66"/>
  <c r="O11" i="66"/>
  <c r="M11" i="66"/>
  <c r="N11" i="66" s="1"/>
  <c r="K11" i="66"/>
  <c r="G11" i="66"/>
  <c r="F1" i="66" s="1"/>
  <c r="O10" i="66"/>
  <c r="K10" i="66"/>
  <c r="V9" i="66"/>
  <c r="M9" i="66" s="1"/>
  <c r="O9" i="66"/>
  <c r="K9" i="66"/>
  <c r="G9" i="66"/>
  <c r="O8" i="66"/>
  <c r="K8" i="66"/>
  <c r="V7" i="66"/>
  <c r="U7" i="66"/>
  <c r="O7" i="66"/>
  <c r="M7" i="66"/>
  <c r="AB7" i="66" s="1"/>
  <c r="K7" i="66"/>
  <c r="G7" i="66"/>
  <c r="V6" i="66"/>
  <c r="U6" i="66"/>
  <c r="O6" i="66"/>
  <c r="N6" i="66"/>
  <c r="Q6" i="66" s="1"/>
  <c r="M6" i="66"/>
  <c r="AB6" i="66" s="1"/>
  <c r="K6" i="66"/>
  <c r="G6" i="66"/>
  <c r="V5" i="66"/>
  <c r="O5" i="66"/>
  <c r="N5" i="66"/>
  <c r="Q5" i="66" s="1"/>
  <c r="M5" i="66"/>
  <c r="M8" i="66" s="1"/>
  <c r="K5" i="66"/>
  <c r="G5" i="66"/>
  <c r="D1" i="66"/>
  <c r="M18" i="65"/>
  <c r="L18" i="65"/>
  <c r="K18" i="65"/>
  <c r="J18" i="65"/>
  <c r="I18" i="65"/>
  <c r="H18" i="65"/>
  <c r="G18" i="65"/>
  <c r="F18" i="65"/>
  <c r="E18" i="65"/>
  <c r="D18" i="65"/>
  <c r="M17" i="65"/>
  <c r="L17" i="65"/>
  <c r="K17" i="65"/>
  <c r="J17" i="65"/>
  <c r="I17" i="65"/>
  <c r="H17" i="65"/>
  <c r="G17" i="65"/>
  <c r="F17" i="65"/>
  <c r="E17" i="65"/>
  <c r="D17" i="65"/>
  <c r="M16" i="65"/>
  <c r="L16" i="65"/>
  <c r="K16" i="65"/>
  <c r="J16" i="65"/>
  <c r="I16" i="65"/>
  <c r="H16" i="65"/>
  <c r="G16" i="65"/>
  <c r="F16" i="65"/>
  <c r="E16" i="65"/>
  <c r="D16" i="65"/>
  <c r="M13" i="65"/>
  <c r="L13" i="65"/>
  <c r="K13" i="65"/>
  <c r="I6" i="65" s="1"/>
  <c r="J13" i="65"/>
  <c r="I13" i="65"/>
  <c r="H13" i="65"/>
  <c r="G13" i="65"/>
  <c r="F13" i="65"/>
  <c r="E13" i="65"/>
  <c r="D13" i="65"/>
  <c r="F3" i="65"/>
  <c r="C3" i="65"/>
  <c r="G6" i="65" l="1"/>
  <c r="Q50" i="66"/>
  <c r="P50" i="66"/>
  <c r="N9" i="66"/>
  <c r="M10" i="66"/>
  <c r="AB9" i="66"/>
  <c r="AA9" i="66"/>
  <c r="N21" i="66"/>
  <c r="AB21" i="66"/>
  <c r="AA21" i="66"/>
  <c r="N46" i="66"/>
  <c r="AB46" i="66"/>
  <c r="AA46" i="66"/>
  <c r="M52" i="66"/>
  <c r="N48" i="66"/>
  <c r="AB48" i="66"/>
  <c r="AA48" i="66"/>
  <c r="N55" i="66"/>
  <c r="AB55" i="66"/>
  <c r="AA55" i="66"/>
  <c r="AB66" i="66"/>
  <c r="AA66" i="66"/>
  <c r="N66" i="66"/>
  <c r="AB53" i="66"/>
  <c r="AA53" i="66"/>
  <c r="M59" i="66"/>
  <c r="N53" i="66"/>
  <c r="N45" i="66"/>
  <c r="AB45" i="66"/>
  <c r="AC35" i="66" s="1"/>
  <c r="AA45" i="66"/>
  <c r="F2" i="66"/>
  <c r="I3" i="65"/>
  <c r="N12" i="66"/>
  <c r="AB12" i="66"/>
  <c r="M16" i="66"/>
  <c r="AA12" i="66"/>
  <c r="N32" i="66"/>
  <c r="AB32" i="66"/>
  <c r="AA32" i="66"/>
  <c r="N58" i="66"/>
  <c r="AB58" i="66"/>
  <c r="AA58" i="66"/>
  <c r="N69" i="66"/>
  <c r="AB69" i="66"/>
  <c r="AA69" i="66"/>
  <c r="N71" i="66"/>
  <c r="AB71" i="66"/>
  <c r="AA71" i="66"/>
  <c r="N8" i="66"/>
  <c r="AB8" i="66"/>
  <c r="AC5" i="66" s="1"/>
  <c r="AA8" i="66"/>
  <c r="N17" i="66"/>
  <c r="AB17" i="66"/>
  <c r="M22" i="66"/>
  <c r="AA17" i="66"/>
  <c r="Q11" i="66"/>
  <c r="P11" i="66"/>
  <c r="AB30" i="66"/>
  <c r="AA30" i="66"/>
  <c r="N30" i="66"/>
  <c r="N49" i="66"/>
  <c r="AB49" i="66"/>
  <c r="AA49" i="66"/>
  <c r="N56" i="66"/>
  <c r="AB56" i="66"/>
  <c r="AA56" i="66"/>
  <c r="N65" i="66"/>
  <c r="AB65" i="66"/>
  <c r="AA65" i="66"/>
  <c r="M73" i="66"/>
  <c r="N67" i="66"/>
  <c r="AB67" i="66"/>
  <c r="AA67" i="66"/>
  <c r="N19" i="66"/>
  <c r="AB19" i="66"/>
  <c r="AA19" i="66"/>
  <c r="AB28" i="66"/>
  <c r="AA28" i="66"/>
  <c r="N28" i="66"/>
  <c r="AB44" i="66"/>
  <c r="AA44" i="66"/>
  <c r="N44" i="66"/>
  <c r="N20" i="66"/>
  <c r="AB20" i="66"/>
  <c r="AA20" i="66"/>
  <c r="N47" i="66"/>
  <c r="AB47" i="66"/>
  <c r="AA47" i="66"/>
  <c r="AB54" i="66"/>
  <c r="AA54" i="66"/>
  <c r="N54" i="66"/>
  <c r="N72" i="66"/>
  <c r="AB72" i="66"/>
  <c r="AA72" i="66"/>
  <c r="N33" i="66"/>
  <c r="AB33" i="66"/>
  <c r="AA33" i="66"/>
  <c r="N18" i="66"/>
  <c r="AB18" i="66"/>
  <c r="AA18" i="66"/>
  <c r="Q36" i="66"/>
  <c r="P36" i="66"/>
  <c r="N31" i="66"/>
  <c r="AB31" i="66"/>
  <c r="AA31" i="66"/>
  <c r="N57" i="66"/>
  <c r="AB57" i="66"/>
  <c r="AA57" i="66"/>
  <c r="N68" i="66"/>
  <c r="AB68" i="66"/>
  <c r="AA68" i="66"/>
  <c r="N70" i="66"/>
  <c r="AB70" i="66"/>
  <c r="AA70" i="66"/>
  <c r="N7" i="66"/>
  <c r="AB11" i="66"/>
  <c r="N27" i="66"/>
  <c r="N29" i="66"/>
  <c r="AB35" i="66"/>
  <c r="N43" i="66"/>
  <c r="N64" i="66"/>
  <c r="N15" i="66"/>
  <c r="N25" i="66"/>
  <c r="N39" i="66"/>
  <c r="N41" i="66"/>
  <c r="P5" i="66"/>
  <c r="P6" i="66"/>
  <c r="N14" i="66"/>
  <c r="P23" i="66"/>
  <c r="N24" i="66"/>
  <c r="P26" i="66"/>
  <c r="N35" i="66"/>
  <c r="N38" i="66"/>
  <c r="P40" i="66"/>
  <c r="P42" i="66"/>
  <c r="N62" i="66"/>
  <c r="N13" i="66"/>
  <c r="N37" i="66"/>
  <c r="N51" i="66"/>
  <c r="P60" i="66"/>
  <c r="N61" i="66"/>
  <c r="P63" i="66"/>
  <c r="AA64" i="66"/>
  <c r="M34" i="66"/>
  <c r="AA7" i="66"/>
  <c r="AA27" i="66"/>
  <c r="AA29" i="66"/>
  <c r="AA43" i="66"/>
  <c r="AA5" i="66"/>
  <c r="AA6" i="66"/>
  <c r="AA26" i="66"/>
  <c r="AA42" i="66"/>
  <c r="E6" i="65"/>
  <c r="F6" i="65"/>
  <c r="AB5" i="66"/>
  <c r="AA15" i="66"/>
  <c r="AA25" i="66"/>
  <c r="AA39" i="66"/>
  <c r="AA41" i="66"/>
  <c r="AA63" i="66"/>
  <c r="AA14" i="66"/>
  <c r="AA23" i="66"/>
  <c r="AA24" i="66"/>
  <c r="AA38" i="66"/>
  <c r="AA40" i="66"/>
  <c r="AA62" i="66"/>
  <c r="O73" i="64"/>
  <c r="K73" i="64"/>
  <c r="V72" i="64"/>
  <c r="M72" i="64" s="1"/>
  <c r="U72" i="64"/>
  <c r="O72" i="64"/>
  <c r="K72" i="64"/>
  <c r="G72" i="64"/>
  <c r="V71" i="64"/>
  <c r="M71" i="64" s="1"/>
  <c r="U71" i="64"/>
  <c r="O71" i="64"/>
  <c r="K71" i="64"/>
  <c r="G71" i="64"/>
  <c r="V70" i="64"/>
  <c r="M70" i="64" s="1"/>
  <c r="U70" i="64"/>
  <c r="O70" i="64"/>
  <c r="K70" i="64"/>
  <c r="G70" i="64"/>
  <c r="X69" i="64"/>
  <c r="W69" i="64"/>
  <c r="V69" i="64"/>
  <c r="M69" i="64" s="1"/>
  <c r="U69" i="64"/>
  <c r="O69" i="64"/>
  <c r="K69" i="64"/>
  <c r="G69" i="64"/>
  <c r="V68" i="64"/>
  <c r="M68" i="64" s="1"/>
  <c r="U68" i="64"/>
  <c r="O68" i="64"/>
  <c r="K68" i="64"/>
  <c r="G68" i="64"/>
  <c r="V67" i="64"/>
  <c r="M67" i="64" s="1"/>
  <c r="U67" i="64"/>
  <c r="O67" i="64"/>
  <c r="K67" i="64"/>
  <c r="G67" i="64"/>
  <c r="V66" i="64"/>
  <c r="M66" i="64" s="1"/>
  <c r="U66" i="64"/>
  <c r="O66" i="64"/>
  <c r="K66" i="64"/>
  <c r="G66" i="64"/>
  <c r="X65" i="64"/>
  <c r="W65" i="64"/>
  <c r="V65" i="64"/>
  <c r="M65" i="64" s="1"/>
  <c r="O65" i="64"/>
  <c r="K65" i="64"/>
  <c r="G65" i="64"/>
  <c r="O64" i="64"/>
  <c r="M64" i="64"/>
  <c r="AB64" i="64" s="1"/>
  <c r="AC60" i="64" s="1"/>
  <c r="K64" i="64"/>
  <c r="V63" i="64"/>
  <c r="U63" i="64"/>
  <c r="O63" i="64"/>
  <c r="N63" i="64"/>
  <c r="Q63" i="64" s="1"/>
  <c r="M63" i="64"/>
  <c r="AB63" i="64" s="1"/>
  <c r="K63" i="64"/>
  <c r="G63" i="64"/>
  <c r="V62" i="64"/>
  <c r="U62" i="64"/>
  <c r="O62" i="64"/>
  <c r="M62" i="64"/>
  <c r="AB62" i="64" s="1"/>
  <c r="K62" i="64"/>
  <c r="G62" i="64"/>
  <c r="AB61" i="64"/>
  <c r="V61" i="64"/>
  <c r="U61" i="64"/>
  <c r="O61" i="64"/>
  <c r="N61" i="64"/>
  <c r="Q61" i="64" s="1"/>
  <c r="M61" i="64"/>
  <c r="AA61" i="64" s="1"/>
  <c r="K61" i="64"/>
  <c r="G61" i="64"/>
  <c r="AB60" i="64"/>
  <c r="X60" i="64"/>
  <c r="W60" i="64"/>
  <c r="V60" i="64"/>
  <c r="O60" i="64"/>
  <c r="N60" i="64"/>
  <c r="Q60" i="64" s="1"/>
  <c r="M60" i="64"/>
  <c r="AA60" i="64" s="1"/>
  <c r="K60" i="64"/>
  <c r="G60" i="64"/>
  <c r="O59" i="64"/>
  <c r="K59" i="64"/>
  <c r="V58" i="64"/>
  <c r="M58" i="64" s="1"/>
  <c r="U58" i="64"/>
  <c r="O58" i="64"/>
  <c r="K58" i="64"/>
  <c r="G58" i="64"/>
  <c r="V57" i="64"/>
  <c r="M57" i="64" s="1"/>
  <c r="U57" i="64"/>
  <c r="O57" i="64"/>
  <c r="K57" i="64"/>
  <c r="G57" i="64"/>
  <c r="V56" i="64"/>
  <c r="M56" i="64" s="1"/>
  <c r="U56" i="64"/>
  <c r="O56" i="64"/>
  <c r="K56" i="64"/>
  <c r="G56" i="64"/>
  <c r="V55" i="64"/>
  <c r="M55" i="64" s="1"/>
  <c r="U55" i="64"/>
  <c r="O55" i="64"/>
  <c r="K55" i="64"/>
  <c r="G55" i="64"/>
  <c r="V54" i="64"/>
  <c r="M54" i="64" s="1"/>
  <c r="U54" i="64"/>
  <c r="O54" i="64"/>
  <c r="K54" i="64"/>
  <c r="G54" i="64"/>
  <c r="V53" i="64"/>
  <c r="M53" i="64" s="1"/>
  <c r="O53" i="64"/>
  <c r="K53" i="64"/>
  <c r="G53" i="64"/>
  <c r="O52" i="64"/>
  <c r="K52" i="64"/>
  <c r="AB51" i="64"/>
  <c r="V51" i="64"/>
  <c r="U51" i="64"/>
  <c r="O51" i="64"/>
  <c r="M51" i="64"/>
  <c r="AA51" i="64" s="1"/>
  <c r="K51" i="64"/>
  <c r="G51" i="64"/>
  <c r="AB50" i="64"/>
  <c r="AA50" i="64"/>
  <c r="V50" i="64"/>
  <c r="U50" i="64"/>
  <c r="O50" i="64"/>
  <c r="M50" i="64"/>
  <c r="N50" i="64" s="1"/>
  <c r="K50" i="64"/>
  <c r="G50" i="64"/>
  <c r="V49" i="64"/>
  <c r="M49" i="64" s="1"/>
  <c r="U49" i="64"/>
  <c r="O49" i="64"/>
  <c r="K49" i="64"/>
  <c r="G49" i="64"/>
  <c r="V48" i="64"/>
  <c r="M48" i="64" s="1"/>
  <c r="U48" i="64"/>
  <c r="O48" i="64"/>
  <c r="K48" i="64"/>
  <c r="G48" i="64"/>
  <c r="V47" i="64"/>
  <c r="M47" i="64" s="1"/>
  <c r="U47" i="64"/>
  <c r="O47" i="64"/>
  <c r="K47" i="64"/>
  <c r="G47" i="64"/>
  <c r="X46" i="64"/>
  <c r="W46" i="64"/>
  <c r="V46" i="64"/>
  <c r="M46" i="64" s="1"/>
  <c r="O46" i="64"/>
  <c r="K46" i="64"/>
  <c r="G46" i="64"/>
  <c r="O45" i="64"/>
  <c r="K45" i="64"/>
  <c r="V44" i="64"/>
  <c r="M44" i="64" s="1"/>
  <c r="U44" i="64"/>
  <c r="O44" i="64"/>
  <c r="K44" i="64"/>
  <c r="G44" i="64"/>
  <c r="V43" i="64"/>
  <c r="U43" i="64"/>
  <c r="O43" i="64"/>
  <c r="M43" i="64"/>
  <c r="AB43" i="64" s="1"/>
  <c r="K43" i="64"/>
  <c r="G43" i="64"/>
  <c r="V42" i="64"/>
  <c r="U42" i="64"/>
  <c r="O42" i="64"/>
  <c r="N42" i="64"/>
  <c r="Q42" i="64" s="1"/>
  <c r="M42" i="64"/>
  <c r="AB42" i="64" s="1"/>
  <c r="K42" i="64"/>
  <c r="G42" i="64"/>
  <c r="V41" i="64"/>
  <c r="U41" i="64"/>
  <c r="O41" i="64"/>
  <c r="M41" i="64"/>
  <c r="AB41" i="64" s="1"/>
  <c r="K41" i="64"/>
  <c r="G41" i="64"/>
  <c r="V40" i="64"/>
  <c r="U40" i="64"/>
  <c r="O40" i="64"/>
  <c r="M40" i="64"/>
  <c r="AB40" i="64" s="1"/>
  <c r="K40" i="64"/>
  <c r="G40" i="64"/>
  <c r="AB39" i="64"/>
  <c r="X39" i="64"/>
  <c r="W39" i="64"/>
  <c r="V39" i="64"/>
  <c r="U39" i="64"/>
  <c r="O39" i="64"/>
  <c r="M39" i="64"/>
  <c r="AA39" i="64" s="1"/>
  <c r="K39" i="64"/>
  <c r="G39" i="64"/>
  <c r="V38" i="64"/>
  <c r="U38" i="64"/>
  <c r="O38" i="64"/>
  <c r="M38" i="64"/>
  <c r="AB38" i="64" s="1"/>
  <c r="K38" i="64"/>
  <c r="G38" i="64"/>
  <c r="AB37" i="64"/>
  <c r="V37" i="64"/>
  <c r="U37" i="64"/>
  <c r="O37" i="64"/>
  <c r="M37" i="64"/>
  <c r="AA37" i="64" s="1"/>
  <c r="K37" i="64"/>
  <c r="G37" i="64"/>
  <c r="V36" i="64"/>
  <c r="M36" i="64" s="1"/>
  <c r="U36" i="64"/>
  <c r="O36" i="64"/>
  <c r="K36" i="64"/>
  <c r="G36" i="64"/>
  <c r="V35" i="64"/>
  <c r="M35" i="64" s="1"/>
  <c r="U35" i="64"/>
  <c r="O35" i="64"/>
  <c r="K35" i="64"/>
  <c r="G35" i="64"/>
  <c r="AB34" i="64"/>
  <c r="AA34" i="64"/>
  <c r="X34" i="64"/>
  <c r="W34" i="64"/>
  <c r="V34" i="64"/>
  <c r="O34" i="64"/>
  <c r="M34" i="64"/>
  <c r="K34" i="64"/>
  <c r="G34" i="64"/>
  <c r="O33" i="64"/>
  <c r="K33" i="64"/>
  <c r="V32" i="64"/>
  <c r="M32" i="64" s="1"/>
  <c r="U32" i="64"/>
  <c r="O32" i="64"/>
  <c r="K32" i="64"/>
  <c r="G32" i="64"/>
  <c r="V31" i="64"/>
  <c r="M31" i="64" s="1"/>
  <c r="U31" i="64"/>
  <c r="O31" i="64"/>
  <c r="K31" i="64"/>
  <c r="G31" i="64"/>
  <c r="V30" i="64"/>
  <c r="M30" i="64" s="1"/>
  <c r="U30" i="64"/>
  <c r="O30" i="64"/>
  <c r="K30" i="64"/>
  <c r="G30" i="64"/>
  <c r="V29" i="64"/>
  <c r="U29" i="64"/>
  <c r="O29" i="64"/>
  <c r="M29" i="64"/>
  <c r="AB29" i="64" s="1"/>
  <c r="K29" i="64"/>
  <c r="G29" i="64"/>
  <c r="X28" i="64"/>
  <c r="W28" i="64"/>
  <c r="V28" i="64"/>
  <c r="M28" i="64" s="1"/>
  <c r="U28" i="64"/>
  <c r="O28" i="64"/>
  <c r="K28" i="64"/>
  <c r="G28" i="64"/>
  <c r="V27" i="64"/>
  <c r="U27" i="64"/>
  <c r="O27" i="64"/>
  <c r="M27" i="64"/>
  <c r="AB27" i="64" s="1"/>
  <c r="K27" i="64"/>
  <c r="G27" i="64"/>
  <c r="V26" i="64"/>
  <c r="U26" i="64"/>
  <c r="O26" i="64"/>
  <c r="N26" i="64"/>
  <c r="Q26" i="64" s="1"/>
  <c r="M26" i="64"/>
  <c r="AB26" i="64" s="1"/>
  <c r="K26" i="64"/>
  <c r="G26" i="64"/>
  <c r="V25" i="64"/>
  <c r="U25" i="64"/>
  <c r="O25" i="64"/>
  <c r="M25" i="64"/>
  <c r="AB25" i="64" s="1"/>
  <c r="K25" i="64"/>
  <c r="G25" i="64"/>
  <c r="V24" i="64"/>
  <c r="U24" i="64"/>
  <c r="O24" i="64"/>
  <c r="M24" i="64"/>
  <c r="AB24" i="64" s="1"/>
  <c r="K24" i="64"/>
  <c r="G24" i="64"/>
  <c r="X23" i="64"/>
  <c r="W23" i="64"/>
  <c r="V23" i="64"/>
  <c r="O23" i="64"/>
  <c r="N23" i="64"/>
  <c r="Q23" i="64" s="1"/>
  <c r="M23" i="64"/>
  <c r="AB23" i="64" s="1"/>
  <c r="K23" i="64"/>
  <c r="G23" i="64"/>
  <c r="O22" i="64"/>
  <c r="K22" i="64"/>
  <c r="V21" i="64"/>
  <c r="M21" i="64" s="1"/>
  <c r="U21" i="64"/>
  <c r="O21" i="64"/>
  <c r="K21" i="64"/>
  <c r="G21" i="64"/>
  <c r="V20" i="64"/>
  <c r="M20" i="64" s="1"/>
  <c r="U20" i="64"/>
  <c r="O20" i="64"/>
  <c r="K20" i="64"/>
  <c r="G20" i="64"/>
  <c r="V19" i="64"/>
  <c r="M19" i="64" s="1"/>
  <c r="U19" i="64"/>
  <c r="O19" i="64"/>
  <c r="K19" i="64"/>
  <c r="G19" i="64"/>
  <c r="V18" i="64"/>
  <c r="M18" i="64" s="1"/>
  <c r="U18" i="64"/>
  <c r="O18" i="64"/>
  <c r="K18" i="64"/>
  <c r="G18" i="64"/>
  <c r="V17" i="64"/>
  <c r="M17" i="64" s="1"/>
  <c r="O17" i="64"/>
  <c r="K17" i="64"/>
  <c r="G17" i="64"/>
  <c r="O16" i="64"/>
  <c r="K16" i="64"/>
  <c r="V15" i="64"/>
  <c r="U15" i="64"/>
  <c r="O15" i="64"/>
  <c r="M15" i="64"/>
  <c r="AB15" i="64" s="1"/>
  <c r="K15" i="64"/>
  <c r="G15" i="64"/>
  <c r="V14" i="64"/>
  <c r="U14" i="64"/>
  <c r="O14" i="64"/>
  <c r="M14" i="64"/>
  <c r="AB14" i="64" s="1"/>
  <c r="K14" i="64"/>
  <c r="G14" i="64"/>
  <c r="AB13" i="64"/>
  <c r="V13" i="64"/>
  <c r="U13" i="64"/>
  <c r="O13" i="64"/>
  <c r="M13" i="64"/>
  <c r="AA13" i="64" s="1"/>
  <c r="K13" i="64"/>
  <c r="G13" i="64"/>
  <c r="V12" i="64"/>
  <c r="M12" i="64" s="1"/>
  <c r="U12" i="64"/>
  <c r="O12" i="64"/>
  <c r="K12" i="64"/>
  <c r="G12" i="64"/>
  <c r="AB11" i="64"/>
  <c r="AA11" i="64"/>
  <c r="X11" i="64"/>
  <c r="W11" i="64"/>
  <c r="V11" i="64"/>
  <c r="O11" i="64"/>
  <c r="M11" i="64"/>
  <c r="N11" i="64" s="1"/>
  <c r="K11" i="64"/>
  <c r="G11" i="64"/>
  <c r="F1" i="64" s="1"/>
  <c r="O10" i="64"/>
  <c r="K10" i="64"/>
  <c r="V9" i="64"/>
  <c r="M9" i="64" s="1"/>
  <c r="O9" i="64"/>
  <c r="K9" i="64"/>
  <c r="G9" i="64"/>
  <c r="O8" i="64"/>
  <c r="K8" i="64"/>
  <c r="V7" i="64"/>
  <c r="U7" i="64"/>
  <c r="O7" i="64"/>
  <c r="M7" i="64"/>
  <c r="AB7" i="64" s="1"/>
  <c r="K7" i="64"/>
  <c r="G7" i="64"/>
  <c r="V6" i="64"/>
  <c r="U6" i="64"/>
  <c r="O6" i="64"/>
  <c r="N6" i="64"/>
  <c r="Q6" i="64" s="1"/>
  <c r="M6" i="64"/>
  <c r="AB6" i="64" s="1"/>
  <c r="K6" i="64"/>
  <c r="G6" i="64"/>
  <c r="V5" i="64"/>
  <c r="O5" i="64"/>
  <c r="N5" i="64"/>
  <c r="Q5" i="64" s="1"/>
  <c r="M5" i="64"/>
  <c r="M8" i="64" s="1"/>
  <c r="K5" i="64"/>
  <c r="G5" i="64"/>
  <c r="D1" i="64"/>
  <c r="M18" i="63"/>
  <c r="L18" i="63"/>
  <c r="K18" i="63"/>
  <c r="J18" i="63"/>
  <c r="I18" i="63"/>
  <c r="H18" i="63"/>
  <c r="G18" i="63"/>
  <c r="F18" i="63"/>
  <c r="E18" i="63"/>
  <c r="D18" i="63"/>
  <c r="M17" i="63"/>
  <c r="L17" i="63"/>
  <c r="K17" i="63"/>
  <c r="J17" i="63"/>
  <c r="I17" i="63"/>
  <c r="H17" i="63"/>
  <c r="G17" i="63"/>
  <c r="F17" i="63"/>
  <c r="E17" i="63"/>
  <c r="D17" i="63"/>
  <c r="M16" i="63"/>
  <c r="L16" i="63"/>
  <c r="K16" i="63"/>
  <c r="J16" i="63"/>
  <c r="I16" i="63"/>
  <c r="H16" i="63"/>
  <c r="G16" i="63"/>
  <c r="F16" i="63"/>
  <c r="E16" i="63"/>
  <c r="D16" i="63"/>
  <c r="M13" i="63"/>
  <c r="L13" i="63"/>
  <c r="K13" i="63"/>
  <c r="I6" i="63" s="1"/>
  <c r="J13" i="63"/>
  <c r="I13" i="63"/>
  <c r="H13" i="63"/>
  <c r="G13" i="63"/>
  <c r="F13" i="63"/>
  <c r="E13" i="63"/>
  <c r="D13" i="63"/>
  <c r="F3" i="63"/>
  <c r="C3" i="63"/>
  <c r="F6" i="63" l="1"/>
  <c r="J14" i="65"/>
  <c r="J15" i="65" s="1"/>
  <c r="Q64" i="66"/>
  <c r="R60" i="66" s="1"/>
  <c r="P64" i="66"/>
  <c r="D14" i="65"/>
  <c r="Q8" i="66"/>
  <c r="R5" i="66" s="1"/>
  <c r="P8" i="66"/>
  <c r="AA34" i="66"/>
  <c r="N34" i="66"/>
  <c r="AB34" i="66"/>
  <c r="AC23" i="66" s="1"/>
  <c r="Q35" i="66"/>
  <c r="P35" i="66"/>
  <c r="Q43" i="66"/>
  <c r="P43" i="66"/>
  <c r="Q30" i="66"/>
  <c r="P30" i="66"/>
  <c r="Q38" i="66"/>
  <c r="P38" i="66"/>
  <c r="Q68" i="66"/>
  <c r="P68" i="66"/>
  <c r="Q49" i="66"/>
  <c r="P49" i="66"/>
  <c r="Q32" i="66"/>
  <c r="P32" i="66"/>
  <c r="P33" i="66"/>
  <c r="Q33" i="66"/>
  <c r="Q20" i="66"/>
  <c r="P20" i="66"/>
  <c r="Q67" i="66"/>
  <c r="P67" i="66"/>
  <c r="AB16" i="66"/>
  <c r="AC11" i="66" s="1"/>
  <c r="AA16" i="66"/>
  <c r="N16" i="66"/>
  <c r="Q66" i="66"/>
  <c r="P66" i="66"/>
  <c r="Q46" i="66"/>
  <c r="P46" i="66"/>
  <c r="Q24" i="66"/>
  <c r="P24" i="66"/>
  <c r="Q29" i="66"/>
  <c r="P29" i="66"/>
  <c r="P57" i="66"/>
  <c r="Q57" i="66"/>
  <c r="Q44" i="66"/>
  <c r="P44" i="66"/>
  <c r="AB73" i="66"/>
  <c r="AC65" i="66" s="1"/>
  <c r="AA73" i="66"/>
  <c r="N73" i="66"/>
  <c r="P71" i="66"/>
  <c r="Q71" i="66"/>
  <c r="Q61" i="66"/>
  <c r="P61" i="66"/>
  <c r="Q27" i="66"/>
  <c r="P27" i="66"/>
  <c r="Q12" i="66"/>
  <c r="P12" i="66"/>
  <c r="Q14" i="66"/>
  <c r="P14" i="66"/>
  <c r="Q72" i="66"/>
  <c r="P72" i="66"/>
  <c r="Q21" i="66"/>
  <c r="P21" i="66"/>
  <c r="Q51" i="66"/>
  <c r="P51" i="66"/>
  <c r="Q7" i="66"/>
  <c r="P7" i="66"/>
  <c r="Q31" i="66"/>
  <c r="P31" i="66"/>
  <c r="Q54" i="66"/>
  <c r="P54" i="66"/>
  <c r="Q28" i="66"/>
  <c r="P28" i="66"/>
  <c r="Q65" i="66"/>
  <c r="P65" i="66"/>
  <c r="P69" i="66"/>
  <c r="Q69" i="66"/>
  <c r="Q37" i="66"/>
  <c r="P37" i="66"/>
  <c r="AB22" i="66"/>
  <c r="AC17" i="66" s="1"/>
  <c r="AA22" i="66"/>
  <c r="N22" i="66"/>
  <c r="Q55" i="66"/>
  <c r="P55" i="66"/>
  <c r="Q13" i="66"/>
  <c r="P13" i="66"/>
  <c r="Q41" i="66"/>
  <c r="P41" i="66"/>
  <c r="AA10" i="66"/>
  <c r="N10" i="66"/>
  <c r="AB10" i="66"/>
  <c r="AC9" i="66" s="1"/>
  <c r="Q62" i="66"/>
  <c r="P62" i="66"/>
  <c r="Q39" i="66"/>
  <c r="P39" i="66"/>
  <c r="Q70" i="66"/>
  <c r="P70" i="66"/>
  <c r="Q56" i="66"/>
  <c r="P56" i="66"/>
  <c r="Q17" i="66"/>
  <c r="P17" i="66"/>
  <c r="Q58" i="66"/>
  <c r="P58" i="66"/>
  <c r="L14" i="65"/>
  <c r="L15" i="65" s="1"/>
  <c r="Q45" i="66"/>
  <c r="R35" i="66" s="1"/>
  <c r="P45" i="66"/>
  <c r="Q9" i="66"/>
  <c r="P9" i="66"/>
  <c r="Q25" i="66"/>
  <c r="P25" i="66"/>
  <c r="Q53" i="66"/>
  <c r="P53" i="66"/>
  <c r="Q48" i="66"/>
  <c r="P48" i="66"/>
  <c r="Q15" i="66"/>
  <c r="P15" i="66"/>
  <c r="Q18" i="66"/>
  <c r="P18" i="66"/>
  <c r="P47" i="66"/>
  <c r="Q47" i="66"/>
  <c r="P19" i="66"/>
  <c r="Q19" i="66"/>
  <c r="AB59" i="66"/>
  <c r="AC53" i="66" s="1"/>
  <c r="AA59" i="66"/>
  <c r="N59" i="66"/>
  <c r="AB52" i="66"/>
  <c r="AC46" i="66" s="1"/>
  <c r="AA52" i="66"/>
  <c r="N52" i="66"/>
  <c r="N36" i="64"/>
  <c r="AB36" i="64"/>
  <c r="AA36" i="64"/>
  <c r="N31" i="64"/>
  <c r="AB31" i="64"/>
  <c r="AA31" i="64"/>
  <c r="N46" i="64"/>
  <c r="AB46" i="64"/>
  <c r="AA46" i="64"/>
  <c r="M52" i="64"/>
  <c r="N48" i="64"/>
  <c r="AB48" i="64"/>
  <c r="AA48" i="64"/>
  <c r="N55" i="64"/>
  <c r="AB55" i="64"/>
  <c r="AA55" i="64"/>
  <c r="N9" i="64"/>
  <c r="M10" i="64"/>
  <c r="AB9" i="64"/>
  <c r="AA9" i="64"/>
  <c r="AB66" i="64"/>
  <c r="AA66" i="64"/>
  <c r="N66" i="64"/>
  <c r="AB53" i="64"/>
  <c r="AA53" i="64"/>
  <c r="M59" i="64"/>
  <c r="N53" i="64"/>
  <c r="F2" i="64"/>
  <c r="I3" i="63"/>
  <c r="N19" i="64"/>
  <c r="AB19" i="64"/>
  <c r="AA19" i="64"/>
  <c r="N69" i="64"/>
  <c r="AB69" i="64"/>
  <c r="AA69" i="64"/>
  <c r="N71" i="64"/>
  <c r="AB71" i="64"/>
  <c r="AA71" i="64"/>
  <c r="N58" i="64"/>
  <c r="AB58" i="64"/>
  <c r="AA58" i="64"/>
  <c r="N12" i="64"/>
  <c r="AB12" i="64"/>
  <c r="M16" i="64"/>
  <c r="AA12" i="64"/>
  <c r="N32" i="64"/>
  <c r="AB32" i="64"/>
  <c r="AA32" i="64"/>
  <c r="N49" i="64"/>
  <c r="AB49" i="64"/>
  <c r="AA49" i="64"/>
  <c r="N56" i="64"/>
  <c r="AB56" i="64"/>
  <c r="AA56" i="64"/>
  <c r="N21" i="64"/>
  <c r="AB21" i="64"/>
  <c r="AA21" i="64"/>
  <c r="AB28" i="64"/>
  <c r="AA28" i="64"/>
  <c r="N28" i="64"/>
  <c r="AB44" i="64"/>
  <c r="AA44" i="64"/>
  <c r="N44" i="64"/>
  <c r="N65" i="64"/>
  <c r="AB65" i="64"/>
  <c r="AA65" i="64"/>
  <c r="M73" i="64"/>
  <c r="N67" i="64"/>
  <c r="AB67" i="64"/>
  <c r="AA67" i="64"/>
  <c r="N8" i="64"/>
  <c r="AB8" i="64"/>
  <c r="AC5" i="64" s="1"/>
  <c r="AA8" i="64"/>
  <c r="AB30" i="64"/>
  <c r="AA30" i="64"/>
  <c r="N30" i="64"/>
  <c r="N47" i="64"/>
  <c r="AB47" i="64"/>
  <c r="AA47" i="64"/>
  <c r="AB54" i="64"/>
  <c r="AA54" i="64"/>
  <c r="N54" i="64"/>
  <c r="Q11" i="64"/>
  <c r="P11" i="64"/>
  <c r="Q50" i="64"/>
  <c r="P50" i="64"/>
  <c r="N20" i="64"/>
  <c r="AB20" i="64"/>
  <c r="AA20" i="64"/>
  <c r="N35" i="64"/>
  <c r="AB35" i="64"/>
  <c r="AA35" i="64"/>
  <c r="N72" i="64"/>
  <c r="AB72" i="64"/>
  <c r="AA72" i="64"/>
  <c r="M45" i="64"/>
  <c r="N57" i="64"/>
  <c r="AB57" i="64"/>
  <c r="AA57" i="64"/>
  <c r="N17" i="64"/>
  <c r="AB17" i="64"/>
  <c r="M22" i="64"/>
  <c r="AA17" i="64"/>
  <c r="N18" i="64"/>
  <c r="AB18" i="64"/>
  <c r="AA18" i="64"/>
  <c r="N68" i="64"/>
  <c r="AB68" i="64"/>
  <c r="AA68" i="64"/>
  <c r="N70" i="64"/>
  <c r="AB70" i="64"/>
  <c r="AA70" i="64"/>
  <c r="N7" i="64"/>
  <c r="N27" i="64"/>
  <c r="N29" i="64"/>
  <c r="N43" i="64"/>
  <c r="N64" i="64"/>
  <c r="N15" i="64"/>
  <c r="N25" i="64"/>
  <c r="N39" i="64"/>
  <c r="N41" i="64"/>
  <c r="P5" i="64"/>
  <c r="P6" i="64"/>
  <c r="N14" i="64"/>
  <c r="P23" i="64"/>
  <c r="N24" i="64"/>
  <c r="P26" i="64"/>
  <c r="N38" i="64"/>
  <c r="N40" i="64"/>
  <c r="P42" i="64"/>
  <c r="N62" i="64"/>
  <c r="N13" i="64"/>
  <c r="N34" i="64"/>
  <c r="N37" i="64"/>
  <c r="N51" i="64"/>
  <c r="P60" i="64"/>
  <c r="P63" i="64"/>
  <c r="AA64" i="64"/>
  <c r="AA7" i="64"/>
  <c r="AA27" i="64"/>
  <c r="AA29" i="64"/>
  <c r="M33" i="64"/>
  <c r="AA43" i="64"/>
  <c r="P61" i="64"/>
  <c r="AA5" i="64"/>
  <c r="AA6" i="64"/>
  <c r="AA26" i="64"/>
  <c r="AA42" i="64"/>
  <c r="G6" i="63"/>
  <c r="AB5" i="64"/>
  <c r="AA15" i="64"/>
  <c r="AA25" i="64"/>
  <c r="AA41" i="64"/>
  <c r="AA63" i="64"/>
  <c r="E6" i="63"/>
  <c r="AA14" i="64"/>
  <c r="AA23" i="64"/>
  <c r="AA24" i="64"/>
  <c r="AA38" i="64"/>
  <c r="AA40" i="64"/>
  <c r="AA62" i="64"/>
  <c r="X13" i="59"/>
  <c r="W13" i="59"/>
  <c r="X73" i="59"/>
  <c r="W73" i="59"/>
  <c r="X66" i="59"/>
  <c r="W66" i="59"/>
  <c r="X50" i="59"/>
  <c r="W50" i="59"/>
  <c r="X37" i="59"/>
  <c r="W37" i="59"/>
  <c r="X10" i="59"/>
  <c r="W10" i="59"/>
  <c r="C3" i="60"/>
  <c r="F3" i="60"/>
  <c r="I3" i="60"/>
  <c r="D13" i="60"/>
  <c r="E13" i="60"/>
  <c r="F13" i="60"/>
  <c r="G13" i="60"/>
  <c r="H13" i="60"/>
  <c r="I13" i="60"/>
  <c r="J13" i="60"/>
  <c r="K13" i="60"/>
  <c r="L13" i="60"/>
  <c r="M13" i="60"/>
  <c r="D14" i="60"/>
  <c r="E14" i="60"/>
  <c r="E15" i="60" s="1"/>
  <c r="F14" i="60"/>
  <c r="F15" i="60" s="1"/>
  <c r="G14" i="60"/>
  <c r="G15" i="60" s="1"/>
  <c r="H14" i="60"/>
  <c r="I14" i="60"/>
  <c r="J14" i="60"/>
  <c r="J15" i="60" s="1"/>
  <c r="K14" i="60"/>
  <c r="L14" i="60"/>
  <c r="M14" i="60"/>
  <c r="M15" i="60" s="1"/>
  <c r="D15" i="60"/>
  <c r="D16" i="60"/>
  <c r="E16" i="60"/>
  <c r="F16" i="60"/>
  <c r="G16" i="60"/>
  <c r="H16" i="60"/>
  <c r="I16" i="60"/>
  <c r="J16" i="60"/>
  <c r="K16" i="60"/>
  <c r="L16" i="60"/>
  <c r="M16" i="60"/>
  <c r="D17" i="60"/>
  <c r="E17" i="60"/>
  <c r="F17" i="60"/>
  <c r="G17" i="60"/>
  <c r="H17" i="60"/>
  <c r="I17" i="60"/>
  <c r="J17" i="60"/>
  <c r="K17" i="60"/>
  <c r="L17" i="60"/>
  <c r="M17" i="60"/>
  <c r="D18" i="60"/>
  <c r="E18" i="60"/>
  <c r="F18" i="60"/>
  <c r="G18" i="60"/>
  <c r="H18" i="60"/>
  <c r="I18" i="60"/>
  <c r="J18" i="60"/>
  <c r="K18" i="60"/>
  <c r="L18" i="60"/>
  <c r="M18" i="60"/>
  <c r="D1" i="59"/>
  <c r="G5" i="59"/>
  <c r="F1" i="59" s="1"/>
  <c r="F2" i="59" s="1"/>
  <c r="K5" i="59"/>
  <c r="O5" i="59"/>
  <c r="V5" i="59"/>
  <c r="M5" i="59" s="1"/>
  <c r="G6" i="59"/>
  <c r="K6" i="59"/>
  <c r="O6" i="59"/>
  <c r="U6" i="59"/>
  <c r="V6" i="59"/>
  <c r="M6" i="59" s="1"/>
  <c r="G7" i="59"/>
  <c r="K7" i="59"/>
  <c r="O7" i="59"/>
  <c r="U7" i="59"/>
  <c r="V7" i="59"/>
  <c r="M7" i="59" s="1"/>
  <c r="K8" i="59"/>
  <c r="O8" i="59"/>
  <c r="G9" i="59"/>
  <c r="K9" i="59"/>
  <c r="O9" i="59"/>
  <c r="V9" i="59"/>
  <c r="M9" i="59" s="1"/>
  <c r="G10" i="59"/>
  <c r="K10" i="59"/>
  <c r="O10" i="59"/>
  <c r="U10" i="59"/>
  <c r="V10" i="59"/>
  <c r="M10" i="59" s="1"/>
  <c r="G11" i="59"/>
  <c r="K11" i="59"/>
  <c r="O11" i="59"/>
  <c r="U11" i="59"/>
  <c r="V11" i="59"/>
  <c r="M11" i="59" s="1"/>
  <c r="K12" i="59"/>
  <c r="O12" i="59"/>
  <c r="G13" i="59"/>
  <c r="K13" i="59"/>
  <c r="O13" i="59"/>
  <c r="V13" i="59"/>
  <c r="M13" i="59" s="1"/>
  <c r="G14" i="59"/>
  <c r="K14" i="59"/>
  <c r="O14" i="59"/>
  <c r="U14" i="59"/>
  <c r="V14" i="59"/>
  <c r="M14" i="59" s="1"/>
  <c r="G15" i="59"/>
  <c r="K15" i="59"/>
  <c r="O15" i="59"/>
  <c r="U15" i="59"/>
  <c r="V15" i="59"/>
  <c r="M15" i="59" s="1"/>
  <c r="G16" i="59"/>
  <c r="K16" i="59"/>
  <c r="M16" i="59"/>
  <c r="N16" i="59" s="1"/>
  <c r="O16" i="59"/>
  <c r="U16" i="59"/>
  <c r="V16" i="59"/>
  <c r="AA16" i="59"/>
  <c r="AB16" i="59"/>
  <c r="G17" i="59"/>
  <c r="K17" i="59"/>
  <c r="O17" i="59"/>
  <c r="U17" i="59"/>
  <c r="V17" i="59"/>
  <c r="M17" i="59" s="1"/>
  <c r="G18" i="59"/>
  <c r="K18" i="59"/>
  <c r="O18" i="59"/>
  <c r="U18" i="59"/>
  <c r="V18" i="59"/>
  <c r="M18" i="59" s="1"/>
  <c r="K19" i="59"/>
  <c r="O19" i="59"/>
  <c r="G20" i="59"/>
  <c r="K20" i="59"/>
  <c r="M20" i="59"/>
  <c r="N20" i="59" s="1"/>
  <c r="O20" i="59"/>
  <c r="V20" i="59"/>
  <c r="AA20" i="59"/>
  <c r="AB20" i="59"/>
  <c r="G21" i="59"/>
  <c r="K21" i="59"/>
  <c r="M21" i="59"/>
  <c r="N21" i="59" s="1"/>
  <c r="O21" i="59"/>
  <c r="U21" i="59"/>
  <c r="V21" i="59"/>
  <c r="AA21" i="59"/>
  <c r="AB21" i="59"/>
  <c r="G22" i="59"/>
  <c r="K22" i="59"/>
  <c r="M22" i="59"/>
  <c r="N22" i="59" s="1"/>
  <c r="O22" i="59"/>
  <c r="U22" i="59"/>
  <c r="V22" i="59"/>
  <c r="AB22" i="59"/>
  <c r="G23" i="59"/>
  <c r="K23" i="59"/>
  <c r="M23" i="59"/>
  <c r="AA23" i="59" s="1"/>
  <c r="N23" i="59"/>
  <c r="P23" i="59" s="1"/>
  <c r="O23" i="59"/>
  <c r="Q23" i="59"/>
  <c r="U23" i="59"/>
  <c r="V23" i="59"/>
  <c r="G24" i="59"/>
  <c r="K24" i="59"/>
  <c r="O24" i="59"/>
  <c r="U24" i="59"/>
  <c r="V24" i="59"/>
  <c r="M24" i="59" s="1"/>
  <c r="K25" i="59"/>
  <c r="O25" i="59"/>
  <c r="G26" i="59"/>
  <c r="K26" i="59"/>
  <c r="O26" i="59"/>
  <c r="V26" i="59"/>
  <c r="M26" i="59" s="1"/>
  <c r="W26" i="59"/>
  <c r="X26" i="59"/>
  <c r="G27" i="59"/>
  <c r="K27" i="59"/>
  <c r="O27" i="59"/>
  <c r="U27" i="59"/>
  <c r="V27" i="59"/>
  <c r="M27" i="59" s="1"/>
  <c r="G28" i="59"/>
  <c r="K28" i="59"/>
  <c r="O28" i="59"/>
  <c r="U28" i="59"/>
  <c r="V28" i="59"/>
  <c r="M28" i="59" s="1"/>
  <c r="G29" i="59"/>
  <c r="K29" i="59"/>
  <c r="O29" i="59"/>
  <c r="U29" i="59"/>
  <c r="V29" i="59"/>
  <c r="M29" i="59" s="1"/>
  <c r="G30" i="59"/>
  <c r="K30" i="59"/>
  <c r="M30" i="59"/>
  <c r="AA30" i="59" s="1"/>
  <c r="O30" i="59"/>
  <c r="U30" i="59"/>
  <c r="V30" i="59"/>
  <c r="G31" i="59"/>
  <c r="K31" i="59"/>
  <c r="O31" i="59"/>
  <c r="U31" i="59"/>
  <c r="V31" i="59"/>
  <c r="M31" i="59" s="1"/>
  <c r="G32" i="59"/>
  <c r="K32" i="59"/>
  <c r="M32" i="59"/>
  <c r="AB32" i="59" s="1"/>
  <c r="O32" i="59"/>
  <c r="U32" i="59"/>
  <c r="V32" i="59"/>
  <c r="G33" i="59"/>
  <c r="K33" i="59"/>
  <c r="M33" i="59"/>
  <c r="AA33" i="59" s="1"/>
  <c r="N33" i="59"/>
  <c r="P33" i="59" s="1"/>
  <c r="O33" i="59"/>
  <c r="U33" i="59"/>
  <c r="V33" i="59"/>
  <c r="G34" i="59"/>
  <c r="K34" i="59"/>
  <c r="O34" i="59"/>
  <c r="U34" i="59"/>
  <c r="V34" i="59"/>
  <c r="M34" i="59" s="1"/>
  <c r="G35" i="59"/>
  <c r="K35" i="59"/>
  <c r="M35" i="59"/>
  <c r="N35" i="59" s="1"/>
  <c r="O35" i="59"/>
  <c r="U35" i="59"/>
  <c r="V35" i="59"/>
  <c r="AA35" i="59"/>
  <c r="AB35" i="59"/>
  <c r="K36" i="59"/>
  <c r="O36" i="59"/>
  <c r="G37" i="59"/>
  <c r="K37" i="59"/>
  <c r="M37" i="59"/>
  <c r="O37" i="59"/>
  <c r="V37" i="59"/>
  <c r="G38" i="59"/>
  <c r="K38" i="59"/>
  <c r="O38" i="59"/>
  <c r="U38" i="59"/>
  <c r="V38" i="59"/>
  <c r="M38" i="59" s="1"/>
  <c r="G39" i="59"/>
  <c r="K39" i="59"/>
  <c r="O39" i="59"/>
  <c r="U39" i="59"/>
  <c r="V39" i="59"/>
  <c r="M39" i="59" s="1"/>
  <c r="G40" i="59"/>
  <c r="K40" i="59"/>
  <c r="M40" i="59"/>
  <c r="N40" i="59" s="1"/>
  <c r="O40" i="59"/>
  <c r="U40" i="59"/>
  <c r="V40" i="59"/>
  <c r="AA40" i="59"/>
  <c r="AB40" i="59"/>
  <c r="G41" i="59"/>
  <c r="K41" i="59"/>
  <c r="O41" i="59"/>
  <c r="U41" i="59"/>
  <c r="V41" i="59"/>
  <c r="M41" i="59" s="1"/>
  <c r="G42" i="59"/>
  <c r="K42" i="59"/>
  <c r="O42" i="59"/>
  <c r="U42" i="59"/>
  <c r="V42" i="59"/>
  <c r="M42" i="59" s="1"/>
  <c r="G43" i="59"/>
  <c r="K43" i="59"/>
  <c r="O43" i="59"/>
  <c r="U43" i="59"/>
  <c r="V43" i="59"/>
  <c r="M43" i="59" s="1"/>
  <c r="G44" i="59"/>
  <c r="K44" i="59"/>
  <c r="O44" i="59"/>
  <c r="U44" i="59"/>
  <c r="V44" i="59"/>
  <c r="M44" i="59" s="1"/>
  <c r="G45" i="59"/>
  <c r="K45" i="59"/>
  <c r="O45" i="59"/>
  <c r="U45" i="59"/>
  <c r="V45" i="59"/>
  <c r="M45" i="59" s="1"/>
  <c r="G46" i="59"/>
  <c r="K46" i="59"/>
  <c r="M46" i="59"/>
  <c r="AB46" i="59" s="1"/>
  <c r="O46" i="59"/>
  <c r="U46" i="59"/>
  <c r="V46" i="59"/>
  <c r="G47" i="59"/>
  <c r="K47" i="59"/>
  <c r="M47" i="59"/>
  <c r="AA47" i="59" s="1"/>
  <c r="N47" i="59"/>
  <c r="P47" i="59" s="1"/>
  <c r="O47" i="59"/>
  <c r="U47" i="59"/>
  <c r="V47" i="59"/>
  <c r="K48" i="59"/>
  <c r="O48" i="59"/>
  <c r="G49" i="59"/>
  <c r="K49" i="59"/>
  <c r="O49" i="59"/>
  <c r="V49" i="59"/>
  <c r="M49" i="59" s="1"/>
  <c r="G50" i="59"/>
  <c r="K50" i="59"/>
  <c r="M50" i="59"/>
  <c r="N50" i="59" s="1"/>
  <c r="O50" i="59"/>
  <c r="U50" i="59"/>
  <c r="V50" i="59"/>
  <c r="AB50" i="59"/>
  <c r="G51" i="59"/>
  <c r="K51" i="59"/>
  <c r="M51" i="59"/>
  <c r="AA51" i="59" s="1"/>
  <c r="N51" i="59"/>
  <c r="P51" i="59" s="1"/>
  <c r="O51" i="59"/>
  <c r="Q51" i="59"/>
  <c r="U51" i="59"/>
  <c r="V51" i="59"/>
  <c r="G52" i="59"/>
  <c r="K52" i="59"/>
  <c r="O52" i="59"/>
  <c r="U52" i="59"/>
  <c r="V52" i="59"/>
  <c r="M52" i="59" s="1"/>
  <c r="G53" i="59"/>
  <c r="K53" i="59"/>
  <c r="O53" i="59"/>
  <c r="U53" i="59"/>
  <c r="V53" i="59"/>
  <c r="M53" i="59" s="1"/>
  <c r="G54" i="59"/>
  <c r="K54" i="59"/>
  <c r="M54" i="59"/>
  <c r="N54" i="59" s="1"/>
  <c r="O54" i="59"/>
  <c r="U54" i="59"/>
  <c r="V54" i="59"/>
  <c r="AA54" i="59"/>
  <c r="AB54" i="59"/>
  <c r="G55" i="59"/>
  <c r="K55" i="59"/>
  <c r="O55" i="59"/>
  <c r="U55" i="59"/>
  <c r="V55" i="59"/>
  <c r="M55" i="59" s="1"/>
  <c r="K56" i="59"/>
  <c r="O56" i="59"/>
  <c r="G57" i="59"/>
  <c r="K57" i="59"/>
  <c r="M57" i="59"/>
  <c r="AB57" i="59" s="1"/>
  <c r="O57" i="59"/>
  <c r="V57" i="59"/>
  <c r="G58" i="59"/>
  <c r="K58" i="59"/>
  <c r="M58" i="59"/>
  <c r="AB58" i="59" s="1"/>
  <c r="O58" i="59"/>
  <c r="U58" i="59"/>
  <c r="V58" i="59"/>
  <c r="G59" i="59"/>
  <c r="K59" i="59"/>
  <c r="M59" i="59"/>
  <c r="AA59" i="59" s="1"/>
  <c r="N59" i="59"/>
  <c r="P59" i="59" s="1"/>
  <c r="O59" i="59"/>
  <c r="U59" i="59"/>
  <c r="V59" i="59"/>
  <c r="G60" i="59"/>
  <c r="K60" i="59"/>
  <c r="O60" i="59"/>
  <c r="U60" i="59"/>
  <c r="V60" i="59"/>
  <c r="M60" i="59" s="1"/>
  <c r="G61" i="59"/>
  <c r="K61" i="59"/>
  <c r="M61" i="59"/>
  <c r="N61" i="59" s="1"/>
  <c r="O61" i="59"/>
  <c r="U61" i="59"/>
  <c r="V61" i="59"/>
  <c r="AA61" i="59"/>
  <c r="AB61" i="59"/>
  <c r="G62" i="59"/>
  <c r="K62" i="59"/>
  <c r="M62" i="59"/>
  <c r="N62" i="59" s="1"/>
  <c r="O62" i="59"/>
  <c r="U62" i="59"/>
  <c r="V62" i="59"/>
  <c r="AB62" i="59"/>
  <c r="K63" i="59"/>
  <c r="O63" i="59"/>
  <c r="G64" i="59"/>
  <c r="K64" i="59"/>
  <c r="O64" i="59"/>
  <c r="V64" i="59"/>
  <c r="M64" i="59" s="1"/>
  <c r="G65" i="59"/>
  <c r="K65" i="59"/>
  <c r="O65" i="59"/>
  <c r="U65" i="59"/>
  <c r="V65" i="59"/>
  <c r="M65" i="59" s="1"/>
  <c r="G66" i="59"/>
  <c r="K66" i="59"/>
  <c r="O66" i="59"/>
  <c r="U66" i="59"/>
  <c r="V66" i="59"/>
  <c r="M66" i="59" s="1"/>
  <c r="G67" i="59"/>
  <c r="K67" i="59"/>
  <c r="M67" i="59"/>
  <c r="AB67" i="59" s="1"/>
  <c r="O67" i="59"/>
  <c r="U67" i="59"/>
  <c r="V67" i="59"/>
  <c r="AA67" i="59"/>
  <c r="K68" i="59"/>
  <c r="O68" i="59"/>
  <c r="G69" i="59"/>
  <c r="K69" i="59"/>
  <c r="M69" i="59"/>
  <c r="N69" i="59" s="1"/>
  <c r="O69" i="59"/>
  <c r="V69" i="59"/>
  <c r="W69" i="59"/>
  <c r="X69" i="59"/>
  <c r="AA69" i="59"/>
  <c r="G70" i="59"/>
  <c r="K70" i="59"/>
  <c r="O70" i="59"/>
  <c r="U70" i="59"/>
  <c r="V70" i="59"/>
  <c r="M70" i="59" s="1"/>
  <c r="G71" i="59"/>
  <c r="K71" i="59"/>
  <c r="M71" i="59"/>
  <c r="N71" i="59" s="1"/>
  <c r="O71" i="59"/>
  <c r="U71" i="59"/>
  <c r="V71" i="59"/>
  <c r="AA71" i="59"/>
  <c r="AB71" i="59"/>
  <c r="G72" i="59"/>
  <c r="K72" i="59"/>
  <c r="M72" i="59"/>
  <c r="N72" i="59" s="1"/>
  <c r="O72" i="59"/>
  <c r="U72" i="59"/>
  <c r="V72" i="59"/>
  <c r="AB72" i="59"/>
  <c r="G73" i="59"/>
  <c r="K73" i="59"/>
  <c r="O73" i="59"/>
  <c r="U73" i="59"/>
  <c r="V73" i="59"/>
  <c r="M73" i="59" s="1"/>
  <c r="G74" i="59"/>
  <c r="K74" i="59"/>
  <c r="O74" i="59"/>
  <c r="U74" i="59"/>
  <c r="V74" i="59"/>
  <c r="M74" i="59" s="1"/>
  <c r="G75" i="59"/>
  <c r="K75" i="59"/>
  <c r="O75" i="59"/>
  <c r="U75" i="59"/>
  <c r="V75" i="59"/>
  <c r="M75" i="59" s="1"/>
  <c r="K76" i="59"/>
  <c r="O76" i="59"/>
  <c r="I6" i="60" l="1"/>
  <c r="L15" i="60"/>
  <c r="I15" i="60"/>
  <c r="H15" i="60"/>
  <c r="M14" i="65"/>
  <c r="M15" i="65" s="1"/>
  <c r="Q73" i="66"/>
  <c r="R65" i="66" s="1"/>
  <c r="P73" i="66"/>
  <c r="D15" i="65"/>
  <c r="H14" i="65"/>
  <c r="H15" i="65" s="1"/>
  <c r="Q52" i="66"/>
  <c r="R46" i="66" s="1"/>
  <c r="P52" i="66"/>
  <c r="I14" i="65"/>
  <c r="I15" i="65" s="1"/>
  <c r="Q59" i="66"/>
  <c r="R53" i="66" s="1"/>
  <c r="P59" i="66"/>
  <c r="G14" i="65"/>
  <c r="G15" i="65" s="1"/>
  <c r="Q22" i="66"/>
  <c r="R17" i="66" s="1"/>
  <c r="P22" i="66"/>
  <c r="F14" i="65"/>
  <c r="F15" i="65" s="1"/>
  <c r="Q16" i="66"/>
  <c r="R11" i="66" s="1"/>
  <c r="P16" i="66"/>
  <c r="Q34" i="66"/>
  <c r="R23" i="66" s="1"/>
  <c r="K14" i="65"/>
  <c r="P34" i="66"/>
  <c r="Q10" i="66"/>
  <c r="R9" i="66" s="1"/>
  <c r="P10" i="66"/>
  <c r="E14" i="65"/>
  <c r="E15" i="65" s="1"/>
  <c r="D2" i="66"/>
  <c r="Q13" i="64"/>
  <c r="P13" i="64"/>
  <c r="Q39" i="64"/>
  <c r="P39" i="64"/>
  <c r="N45" i="64"/>
  <c r="AB45" i="64"/>
  <c r="AC34" i="64" s="1"/>
  <c r="AA45" i="64"/>
  <c r="Q28" i="64"/>
  <c r="P28" i="64"/>
  <c r="P71" i="64"/>
  <c r="Q71" i="64"/>
  <c r="J14" i="63"/>
  <c r="J15" i="63" s="1"/>
  <c r="Q64" i="64"/>
  <c r="R60" i="64" s="1"/>
  <c r="P64" i="64"/>
  <c r="Q62" i="64"/>
  <c r="P62" i="64"/>
  <c r="Q25" i="64"/>
  <c r="P25" i="64"/>
  <c r="Q68" i="64"/>
  <c r="P68" i="64"/>
  <c r="D14" i="63"/>
  <c r="Q8" i="64"/>
  <c r="R5" i="64" s="1"/>
  <c r="P8" i="64"/>
  <c r="Q66" i="64"/>
  <c r="P66" i="64"/>
  <c r="Q48" i="64"/>
  <c r="P48" i="64"/>
  <c r="Q40" i="64"/>
  <c r="P40" i="64"/>
  <c r="N33" i="64"/>
  <c r="AB33" i="64"/>
  <c r="AC23" i="64" s="1"/>
  <c r="AA33" i="64"/>
  <c r="Q15" i="64"/>
  <c r="P15" i="64"/>
  <c r="Q54" i="64"/>
  <c r="P54" i="64"/>
  <c r="Q32" i="64"/>
  <c r="P32" i="64"/>
  <c r="AB52" i="64"/>
  <c r="AC46" i="64" s="1"/>
  <c r="AA52" i="64"/>
  <c r="N52" i="64"/>
  <c r="Q38" i="64"/>
  <c r="P38" i="64"/>
  <c r="Q43" i="64"/>
  <c r="P43" i="64"/>
  <c r="Q18" i="64"/>
  <c r="P18" i="64"/>
  <c r="Q67" i="64"/>
  <c r="P67" i="64"/>
  <c r="AB16" i="64"/>
  <c r="AC11" i="64" s="1"/>
  <c r="AA16" i="64"/>
  <c r="N16" i="64"/>
  <c r="Q29" i="64"/>
  <c r="P29" i="64"/>
  <c r="AB73" i="64"/>
  <c r="AC65" i="64" s="1"/>
  <c r="AA73" i="64"/>
  <c r="N73" i="64"/>
  <c r="D2" i="64" s="1"/>
  <c r="Q21" i="64"/>
  <c r="P21" i="64"/>
  <c r="Q46" i="64"/>
  <c r="P46" i="64"/>
  <c r="P69" i="64"/>
  <c r="Q69" i="64"/>
  <c r="Q24" i="64"/>
  <c r="P24" i="64"/>
  <c r="Q27" i="64"/>
  <c r="P27" i="64"/>
  <c r="AB22" i="64"/>
  <c r="AC17" i="64" s="1"/>
  <c r="AA22" i="64"/>
  <c r="N22" i="64"/>
  <c r="Q35" i="64"/>
  <c r="P35" i="64"/>
  <c r="Q12" i="64"/>
  <c r="P12" i="64"/>
  <c r="P19" i="64"/>
  <c r="Q19" i="64"/>
  <c r="AA10" i="64"/>
  <c r="N10" i="64"/>
  <c r="AB10" i="64"/>
  <c r="AC9" i="64" s="1"/>
  <c r="Q7" i="64"/>
  <c r="P7" i="64"/>
  <c r="P47" i="64"/>
  <c r="Q47" i="64"/>
  <c r="Q9" i="64"/>
  <c r="P9" i="64"/>
  <c r="Q14" i="64"/>
  <c r="P14" i="64"/>
  <c r="Q17" i="64"/>
  <c r="P17" i="64"/>
  <c r="Q30" i="64"/>
  <c r="P30" i="64"/>
  <c r="Q65" i="64"/>
  <c r="P65" i="64"/>
  <c r="Q56" i="64"/>
  <c r="P56" i="64"/>
  <c r="Q31" i="64"/>
  <c r="P31" i="64"/>
  <c r="Q51" i="64"/>
  <c r="P51" i="64"/>
  <c r="Q20" i="64"/>
  <c r="P20" i="64"/>
  <c r="Q44" i="64"/>
  <c r="P44" i="64"/>
  <c r="Q58" i="64"/>
  <c r="P58" i="64"/>
  <c r="Q53" i="64"/>
  <c r="P53" i="64"/>
  <c r="Q37" i="64"/>
  <c r="P37" i="64"/>
  <c r="Q70" i="64"/>
  <c r="P70" i="64"/>
  <c r="AB59" i="64"/>
  <c r="AC53" i="64" s="1"/>
  <c r="AA59" i="64"/>
  <c r="N59" i="64"/>
  <c r="Q55" i="64"/>
  <c r="P55" i="64"/>
  <c r="Q72" i="64"/>
  <c r="P72" i="64"/>
  <c r="Q34" i="64"/>
  <c r="P34" i="64"/>
  <c r="Q41" i="64"/>
  <c r="P41" i="64"/>
  <c r="P57" i="64"/>
  <c r="Q57" i="64"/>
  <c r="Q49" i="64"/>
  <c r="P49" i="64"/>
  <c r="Q36" i="64"/>
  <c r="P36" i="64"/>
  <c r="F8" i="60"/>
  <c r="E6" i="60"/>
  <c r="E7" i="60"/>
  <c r="I7" i="60"/>
  <c r="G7" i="60"/>
  <c r="F7" i="60"/>
  <c r="K15" i="60"/>
  <c r="I8" i="60" s="1"/>
  <c r="G6" i="60"/>
  <c r="F6" i="60"/>
  <c r="G8" i="60"/>
  <c r="AA44" i="59"/>
  <c r="AB44" i="59"/>
  <c r="N44" i="59"/>
  <c r="P61" i="59"/>
  <c r="Q61" i="59"/>
  <c r="AA52" i="59"/>
  <c r="AB52" i="59"/>
  <c r="N52" i="59"/>
  <c r="AA27" i="59"/>
  <c r="N27" i="59"/>
  <c r="AB27" i="59"/>
  <c r="N70" i="59"/>
  <c r="AA70" i="59"/>
  <c r="M76" i="59"/>
  <c r="AB70" i="59"/>
  <c r="AA65" i="59"/>
  <c r="N65" i="59"/>
  <c r="AB65" i="59"/>
  <c r="Q40" i="59"/>
  <c r="P40" i="59"/>
  <c r="AA31" i="59"/>
  <c r="AB31" i="59"/>
  <c r="N31" i="59"/>
  <c r="AA24" i="59"/>
  <c r="AB24" i="59"/>
  <c r="M25" i="59"/>
  <c r="N24" i="59"/>
  <c r="AA14" i="59"/>
  <c r="AB14" i="59"/>
  <c r="N14" i="59"/>
  <c r="AA6" i="59"/>
  <c r="AB6" i="59"/>
  <c r="N6" i="59"/>
  <c r="AA49" i="59"/>
  <c r="M56" i="59"/>
  <c r="AB49" i="59"/>
  <c r="N49" i="59"/>
  <c r="AA75" i="59"/>
  <c r="AB75" i="59"/>
  <c r="N75" i="59"/>
  <c r="AA29" i="59"/>
  <c r="AB29" i="59"/>
  <c r="N29" i="59"/>
  <c r="P21" i="59"/>
  <c r="Q21" i="59"/>
  <c r="AA18" i="59"/>
  <c r="AB18" i="59"/>
  <c r="N18" i="59"/>
  <c r="N11" i="59"/>
  <c r="AA11" i="59"/>
  <c r="AB11" i="59"/>
  <c r="N9" i="59"/>
  <c r="M12" i="59"/>
  <c r="AA9" i="59"/>
  <c r="AB9" i="59"/>
  <c r="AB42" i="59"/>
  <c r="N42" i="59"/>
  <c r="AA42" i="59"/>
  <c r="AA73" i="59"/>
  <c r="AB73" i="59"/>
  <c r="N73" i="59"/>
  <c r="N60" i="59"/>
  <c r="AA60" i="59"/>
  <c r="AB60" i="59"/>
  <c r="AA43" i="59"/>
  <c r="AB43" i="59"/>
  <c r="N43" i="59"/>
  <c r="AB41" i="59"/>
  <c r="AA41" i="59"/>
  <c r="N41" i="59"/>
  <c r="AB39" i="59"/>
  <c r="N39" i="59"/>
  <c r="AA39" i="59"/>
  <c r="P35" i="59"/>
  <c r="Q35" i="59"/>
  <c r="P50" i="59"/>
  <c r="Q50" i="59"/>
  <c r="AA45" i="59"/>
  <c r="AB45" i="59"/>
  <c r="N45" i="59"/>
  <c r="Q16" i="59"/>
  <c r="P16" i="59"/>
  <c r="AB55" i="59"/>
  <c r="N55" i="59"/>
  <c r="AA55" i="59"/>
  <c r="M48" i="59"/>
  <c r="Q22" i="59"/>
  <c r="P22" i="59"/>
  <c r="AA13" i="59"/>
  <c r="M19" i="59"/>
  <c r="AB13" i="59"/>
  <c r="N13" i="59"/>
  <c r="AA5" i="59"/>
  <c r="AB5" i="59"/>
  <c r="N5" i="59"/>
  <c r="M8" i="59"/>
  <c r="P72" i="59"/>
  <c r="Q72" i="59"/>
  <c r="P62" i="59"/>
  <c r="Q62" i="59"/>
  <c r="Q71" i="59"/>
  <c r="P71" i="59"/>
  <c r="AB53" i="59"/>
  <c r="AA53" i="59"/>
  <c r="N53" i="59"/>
  <c r="N34" i="59"/>
  <c r="AA34" i="59"/>
  <c r="AB34" i="59"/>
  <c r="AA28" i="59"/>
  <c r="AB28" i="59"/>
  <c r="N28" i="59"/>
  <c r="AA26" i="59"/>
  <c r="N26" i="59"/>
  <c r="M36" i="59"/>
  <c r="AB26" i="59"/>
  <c r="AA17" i="59"/>
  <c r="N17" i="59"/>
  <c r="AB17" i="59"/>
  <c r="N10" i="59"/>
  <c r="AA10" i="59"/>
  <c r="AB10" i="59"/>
  <c r="AA64" i="59"/>
  <c r="N64" i="59"/>
  <c r="M68" i="59"/>
  <c r="AB64" i="59"/>
  <c r="P69" i="59"/>
  <c r="Q69" i="59"/>
  <c r="AA66" i="59"/>
  <c r="AB66" i="59"/>
  <c r="N66" i="59"/>
  <c r="AB15" i="59"/>
  <c r="AA15" i="59"/>
  <c r="N15" i="59"/>
  <c r="AA7" i="59"/>
  <c r="AB7" i="59"/>
  <c r="N7" i="59"/>
  <c r="Q54" i="59"/>
  <c r="P54" i="59"/>
  <c r="AB74" i="59"/>
  <c r="AA74" i="59"/>
  <c r="N74" i="59"/>
  <c r="AA38" i="59"/>
  <c r="AB38" i="59"/>
  <c r="N38" i="59"/>
  <c r="Q20" i="59"/>
  <c r="P20" i="59"/>
  <c r="AB59" i="59"/>
  <c r="AA58" i="59"/>
  <c r="AA57" i="59"/>
  <c r="AB47" i="59"/>
  <c r="AA46" i="59"/>
  <c r="AB33" i="59"/>
  <c r="AA32" i="59"/>
  <c r="AB69" i="59"/>
  <c r="M63" i="59"/>
  <c r="N37" i="59"/>
  <c r="AA72" i="59"/>
  <c r="AA62" i="59"/>
  <c r="Q59" i="59"/>
  <c r="AB51" i="59"/>
  <c r="AA50" i="59"/>
  <c r="Q47" i="59"/>
  <c r="Q33" i="59"/>
  <c r="AB23" i="59"/>
  <c r="AA22" i="59"/>
  <c r="N67" i="59"/>
  <c r="AB37" i="59"/>
  <c r="N58" i="59"/>
  <c r="N57" i="59"/>
  <c r="N46" i="59"/>
  <c r="AA37" i="59"/>
  <c r="N32" i="59"/>
  <c r="N30" i="59"/>
  <c r="AB30" i="59"/>
  <c r="O72" i="58"/>
  <c r="K72" i="58"/>
  <c r="V71" i="58"/>
  <c r="U71" i="58"/>
  <c r="Q71" i="58"/>
  <c r="P71" i="58"/>
  <c r="O71" i="58"/>
  <c r="N71" i="58"/>
  <c r="M71" i="58"/>
  <c r="AB71" i="58" s="1"/>
  <c r="K71" i="58"/>
  <c r="G71" i="58"/>
  <c r="AB70" i="58"/>
  <c r="V70" i="58"/>
  <c r="U70" i="58"/>
  <c r="O70" i="58"/>
  <c r="N70" i="58"/>
  <c r="Q70" i="58" s="1"/>
  <c r="M70" i="58"/>
  <c r="AA70" i="58" s="1"/>
  <c r="K70" i="58"/>
  <c r="G70" i="58"/>
  <c r="AB69" i="58"/>
  <c r="AA69" i="58"/>
  <c r="X69" i="58"/>
  <c r="W69" i="58"/>
  <c r="V69" i="58"/>
  <c r="U69" i="58"/>
  <c r="P69" i="58"/>
  <c r="O69" i="58"/>
  <c r="N69" i="58"/>
  <c r="Q69" i="58" s="1"/>
  <c r="M69" i="58"/>
  <c r="K69" i="58"/>
  <c r="G69" i="58"/>
  <c r="V68" i="58"/>
  <c r="U68" i="58"/>
  <c r="O68" i="58"/>
  <c r="M68" i="58"/>
  <c r="AB68" i="58" s="1"/>
  <c r="K68" i="58"/>
  <c r="G68" i="58"/>
  <c r="AB67" i="58"/>
  <c r="AA67" i="58"/>
  <c r="V67" i="58"/>
  <c r="U67" i="58"/>
  <c r="O67" i="58"/>
  <c r="M67" i="58"/>
  <c r="N67" i="58" s="1"/>
  <c r="K67" i="58"/>
  <c r="G67" i="58"/>
  <c r="V66" i="58"/>
  <c r="U66" i="58"/>
  <c r="O66" i="58"/>
  <c r="M66" i="58"/>
  <c r="M72" i="58" s="1"/>
  <c r="K66" i="58"/>
  <c r="G66" i="58"/>
  <c r="AB65" i="58"/>
  <c r="AA65" i="58"/>
  <c r="X65" i="58"/>
  <c r="W65" i="58"/>
  <c r="V65" i="58"/>
  <c r="O65" i="58"/>
  <c r="N65" i="58"/>
  <c r="Q65" i="58" s="1"/>
  <c r="M65" i="58"/>
  <c r="K65" i="58"/>
  <c r="G65" i="58"/>
  <c r="O64" i="58"/>
  <c r="K64" i="58"/>
  <c r="AB63" i="58"/>
  <c r="AA63" i="58"/>
  <c r="V63" i="58"/>
  <c r="U63" i="58"/>
  <c r="O63" i="58"/>
  <c r="M63" i="58"/>
  <c r="N63" i="58" s="1"/>
  <c r="K63" i="58"/>
  <c r="G63" i="58"/>
  <c r="V62" i="58"/>
  <c r="U62" i="58"/>
  <c r="O62" i="58"/>
  <c r="M62" i="58"/>
  <c r="AA62" i="58" s="1"/>
  <c r="K62" i="58"/>
  <c r="G62" i="58"/>
  <c r="V61" i="58"/>
  <c r="U61" i="58"/>
  <c r="O61" i="58"/>
  <c r="M61" i="58"/>
  <c r="AB61" i="58" s="1"/>
  <c r="K61" i="58"/>
  <c r="G61" i="58"/>
  <c r="V60" i="58"/>
  <c r="M60" i="58" s="1"/>
  <c r="U60" i="58"/>
  <c r="O60" i="58"/>
  <c r="K60" i="58"/>
  <c r="G60" i="58"/>
  <c r="V59" i="58"/>
  <c r="U59" i="58"/>
  <c r="O59" i="58"/>
  <c r="M59" i="58"/>
  <c r="AA59" i="58" s="1"/>
  <c r="K59" i="58"/>
  <c r="G59" i="58"/>
  <c r="X58" i="58"/>
  <c r="W58" i="58"/>
  <c r="V58" i="58"/>
  <c r="M58" i="58" s="1"/>
  <c r="O58" i="58"/>
  <c r="K58" i="58"/>
  <c r="G58" i="58"/>
  <c r="O57" i="58"/>
  <c r="K57" i="58"/>
  <c r="AB56" i="58"/>
  <c r="AA56" i="58"/>
  <c r="V56" i="58"/>
  <c r="U56" i="58"/>
  <c r="O56" i="58"/>
  <c r="M56" i="58"/>
  <c r="N56" i="58" s="1"/>
  <c r="K56" i="58"/>
  <c r="G56" i="58"/>
  <c r="V55" i="58"/>
  <c r="U55" i="58"/>
  <c r="O55" i="58"/>
  <c r="M55" i="58"/>
  <c r="AB55" i="58" s="1"/>
  <c r="K55" i="58"/>
  <c r="G55" i="58"/>
  <c r="V54" i="58"/>
  <c r="M54" i="58" s="1"/>
  <c r="U54" i="58"/>
  <c r="O54" i="58"/>
  <c r="K54" i="58"/>
  <c r="G54" i="58"/>
  <c r="V53" i="58"/>
  <c r="U53" i="58"/>
  <c r="O53" i="58"/>
  <c r="N53" i="58"/>
  <c r="Q53" i="58" s="1"/>
  <c r="M53" i="58"/>
  <c r="AB53" i="58" s="1"/>
  <c r="K53" i="58"/>
  <c r="G53" i="58"/>
  <c r="AB52" i="58"/>
  <c r="V52" i="58"/>
  <c r="U52" i="58"/>
  <c r="O52" i="58"/>
  <c r="N52" i="58"/>
  <c r="Q52" i="58" s="1"/>
  <c r="M52" i="58"/>
  <c r="AA52" i="58" s="1"/>
  <c r="K52" i="58"/>
  <c r="G52" i="58"/>
  <c r="V51" i="58"/>
  <c r="M51" i="58" s="1"/>
  <c r="O51" i="58"/>
  <c r="K51" i="58"/>
  <c r="G51" i="58"/>
  <c r="O50" i="58"/>
  <c r="K50" i="58"/>
  <c r="H13" i="57" s="1"/>
  <c r="V49" i="58"/>
  <c r="M49" i="58" s="1"/>
  <c r="U49" i="58"/>
  <c r="O49" i="58"/>
  <c r="K49" i="58"/>
  <c r="G49" i="58"/>
  <c r="V48" i="58"/>
  <c r="U48" i="58"/>
  <c r="O48" i="58"/>
  <c r="M48" i="58"/>
  <c r="AB48" i="58" s="1"/>
  <c r="K48" i="58"/>
  <c r="G48" i="58"/>
  <c r="AB47" i="58"/>
  <c r="AA47" i="58"/>
  <c r="X47" i="58"/>
  <c r="W47" i="58"/>
  <c r="V47" i="58"/>
  <c r="U47" i="58"/>
  <c r="O47" i="58"/>
  <c r="M47" i="58"/>
  <c r="N47" i="58" s="1"/>
  <c r="K47" i="58"/>
  <c r="G47" i="58"/>
  <c r="V46" i="58"/>
  <c r="U46" i="58"/>
  <c r="O46" i="58"/>
  <c r="M46" i="58"/>
  <c r="AA46" i="58" s="1"/>
  <c r="K46" i="58"/>
  <c r="G46" i="58"/>
  <c r="V45" i="58"/>
  <c r="M45" i="58" s="1"/>
  <c r="U45" i="58"/>
  <c r="O45" i="58"/>
  <c r="K45" i="58"/>
  <c r="G45" i="58"/>
  <c r="V44" i="58"/>
  <c r="U44" i="58"/>
  <c r="O44" i="58"/>
  <c r="M44" i="58"/>
  <c r="AB44" i="58" s="1"/>
  <c r="K44" i="58"/>
  <c r="G44" i="58"/>
  <c r="AB43" i="58"/>
  <c r="AA43" i="58"/>
  <c r="V43" i="58"/>
  <c r="U43" i="58"/>
  <c r="O43" i="58"/>
  <c r="M43" i="58"/>
  <c r="N43" i="58" s="1"/>
  <c r="K43" i="58"/>
  <c r="G43" i="58"/>
  <c r="V42" i="58"/>
  <c r="U42" i="58"/>
  <c r="O42" i="58"/>
  <c r="M42" i="58"/>
  <c r="AA42" i="58" s="1"/>
  <c r="K42" i="58"/>
  <c r="G42" i="58"/>
  <c r="V41" i="58"/>
  <c r="O41" i="58"/>
  <c r="M41" i="58"/>
  <c r="AB41" i="58" s="1"/>
  <c r="K41" i="58"/>
  <c r="G41" i="58"/>
  <c r="O40" i="58"/>
  <c r="K40" i="58"/>
  <c r="L13" i="57" s="1"/>
  <c r="V39" i="58"/>
  <c r="U39" i="58"/>
  <c r="O39" i="58"/>
  <c r="M39" i="58"/>
  <c r="AB39" i="58" s="1"/>
  <c r="K39" i="58"/>
  <c r="G39" i="58"/>
  <c r="V38" i="58"/>
  <c r="M38" i="58" s="1"/>
  <c r="U38" i="58"/>
  <c r="O38" i="58"/>
  <c r="K38" i="58"/>
  <c r="G38" i="58"/>
  <c r="V37" i="58"/>
  <c r="U37" i="58"/>
  <c r="O37" i="58"/>
  <c r="M37" i="58"/>
  <c r="AB37" i="58" s="1"/>
  <c r="K37" i="58"/>
  <c r="G37" i="58"/>
  <c r="AB36" i="58"/>
  <c r="AA36" i="58"/>
  <c r="X36" i="58"/>
  <c r="W36" i="58"/>
  <c r="V36" i="58"/>
  <c r="U36" i="58"/>
  <c r="O36" i="58"/>
  <c r="M36" i="58"/>
  <c r="N36" i="58" s="1"/>
  <c r="K36" i="58"/>
  <c r="G36" i="58"/>
  <c r="V35" i="58"/>
  <c r="U35" i="58"/>
  <c r="O35" i="58"/>
  <c r="M35" i="58"/>
  <c r="AB35" i="58" s="1"/>
  <c r="K35" i="58"/>
  <c r="G35" i="58"/>
  <c r="V34" i="58"/>
  <c r="M34" i="58" s="1"/>
  <c r="U34" i="58"/>
  <c r="O34" i="58"/>
  <c r="K34" i="58"/>
  <c r="G34" i="58"/>
  <c r="V33" i="58"/>
  <c r="U33" i="58"/>
  <c r="O33" i="58"/>
  <c r="N33" i="58"/>
  <c r="Q33" i="58" s="1"/>
  <c r="M33" i="58"/>
  <c r="AB33" i="58" s="1"/>
  <c r="K33" i="58"/>
  <c r="G33" i="58"/>
  <c r="AB32" i="58"/>
  <c r="V32" i="58"/>
  <c r="U32" i="58"/>
  <c r="O32" i="58"/>
  <c r="N32" i="58"/>
  <c r="Q32" i="58" s="1"/>
  <c r="M32" i="58"/>
  <c r="AA32" i="58" s="1"/>
  <c r="K32" i="58"/>
  <c r="G32" i="58"/>
  <c r="AB31" i="58"/>
  <c r="AA31" i="58"/>
  <c r="X31" i="58"/>
  <c r="W31" i="58"/>
  <c r="V31" i="58"/>
  <c r="O31" i="58"/>
  <c r="M31" i="58"/>
  <c r="N31" i="58" s="1"/>
  <c r="K31" i="58"/>
  <c r="G31" i="58"/>
  <c r="O30" i="58"/>
  <c r="K30" i="58"/>
  <c r="K13" i="57" s="1"/>
  <c r="AB29" i="58"/>
  <c r="AA29" i="58"/>
  <c r="V29" i="58"/>
  <c r="U29" i="58"/>
  <c r="P29" i="58"/>
  <c r="O29" i="58"/>
  <c r="N29" i="58"/>
  <c r="Q29" i="58" s="1"/>
  <c r="M29" i="58"/>
  <c r="K29" i="58"/>
  <c r="G29" i="58"/>
  <c r="V28" i="58"/>
  <c r="U28" i="58"/>
  <c r="O28" i="58"/>
  <c r="M28" i="58"/>
  <c r="AB28" i="58" s="1"/>
  <c r="K28" i="58"/>
  <c r="G28" i="58"/>
  <c r="AB27" i="58"/>
  <c r="AA27" i="58"/>
  <c r="V27" i="58"/>
  <c r="U27" i="58"/>
  <c r="O27" i="58"/>
  <c r="M27" i="58"/>
  <c r="N27" i="58" s="1"/>
  <c r="K27" i="58"/>
  <c r="G27" i="58"/>
  <c r="X26" i="58"/>
  <c r="W26" i="58"/>
  <c r="V26" i="58"/>
  <c r="U26" i="58"/>
  <c r="O26" i="58"/>
  <c r="M26" i="58"/>
  <c r="AA26" i="58" s="1"/>
  <c r="K26" i="58"/>
  <c r="G26" i="58"/>
  <c r="AB25" i="58"/>
  <c r="AA25" i="58"/>
  <c r="V25" i="58"/>
  <c r="U25" i="58"/>
  <c r="O25" i="58"/>
  <c r="M25" i="58"/>
  <c r="N25" i="58" s="1"/>
  <c r="K25" i="58"/>
  <c r="G25" i="58"/>
  <c r="V24" i="58"/>
  <c r="U24" i="58"/>
  <c r="O24" i="58"/>
  <c r="M24" i="58"/>
  <c r="M30" i="58" s="1"/>
  <c r="K24" i="58"/>
  <c r="G24" i="58"/>
  <c r="AB23" i="58"/>
  <c r="AA23" i="58"/>
  <c r="V23" i="58"/>
  <c r="U23" i="58"/>
  <c r="O23" i="58"/>
  <c r="N23" i="58"/>
  <c r="M23" i="58"/>
  <c r="K23" i="58"/>
  <c r="Q23" i="58" s="1"/>
  <c r="G23" i="58"/>
  <c r="AB22" i="58"/>
  <c r="AA22" i="58"/>
  <c r="X22" i="58"/>
  <c r="W22" i="58"/>
  <c r="V22" i="58"/>
  <c r="O22" i="58"/>
  <c r="M22" i="58"/>
  <c r="N22" i="58" s="1"/>
  <c r="K22" i="58"/>
  <c r="G22" i="58"/>
  <c r="O21" i="58"/>
  <c r="K21" i="58"/>
  <c r="G13" i="57" s="1"/>
  <c r="AB20" i="58"/>
  <c r="AA20" i="58"/>
  <c r="V20" i="58"/>
  <c r="U20" i="58"/>
  <c r="O20" i="58"/>
  <c r="M20" i="58"/>
  <c r="N20" i="58" s="1"/>
  <c r="K20" i="58"/>
  <c r="G20" i="58"/>
  <c r="V19" i="58"/>
  <c r="U19" i="58"/>
  <c r="O19" i="58"/>
  <c r="M19" i="58"/>
  <c r="AB19" i="58" s="1"/>
  <c r="K19" i="58"/>
  <c r="G19" i="58"/>
  <c r="AB18" i="58"/>
  <c r="AA18" i="58"/>
  <c r="V18" i="58"/>
  <c r="U18" i="58"/>
  <c r="O18" i="58"/>
  <c r="M18" i="58"/>
  <c r="N18" i="58" s="1"/>
  <c r="K18" i="58"/>
  <c r="G18" i="58"/>
  <c r="V17" i="58"/>
  <c r="O17" i="58"/>
  <c r="M17" i="58"/>
  <c r="AB17" i="58" s="1"/>
  <c r="K17" i="58"/>
  <c r="G17" i="58"/>
  <c r="O16" i="58"/>
  <c r="K16" i="58"/>
  <c r="V15" i="58"/>
  <c r="U15" i="58"/>
  <c r="O15" i="58"/>
  <c r="M15" i="58"/>
  <c r="AB15" i="58" s="1"/>
  <c r="K15" i="58"/>
  <c r="G15" i="58"/>
  <c r="V14" i="58"/>
  <c r="M14" i="58" s="1"/>
  <c r="U14" i="58"/>
  <c r="O14" i="58"/>
  <c r="K14" i="58"/>
  <c r="G14" i="58"/>
  <c r="V13" i="58"/>
  <c r="U13" i="58"/>
  <c r="O13" i="58"/>
  <c r="N13" i="58"/>
  <c r="Q13" i="58" s="1"/>
  <c r="M13" i="58"/>
  <c r="M16" i="58" s="1"/>
  <c r="K13" i="58"/>
  <c r="G13" i="58"/>
  <c r="AB12" i="58"/>
  <c r="AA12" i="58"/>
  <c r="V12" i="58"/>
  <c r="O12" i="58"/>
  <c r="N12" i="58"/>
  <c r="M12" i="58"/>
  <c r="K12" i="58"/>
  <c r="Q12" i="58" s="1"/>
  <c r="G12" i="58"/>
  <c r="AA11" i="58"/>
  <c r="O11" i="58"/>
  <c r="M11" i="58"/>
  <c r="AB11" i="58" s="1"/>
  <c r="AC9" i="58" s="1"/>
  <c r="K11" i="58"/>
  <c r="AB10" i="58"/>
  <c r="V10" i="58"/>
  <c r="U10" i="58"/>
  <c r="O10" i="58"/>
  <c r="N10" i="58"/>
  <c r="Q10" i="58" s="1"/>
  <c r="M10" i="58"/>
  <c r="AA10" i="58" s="1"/>
  <c r="K10" i="58"/>
  <c r="G10" i="58"/>
  <c r="AB9" i="58"/>
  <c r="AA9" i="58"/>
  <c r="X9" i="58"/>
  <c r="W9" i="58"/>
  <c r="V9" i="58"/>
  <c r="O9" i="58"/>
  <c r="M9" i="58"/>
  <c r="N9" i="58" s="1"/>
  <c r="K9" i="58"/>
  <c r="G9" i="58"/>
  <c r="O8" i="58"/>
  <c r="K8" i="58"/>
  <c r="AB7" i="58"/>
  <c r="AA7" i="58"/>
  <c r="V7" i="58"/>
  <c r="U7" i="58"/>
  <c r="P7" i="58"/>
  <c r="O7" i="58"/>
  <c r="N7" i="58"/>
  <c r="Q7" i="58" s="1"/>
  <c r="M7" i="58"/>
  <c r="K7" i="58"/>
  <c r="G7" i="58"/>
  <c r="V6" i="58"/>
  <c r="U6" i="58"/>
  <c r="O6" i="58"/>
  <c r="M6" i="58"/>
  <c r="AB6" i="58" s="1"/>
  <c r="K6" i="58"/>
  <c r="G6" i="58"/>
  <c r="F1" i="58" s="1"/>
  <c r="AB5" i="58"/>
  <c r="AA5" i="58"/>
  <c r="V5" i="58"/>
  <c r="O5" i="58"/>
  <c r="M5" i="58"/>
  <c r="N5" i="58" s="1"/>
  <c r="K5" i="58"/>
  <c r="G5" i="58"/>
  <c r="H1" i="58"/>
  <c r="D1" i="58"/>
  <c r="F3" i="57" s="1"/>
  <c r="M18" i="57"/>
  <c r="L18" i="57"/>
  <c r="K18" i="57"/>
  <c r="J18" i="57"/>
  <c r="I18" i="57"/>
  <c r="H18" i="57"/>
  <c r="G18" i="57"/>
  <c r="F18" i="57"/>
  <c r="E18" i="57"/>
  <c r="D18" i="57"/>
  <c r="M17" i="57"/>
  <c r="L17" i="57"/>
  <c r="K17" i="57"/>
  <c r="J17" i="57"/>
  <c r="I17" i="57"/>
  <c r="H17" i="57"/>
  <c r="G17" i="57"/>
  <c r="F17" i="57"/>
  <c r="E17" i="57"/>
  <c r="D17" i="57"/>
  <c r="M16" i="57"/>
  <c r="L16" i="57"/>
  <c r="K16" i="57"/>
  <c r="J16" i="57"/>
  <c r="I16" i="57"/>
  <c r="H16" i="57"/>
  <c r="G16" i="57"/>
  <c r="F16" i="57"/>
  <c r="E16" i="57"/>
  <c r="D16" i="57"/>
  <c r="M13" i="57"/>
  <c r="J13" i="57"/>
  <c r="I13" i="57"/>
  <c r="F13" i="57"/>
  <c r="E13" i="57"/>
  <c r="D13" i="57"/>
  <c r="C3" i="57"/>
  <c r="G7" i="65" l="1"/>
  <c r="K15" i="65"/>
  <c r="I8" i="65" s="1"/>
  <c r="I7" i="65"/>
  <c r="F8" i="65"/>
  <c r="G8" i="65"/>
  <c r="E7" i="65"/>
  <c r="F7" i="65"/>
  <c r="G14" i="63"/>
  <c r="G15" i="63" s="1"/>
  <c r="Q22" i="64"/>
  <c r="R17" i="64" s="1"/>
  <c r="P22" i="64"/>
  <c r="D15" i="63"/>
  <c r="I14" i="63"/>
  <c r="I15" i="63" s="1"/>
  <c r="Q59" i="64"/>
  <c r="R53" i="64" s="1"/>
  <c r="P59" i="64"/>
  <c r="Q10" i="64"/>
  <c r="R9" i="64" s="1"/>
  <c r="E14" i="63"/>
  <c r="E15" i="63" s="1"/>
  <c r="P10" i="64"/>
  <c r="Q33" i="64"/>
  <c r="R23" i="64" s="1"/>
  <c r="P33" i="64"/>
  <c r="K14" i="63"/>
  <c r="H14" i="63"/>
  <c r="H15" i="63" s="1"/>
  <c r="Q52" i="64"/>
  <c r="R46" i="64" s="1"/>
  <c r="P52" i="64"/>
  <c r="M14" i="63"/>
  <c r="M15" i="63" s="1"/>
  <c r="Q73" i="64"/>
  <c r="R65" i="64" s="1"/>
  <c r="P73" i="64"/>
  <c r="F14" i="63"/>
  <c r="F15" i="63" s="1"/>
  <c r="Q16" i="64"/>
  <c r="R11" i="64" s="1"/>
  <c r="P16" i="64"/>
  <c r="L14" i="63"/>
  <c r="L15" i="63" s="1"/>
  <c r="Q45" i="64"/>
  <c r="R34" i="64" s="1"/>
  <c r="P45" i="64"/>
  <c r="E8" i="60"/>
  <c r="P70" i="59"/>
  <c r="Q70" i="59"/>
  <c r="AA63" i="59"/>
  <c r="AB63" i="59"/>
  <c r="AC57" i="59" s="1"/>
  <c r="N63" i="59"/>
  <c r="P10" i="59"/>
  <c r="Q10" i="59"/>
  <c r="P5" i="59"/>
  <c r="Q5" i="59"/>
  <c r="AA56" i="59"/>
  <c r="AB56" i="59"/>
  <c r="AC49" i="59" s="1"/>
  <c r="N56" i="59"/>
  <c r="P31" i="59"/>
  <c r="Q31" i="59"/>
  <c r="P58" i="59"/>
  <c r="Q58" i="59"/>
  <c r="P38" i="59"/>
  <c r="Q38" i="59"/>
  <c r="P67" i="59"/>
  <c r="Q67" i="59"/>
  <c r="P66" i="59"/>
  <c r="Q66" i="59"/>
  <c r="P34" i="59"/>
  <c r="Q34" i="59"/>
  <c r="P41" i="59"/>
  <c r="Q41" i="59"/>
  <c r="P27" i="59"/>
  <c r="Q27" i="59"/>
  <c r="P74" i="59"/>
  <c r="Q74" i="59"/>
  <c r="P17" i="59"/>
  <c r="Q17" i="59"/>
  <c r="P53" i="59"/>
  <c r="Q53" i="59"/>
  <c r="P42" i="59"/>
  <c r="Q42" i="59"/>
  <c r="P6" i="59"/>
  <c r="Q6" i="59"/>
  <c r="P55" i="59"/>
  <c r="Q55" i="59"/>
  <c r="P13" i="59"/>
  <c r="Q13" i="59"/>
  <c r="P45" i="59"/>
  <c r="Q45" i="59"/>
  <c r="P52" i="59"/>
  <c r="Q52" i="59"/>
  <c r="P43" i="59"/>
  <c r="Q43" i="59"/>
  <c r="P29" i="59"/>
  <c r="Q29" i="59"/>
  <c r="P39" i="59"/>
  <c r="Q39" i="59"/>
  <c r="N36" i="59"/>
  <c r="AB36" i="59"/>
  <c r="AC26" i="59" s="1"/>
  <c r="AA36" i="59"/>
  <c r="N19" i="59"/>
  <c r="AA19" i="59"/>
  <c r="AB19" i="59"/>
  <c r="AC13" i="59" s="1"/>
  <c r="P14" i="59"/>
  <c r="Q14" i="59"/>
  <c r="P18" i="59"/>
  <c r="Q18" i="59"/>
  <c r="P30" i="59"/>
  <c r="Q30" i="59"/>
  <c r="P26" i="59"/>
  <c r="Q26" i="59"/>
  <c r="N12" i="59"/>
  <c r="AA12" i="59"/>
  <c r="AB12" i="59"/>
  <c r="AC9" i="59" s="1"/>
  <c r="P65" i="59"/>
  <c r="Q65" i="59"/>
  <c r="Q37" i="59"/>
  <c r="P37" i="59"/>
  <c r="P32" i="59"/>
  <c r="Q32" i="59"/>
  <c r="P7" i="59"/>
  <c r="Q7" i="59"/>
  <c r="AA68" i="59"/>
  <c r="N68" i="59"/>
  <c r="AB68" i="59"/>
  <c r="AC64" i="59" s="1"/>
  <c r="Q9" i="59"/>
  <c r="P9" i="59"/>
  <c r="Q75" i="59"/>
  <c r="P75" i="59"/>
  <c r="N8" i="59"/>
  <c r="AA8" i="59"/>
  <c r="AB8" i="59"/>
  <c r="AC5" i="59" s="1"/>
  <c r="P64" i="59"/>
  <c r="Q64" i="59"/>
  <c r="P28" i="59"/>
  <c r="Q28" i="59"/>
  <c r="P24" i="59"/>
  <c r="Q24" i="59"/>
  <c r="P44" i="59"/>
  <c r="Q44" i="59"/>
  <c r="P46" i="59"/>
  <c r="Q46" i="59"/>
  <c r="N48" i="59"/>
  <c r="AA48" i="59"/>
  <c r="AB48" i="59"/>
  <c r="AC37" i="59" s="1"/>
  <c r="P60" i="59"/>
  <c r="Q60" i="59"/>
  <c r="AA25" i="59"/>
  <c r="AB25" i="59"/>
  <c r="AC20" i="59" s="1"/>
  <c r="N25" i="59"/>
  <c r="AA76" i="59"/>
  <c r="AB76" i="59"/>
  <c r="AC69" i="59" s="1"/>
  <c r="N76" i="59"/>
  <c r="Q57" i="59"/>
  <c r="P57" i="59"/>
  <c r="P15" i="59"/>
  <c r="Q15" i="59"/>
  <c r="P73" i="59"/>
  <c r="Q73" i="59"/>
  <c r="Q11" i="59"/>
  <c r="P11" i="59"/>
  <c r="P49" i="59"/>
  <c r="Q49" i="59"/>
  <c r="I6" i="57"/>
  <c r="AB30" i="58"/>
  <c r="AC22" i="58" s="1"/>
  <c r="AA30" i="58"/>
  <c r="N30" i="58"/>
  <c r="Q63" i="58"/>
  <c r="P63" i="58"/>
  <c r="N14" i="58"/>
  <c r="AB14" i="58"/>
  <c r="AA14" i="58"/>
  <c r="Q22" i="58"/>
  <c r="P22" i="58"/>
  <c r="P36" i="58"/>
  <c r="Q36" i="58"/>
  <c r="P43" i="58"/>
  <c r="Q43" i="58"/>
  <c r="Q9" i="58"/>
  <c r="P9" i="58"/>
  <c r="Q20" i="58"/>
  <c r="P20" i="58"/>
  <c r="AB51" i="58"/>
  <c r="AA51" i="58"/>
  <c r="N51" i="58"/>
  <c r="M57" i="58"/>
  <c r="N54" i="58"/>
  <c r="AB54" i="58"/>
  <c r="AA54" i="58"/>
  <c r="N58" i="58"/>
  <c r="AA58" i="58"/>
  <c r="M64" i="58"/>
  <c r="AB58" i="58"/>
  <c r="N16" i="58"/>
  <c r="AB16" i="58"/>
  <c r="AC12" i="58" s="1"/>
  <c r="AA16" i="58"/>
  <c r="N34" i="58"/>
  <c r="AB34" i="58"/>
  <c r="M40" i="58"/>
  <c r="AA34" i="58"/>
  <c r="F6" i="57"/>
  <c r="P18" i="58"/>
  <c r="Q18" i="58"/>
  <c r="P5" i="58"/>
  <c r="Q5" i="58"/>
  <c r="N45" i="58"/>
  <c r="AB45" i="58"/>
  <c r="AA45" i="58"/>
  <c r="AB72" i="58"/>
  <c r="AC65" i="58" s="1"/>
  <c r="AA72" i="58"/>
  <c r="N72" i="58"/>
  <c r="AB38" i="58"/>
  <c r="AA38" i="58"/>
  <c r="N38" i="58"/>
  <c r="P56" i="58"/>
  <c r="Q56" i="58"/>
  <c r="Q27" i="58"/>
  <c r="P27" i="58"/>
  <c r="I3" i="57"/>
  <c r="F2" i="58"/>
  <c r="AB60" i="58"/>
  <c r="AA60" i="58"/>
  <c r="N60" i="58"/>
  <c r="Q25" i="58"/>
  <c r="P25" i="58"/>
  <c r="AA49" i="58"/>
  <c r="AB49" i="58"/>
  <c r="N49" i="58"/>
  <c r="Q67" i="58"/>
  <c r="P67" i="58"/>
  <c r="Q31" i="58"/>
  <c r="P31" i="58"/>
  <c r="Q47" i="58"/>
  <c r="P47" i="58"/>
  <c r="N17" i="58"/>
  <c r="N26" i="58"/>
  <c r="N44" i="58"/>
  <c r="P13" i="58"/>
  <c r="N35" i="58"/>
  <c r="P53" i="58"/>
  <c r="N55" i="58"/>
  <c r="N15" i="58"/>
  <c r="P33" i="58"/>
  <c r="N11" i="58"/>
  <c r="N24" i="58"/>
  <c r="N42" i="58"/>
  <c r="N62" i="58"/>
  <c r="N46" i="58"/>
  <c r="N66" i="58"/>
  <c r="M21" i="58"/>
  <c r="AA13" i="58"/>
  <c r="AB24" i="58"/>
  <c r="AA33" i="58"/>
  <c r="N37" i="58"/>
  <c r="AB42" i="58"/>
  <c r="AA53" i="58"/>
  <c r="N59" i="58"/>
  <c r="AB62" i="58"/>
  <c r="AA71" i="58"/>
  <c r="AB13" i="58"/>
  <c r="AA17" i="58"/>
  <c r="N41" i="58"/>
  <c r="AA44" i="58"/>
  <c r="N48" i="58"/>
  <c r="M50" i="58"/>
  <c r="AA15" i="58"/>
  <c r="AA35" i="58"/>
  <c r="N39" i="58"/>
  <c r="AA55" i="58"/>
  <c r="N61" i="58"/>
  <c r="P12" i="58"/>
  <c r="AA19" i="58"/>
  <c r="P23" i="58"/>
  <c r="AB26" i="58"/>
  <c r="AB46" i="58"/>
  <c r="AB66" i="58"/>
  <c r="N19" i="58"/>
  <c r="N6" i="58"/>
  <c r="M8" i="58"/>
  <c r="AA24" i="58"/>
  <c r="N28" i="58"/>
  <c r="N68" i="58"/>
  <c r="AA6" i="58"/>
  <c r="P10" i="58"/>
  <c r="AA28" i="58"/>
  <c r="P32" i="58"/>
  <c r="P52" i="58"/>
  <c r="P65" i="58"/>
  <c r="AA68" i="58"/>
  <c r="P70" i="58"/>
  <c r="E6" i="57"/>
  <c r="AA37" i="58"/>
  <c r="AA41" i="58"/>
  <c r="AA48" i="58"/>
  <c r="AB59" i="58"/>
  <c r="G6" i="57"/>
  <c r="AA66" i="58"/>
  <c r="AA39" i="58"/>
  <c r="AA61" i="58"/>
  <c r="X58" i="56"/>
  <c r="W58" i="56"/>
  <c r="E8" i="65" l="1"/>
  <c r="E7" i="63"/>
  <c r="F7" i="63"/>
  <c r="G7" i="63"/>
  <c r="K15" i="63"/>
  <c r="I8" i="63" s="1"/>
  <c r="I7" i="63"/>
  <c r="G8" i="63"/>
  <c r="E8" i="63"/>
  <c r="F8" i="63"/>
  <c r="P56" i="59"/>
  <c r="Q56" i="59"/>
  <c r="R49" i="59" s="1"/>
  <c r="Q25" i="59"/>
  <c r="R20" i="59" s="1"/>
  <c r="P25" i="59"/>
  <c r="P19" i="59"/>
  <c r="Q19" i="59"/>
  <c r="R13" i="59" s="1"/>
  <c r="Q76" i="59"/>
  <c r="R69" i="59" s="1"/>
  <c r="P76" i="59"/>
  <c r="P36" i="59"/>
  <c r="Q36" i="59"/>
  <c r="R26" i="59" s="1"/>
  <c r="P63" i="59"/>
  <c r="Q63" i="59"/>
  <c r="R57" i="59" s="1"/>
  <c r="P12" i="59"/>
  <c r="Q12" i="59"/>
  <c r="R9" i="59" s="1"/>
  <c r="D2" i="59"/>
  <c r="P8" i="59"/>
  <c r="Q8" i="59"/>
  <c r="R5" i="59" s="1"/>
  <c r="P68" i="59"/>
  <c r="Q68" i="59"/>
  <c r="R64" i="59" s="1"/>
  <c r="P48" i="59"/>
  <c r="Q48" i="59"/>
  <c r="R37" i="59" s="1"/>
  <c r="P60" i="58"/>
  <c r="Q60" i="58"/>
  <c r="Q59" i="58"/>
  <c r="P59" i="58"/>
  <c r="Q55" i="58"/>
  <c r="P55" i="58"/>
  <c r="AB8" i="58"/>
  <c r="AC5" i="58" s="1"/>
  <c r="AA8" i="58"/>
  <c r="N8" i="58"/>
  <c r="Q35" i="58"/>
  <c r="P35" i="58"/>
  <c r="Q14" i="58"/>
  <c r="P14" i="58"/>
  <c r="Q39" i="58"/>
  <c r="P39" i="58"/>
  <c r="Q49" i="58"/>
  <c r="P49" i="58"/>
  <c r="E14" i="57"/>
  <c r="E15" i="57" s="1"/>
  <c r="Q11" i="58"/>
  <c r="R9" i="58" s="1"/>
  <c r="P11" i="58"/>
  <c r="P41" i="58"/>
  <c r="Q41" i="58"/>
  <c r="Q28" i="58"/>
  <c r="P28" i="58"/>
  <c r="Q44" i="58"/>
  <c r="P44" i="58"/>
  <c r="Q17" i="58"/>
  <c r="P17" i="58"/>
  <c r="Q16" i="58"/>
  <c r="R12" i="58" s="1"/>
  <c r="P16" i="58"/>
  <c r="F14" i="57"/>
  <c r="F15" i="57" s="1"/>
  <c r="AB64" i="58"/>
  <c r="AC58" i="58" s="1"/>
  <c r="AA64" i="58"/>
  <c r="N64" i="58"/>
  <c r="Q61" i="58"/>
  <c r="P61" i="58"/>
  <c r="Q58" i="58"/>
  <c r="P58" i="58"/>
  <c r="Q54" i="58"/>
  <c r="P54" i="58"/>
  <c r="Q30" i="58"/>
  <c r="R22" i="58" s="1"/>
  <c r="P30" i="58"/>
  <c r="K14" i="57"/>
  <c r="P48" i="58"/>
  <c r="Q48" i="58"/>
  <c r="Q68" i="58"/>
  <c r="P68" i="58"/>
  <c r="Q15" i="58"/>
  <c r="P15" i="58"/>
  <c r="AB40" i="58"/>
  <c r="AC31" i="58" s="1"/>
  <c r="N40" i="58"/>
  <c r="AA40" i="58"/>
  <c r="Q19" i="58"/>
  <c r="P19" i="58"/>
  <c r="Q26" i="58"/>
  <c r="P26" i="58"/>
  <c r="Q72" i="58"/>
  <c r="R65" i="58" s="1"/>
  <c r="P72" i="58"/>
  <c r="M14" i="57"/>
  <c r="M15" i="57" s="1"/>
  <c r="AA21" i="58"/>
  <c r="N21" i="58"/>
  <c r="AB21" i="58"/>
  <c r="AC17" i="58" s="1"/>
  <c r="P66" i="58"/>
  <c r="Q66" i="58"/>
  <c r="P46" i="58"/>
  <c r="Q46" i="58"/>
  <c r="Q62" i="58"/>
  <c r="P62" i="58"/>
  <c r="Q42" i="58"/>
  <c r="P42" i="58"/>
  <c r="Q45" i="58"/>
  <c r="P45" i="58"/>
  <c r="AB57" i="58"/>
  <c r="AC51" i="58" s="1"/>
  <c r="AA57" i="58"/>
  <c r="N57" i="58"/>
  <c r="Q6" i="58"/>
  <c r="P6" i="58"/>
  <c r="Q34" i="58"/>
  <c r="P34" i="58"/>
  <c r="Q37" i="58"/>
  <c r="P37" i="58"/>
  <c r="P38" i="58"/>
  <c r="Q38" i="58"/>
  <c r="AA50" i="58"/>
  <c r="AB50" i="58"/>
  <c r="AC41" i="58" s="1"/>
  <c r="N50" i="58"/>
  <c r="Q24" i="58"/>
  <c r="P24" i="58"/>
  <c r="P51" i="58"/>
  <c r="Q51" i="58"/>
  <c r="O72" i="56"/>
  <c r="K72" i="56"/>
  <c r="V71" i="56"/>
  <c r="U71" i="56"/>
  <c r="O71" i="56"/>
  <c r="M71" i="56"/>
  <c r="K71" i="56"/>
  <c r="G71" i="56"/>
  <c r="AB70" i="56"/>
  <c r="X70" i="56"/>
  <c r="W70" i="56"/>
  <c r="V70" i="56"/>
  <c r="U70" i="56"/>
  <c r="O70" i="56"/>
  <c r="M70" i="56"/>
  <c r="AA70" i="56" s="1"/>
  <c r="K70" i="56"/>
  <c r="G70" i="56"/>
  <c r="V69" i="56"/>
  <c r="M69" i="56" s="1"/>
  <c r="N69" i="56" s="1"/>
  <c r="U69" i="56"/>
  <c r="O69" i="56"/>
  <c r="K69" i="56"/>
  <c r="G69" i="56"/>
  <c r="V68" i="56"/>
  <c r="U68" i="56"/>
  <c r="O68" i="56"/>
  <c r="M68" i="56"/>
  <c r="AB68" i="56" s="1"/>
  <c r="K68" i="56"/>
  <c r="G68" i="56"/>
  <c r="V67" i="56"/>
  <c r="M67" i="56" s="1"/>
  <c r="U67" i="56"/>
  <c r="O67" i="56"/>
  <c r="K67" i="56"/>
  <c r="G67" i="56"/>
  <c r="V66" i="56"/>
  <c r="U66" i="56"/>
  <c r="O66" i="56"/>
  <c r="M66" i="56"/>
  <c r="AB66" i="56" s="1"/>
  <c r="K66" i="56"/>
  <c r="G66" i="56"/>
  <c r="AB65" i="56"/>
  <c r="AA65" i="56"/>
  <c r="X65" i="56"/>
  <c r="W65" i="56"/>
  <c r="V65" i="56"/>
  <c r="O65" i="56"/>
  <c r="N65" i="56"/>
  <c r="Q65" i="56" s="1"/>
  <c r="M65" i="56"/>
  <c r="K65" i="56"/>
  <c r="G65" i="56"/>
  <c r="O64" i="56"/>
  <c r="M64" i="56"/>
  <c r="K64" i="56"/>
  <c r="AB63" i="56"/>
  <c r="AA63" i="56"/>
  <c r="V63" i="56"/>
  <c r="U63" i="56"/>
  <c r="O63" i="56"/>
  <c r="M63" i="56"/>
  <c r="N63" i="56" s="1"/>
  <c r="K63" i="56"/>
  <c r="G63" i="56"/>
  <c r="V62" i="56"/>
  <c r="U62" i="56"/>
  <c r="O62" i="56"/>
  <c r="M62" i="56"/>
  <c r="K62" i="56"/>
  <c r="G62" i="56"/>
  <c r="V61" i="56"/>
  <c r="U61" i="56"/>
  <c r="O61" i="56"/>
  <c r="N61" i="56"/>
  <c r="Q61" i="56" s="1"/>
  <c r="M61" i="56"/>
  <c r="AB61" i="56" s="1"/>
  <c r="K61" i="56"/>
  <c r="G61" i="56"/>
  <c r="V60" i="56"/>
  <c r="U60" i="56"/>
  <c r="O60" i="56"/>
  <c r="M60" i="56"/>
  <c r="K60" i="56"/>
  <c r="G60" i="56"/>
  <c r="V59" i="56"/>
  <c r="U59" i="56"/>
  <c r="O59" i="56"/>
  <c r="M59" i="56"/>
  <c r="AB59" i="56" s="1"/>
  <c r="K59" i="56"/>
  <c r="G59" i="56"/>
  <c r="AB58" i="56"/>
  <c r="AA58" i="56"/>
  <c r="V58" i="56"/>
  <c r="M58" i="56" s="1"/>
  <c r="N58" i="56" s="1"/>
  <c r="P58" i="56" s="1"/>
  <c r="Q58" i="56"/>
  <c r="O58" i="56"/>
  <c r="K58" i="56"/>
  <c r="G58" i="56"/>
  <c r="O57" i="56"/>
  <c r="K57" i="56"/>
  <c r="V56" i="56"/>
  <c r="M56" i="56" s="1"/>
  <c r="U56" i="56"/>
  <c r="O56" i="56"/>
  <c r="K56" i="56"/>
  <c r="G56" i="56"/>
  <c r="V55" i="56"/>
  <c r="U55" i="56"/>
  <c r="O55" i="56"/>
  <c r="M55" i="56"/>
  <c r="AB55" i="56" s="1"/>
  <c r="K55" i="56"/>
  <c r="G55" i="56"/>
  <c r="V54" i="56"/>
  <c r="M54" i="56" s="1"/>
  <c r="N54" i="56" s="1"/>
  <c r="P54" i="56" s="1"/>
  <c r="U54" i="56"/>
  <c r="Q54" i="56"/>
  <c r="O54" i="56"/>
  <c r="K54" i="56"/>
  <c r="G54" i="56"/>
  <c r="V53" i="56"/>
  <c r="U53" i="56"/>
  <c r="O53" i="56"/>
  <c r="M53" i="56"/>
  <c r="K53" i="56"/>
  <c r="G53" i="56"/>
  <c r="V52" i="56"/>
  <c r="M52" i="56" s="1"/>
  <c r="N52" i="56" s="1"/>
  <c r="U52" i="56"/>
  <c r="O52" i="56"/>
  <c r="K52" i="56"/>
  <c r="G52" i="56"/>
  <c r="V51" i="56"/>
  <c r="O51" i="56"/>
  <c r="M51" i="56"/>
  <c r="K51" i="56"/>
  <c r="G51" i="56"/>
  <c r="O50" i="56"/>
  <c r="K50" i="56"/>
  <c r="V49" i="56"/>
  <c r="U49" i="56"/>
  <c r="O49" i="56"/>
  <c r="M49" i="56"/>
  <c r="K49" i="56"/>
  <c r="G49" i="56"/>
  <c r="AB48" i="56"/>
  <c r="V48" i="56"/>
  <c r="U48" i="56"/>
  <c r="O48" i="56"/>
  <c r="M48" i="56"/>
  <c r="AA48" i="56" s="1"/>
  <c r="K48" i="56"/>
  <c r="G48" i="56"/>
  <c r="X47" i="56"/>
  <c r="W47" i="56"/>
  <c r="V47" i="56"/>
  <c r="M47" i="56" s="1"/>
  <c r="U47" i="56"/>
  <c r="O47" i="56"/>
  <c r="N47" i="56"/>
  <c r="P47" i="56" s="1"/>
  <c r="K47" i="56"/>
  <c r="G47" i="56"/>
  <c r="V46" i="56"/>
  <c r="U46" i="56"/>
  <c r="O46" i="56"/>
  <c r="M46" i="56"/>
  <c r="AB46" i="56" s="1"/>
  <c r="K46" i="56"/>
  <c r="G46" i="56"/>
  <c r="V45" i="56"/>
  <c r="M45" i="56" s="1"/>
  <c r="N45" i="56" s="1"/>
  <c r="U45" i="56"/>
  <c r="Q45" i="56"/>
  <c r="P45" i="56"/>
  <c r="O45" i="56"/>
  <c r="K45" i="56"/>
  <c r="G45" i="56"/>
  <c r="V44" i="56"/>
  <c r="U44" i="56"/>
  <c r="O44" i="56"/>
  <c r="M44" i="56"/>
  <c r="AB44" i="56" s="1"/>
  <c r="K44" i="56"/>
  <c r="G44" i="56"/>
  <c r="AB43" i="56"/>
  <c r="AA43" i="56"/>
  <c r="V43" i="56"/>
  <c r="M43" i="56" s="1"/>
  <c r="N43" i="56" s="1"/>
  <c r="U43" i="56"/>
  <c r="O43" i="56"/>
  <c r="K43" i="56"/>
  <c r="G43" i="56"/>
  <c r="V42" i="56"/>
  <c r="U42" i="56"/>
  <c r="O42" i="56"/>
  <c r="M42" i="56"/>
  <c r="K42" i="56"/>
  <c r="G42" i="56"/>
  <c r="AB41" i="56"/>
  <c r="V41" i="56"/>
  <c r="O41" i="56"/>
  <c r="M41" i="56"/>
  <c r="AA41" i="56" s="1"/>
  <c r="K41" i="56"/>
  <c r="G41" i="56"/>
  <c r="O40" i="56"/>
  <c r="K40" i="56"/>
  <c r="AB39" i="56"/>
  <c r="AA39" i="56"/>
  <c r="V39" i="56"/>
  <c r="U39" i="56"/>
  <c r="O39" i="56"/>
  <c r="M39" i="56"/>
  <c r="N39" i="56" s="1"/>
  <c r="K39" i="56"/>
  <c r="G39" i="56"/>
  <c r="V38" i="56"/>
  <c r="U38" i="56"/>
  <c r="O38" i="56"/>
  <c r="M38" i="56"/>
  <c r="K38" i="56"/>
  <c r="G38" i="56"/>
  <c r="V37" i="56"/>
  <c r="U37" i="56"/>
  <c r="O37" i="56"/>
  <c r="N37" i="56"/>
  <c r="Q37" i="56" s="1"/>
  <c r="M37" i="56"/>
  <c r="AB37" i="56" s="1"/>
  <c r="K37" i="56"/>
  <c r="G37" i="56"/>
  <c r="X36" i="56"/>
  <c r="W36" i="56"/>
  <c r="V36" i="56"/>
  <c r="M36" i="56" s="1"/>
  <c r="U36" i="56"/>
  <c r="O36" i="56"/>
  <c r="K36" i="56"/>
  <c r="G36" i="56"/>
  <c r="V35" i="56"/>
  <c r="U35" i="56"/>
  <c r="O35" i="56"/>
  <c r="M35" i="56"/>
  <c r="AB35" i="56" s="1"/>
  <c r="K35" i="56"/>
  <c r="G35" i="56"/>
  <c r="AA34" i="56"/>
  <c r="V34" i="56"/>
  <c r="M34" i="56" s="1"/>
  <c r="N34" i="56" s="1"/>
  <c r="P34" i="56" s="1"/>
  <c r="U34" i="56"/>
  <c r="Q34" i="56"/>
  <c r="O34" i="56"/>
  <c r="K34" i="56"/>
  <c r="G34" i="56"/>
  <c r="V33" i="56"/>
  <c r="U33" i="56"/>
  <c r="O33" i="56"/>
  <c r="M33" i="56"/>
  <c r="K33" i="56"/>
  <c r="G33" i="56"/>
  <c r="V32" i="56"/>
  <c r="M32" i="56" s="1"/>
  <c r="N32" i="56" s="1"/>
  <c r="U32" i="56"/>
  <c r="O32" i="56"/>
  <c r="K32" i="56"/>
  <c r="G32" i="56"/>
  <c r="X31" i="56"/>
  <c r="W31" i="56"/>
  <c r="V31" i="56"/>
  <c r="O31" i="56"/>
  <c r="M31" i="56"/>
  <c r="K31" i="56"/>
  <c r="G31" i="56"/>
  <c r="O30" i="56"/>
  <c r="K30" i="56"/>
  <c r="V29" i="56"/>
  <c r="U29" i="56"/>
  <c r="Q29" i="56"/>
  <c r="P29" i="56"/>
  <c r="O29" i="56"/>
  <c r="N29" i="56"/>
  <c r="M29" i="56"/>
  <c r="K29" i="56"/>
  <c r="G29" i="56"/>
  <c r="V28" i="56"/>
  <c r="U28" i="56"/>
  <c r="O28" i="56"/>
  <c r="M28" i="56"/>
  <c r="AB28" i="56" s="1"/>
  <c r="K28" i="56"/>
  <c r="G28" i="56"/>
  <c r="V27" i="56"/>
  <c r="M27" i="56" s="1"/>
  <c r="U27" i="56"/>
  <c r="O27" i="56"/>
  <c r="N27" i="56"/>
  <c r="Q27" i="56" s="1"/>
  <c r="K27" i="56"/>
  <c r="G27" i="56"/>
  <c r="X26" i="56"/>
  <c r="W26" i="56"/>
  <c r="V26" i="56"/>
  <c r="U26" i="56"/>
  <c r="O26" i="56"/>
  <c r="M26" i="56"/>
  <c r="AB26" i="56" s="1"/>
  <c r="K26" i="56"/>
  <c r="G26" i="56"/>
  <c r="V25" i="56"/>
  <c r="M25" i="56" s="1"/>
  <c r="N25" i="56" s="1"/>
  <c r="U25" i="56"/>
  <c r="O25" i="56"/>
  <c r="K25" i="56"/>
  <c r="G25" i="56"/>
  <c r="V24" i="56"/>
  <c r="U24" i="56"/>
  <c r="O24" i="56"/>
  <c r="M24" i="56"/>
  <c r="K24" i="56"/>
  <c r="G24" i="56"/>
  <c r="AB23" i="56"/>
  <c r="AA23" i="56"/>
  <c r="V23" i="56"/>
  <c r="U23" i="56"/>
  <c r="O23" i="56"/>
  <c r="M23" i="56"/>
  <c r="N23" i="56" s="1"/>
  <c r="K23" i="56"/>
  <c r="G23" i="56"/>
  <c r="X22" i="56"/>
  <c r="W22" i="56"/>
  <c r="V22" i="56"/>
  <c r="M22" i="56" s="1"/>
  <c r="O22" i="56"/>
  <c r="N22" i="56"/>
  <c r="P22" i="56" s="1"/>
  <c r="K22" i="56"/>
  <c r="G22" i="56"/>
  <c r="O21" i="56"/>
  <c r="K21" i="56"/>
  <c r="V20" i="56"/>
  <c r="U20" i="56"/>
  <c r="O20" i="56"/>
  <c r="M20" i="56"/>
  <c r="N20" i="56" s="1"/>
  <c r="K20" i="56"/>
  <c r="G20" i="56"/>
  <c r="V19" i="56"/>
  <c r="U19" i="56"/>
  <c r="O19" i="56"/>
  <c r="M19" i="56"/>
  <c r="AB19" i="56" s="1"/>
  <c r="K19" i="56"/>
  <c r="G19" i="56"/>
  <c r="V18" i="56"/>
  <c r="M18" i="56" s="1"/>
  <c r="U18" i="56"/>
  <c r="O18" i="56"/>
  <c r="K18" i="56"/>
  <c r="G18" i="56"/>
  <c r="V17" i="56"/>
  <c r="O17" i="56"/>
  <c r="M17" i="56"/>
  <c r="AB17" i="56" s="1"/>
  <c r="K17" i="56"/>
  <c r="G17" i="56"/>
  <c r="O16" i="56"/>
  <c r="K16" i="56"/>
  <c r="V15" i="56"/>
  <c r="U15" i="56"/>
  <c r="O15" i="56"/>
  <c r="M15" i="56"/>
  <c r="AB15" i="56" s="1"/>
  <c r="K15" i="56"/>
  <c r="G15" i="56"/>
  <c r="V14" i="56"/>
  <c r="M14" i="56" s="1"/>
  <c r="N14" i="56" s="1"/>
  <c r="P14" i="56" s="1"/>
  <c r="U14" i="56"/>
  <c r="O14" i="56"/>
  <c r="K14" i="56"/>
  <c r="G14" i="56"/>
  <c r="V13" i="56"/>
  <c r="U13" i="56"/>
  <c r="O13" i="56"/>
  <c r="M13" i="56"/>
  <c r="K13" i="56"/>
  <c r="G13" i="56"/>
  <c r="AB12" i="56"/>
  <c r="AA12" i="56"/>
  <c r="V12" i="56"/>
  <c r="O12" i="56"/>
  <c r="M12" i="56"/>
  <c r="M16" i="56" s="1"/>
  <c r="N16" i="56" s="1"/>
  <c r="Q16" i="56" s="1"/>
  <c r="R12" i="56" s="1"/>
  <c r="K12" i="56"/>
  <c r="G12" i="56"/>
  <c r="O11" i="56"/>
  <c r="K11" i="56"/>
  <c r="V10" i="56"/>
  <c r="M10" i="56" s="1"/>
  <c r="N10" i="56" s="1"/>
  <c r="U10" i="56"/>
  <c r="O10" i="56"/>
  <c r="K10" i="56"/>
  <c r="G10" i="56"/>
  <c r="X9" i="56"/>
  <c r="W9" i="56"/>
  <c r="V9" i="56"/>
  <c r="Q9" i="56"/>
  <c r="P9" i="56"/>
  <c r="O9" i="56"/>
  <c r="N9" i="56"/>
  <c r="M9" i="56"/>
  <c r="M11" i="56" s="1"/>
  <c r="K9" i="56"/>
  <c r="G9" i="56"/>
  <c r="O8" i="56"/>
  <c r="K8" i="56"/>
  <c r="V7" i="56"/>
  <c r="U7" i="56"/>
  <c r="O7" i="56"/>
  <c r="M7" i="56"/>
  <c r="N7" i="56" s="1"/>
  <c r="K7" i="56"/>
  <c r="G7" i="56"/>
  <c r="V6" i="56"/>
  <c r="U6" i="56"/>
  <c r="O6" i="56"/>
  <c r="M6" i="56"/>
  <c r="AB6" i="56" s="1"/>
  <c r="K6" i="56"/>
  <c r="G6" i="56"/>
  <c r="V5" i="56"/>
  <c r="M5" i="56" s="1"/>
  <c r="O5" i="56"/>
  <c r="K5" i="56"/>
  <c r="G5" i="56"/>
  <c r="H2" i="56"/>
  <c r="H1" i="56"/>
  <c r="D1" i="56"/>
  <c r="M18" i="55"/>
  <c r="L18" i="55"/>
  <c r="K18" i="55"/>
  <c r="J18" i="55"/>
  <c r="I18" i="55"/>
  <c r="H18" i="55"/>
  <c r="G18" i="55"/>
  <c r="F18" i="55"/>
  <c r="E18" i="55"/>
  <c r="D18" i="55"/>
  <c r="M17" i="55"/>
  <c r="L17" i="55"/>
  <c r="K17" i="55"/>
  <c r="J17" i="55"/>
  <c r="I17" i="55"/>
  <c r="H17" i="55"/>
  <c r="G17" i="55"/>
  <c r="F17" i="55"/>
  <c r="E17" i="55"/>
  <c r="D17" i="55"/>
  <c r="M16" i="55"/>
  <c r="L16" i="55"/>
  <c r="K16" i="55"/>
  <c r="J16" i="55"/>
  <c r="I16" i="55"/>
  <c r="H16" i="55"/>
  <c r="G16" i="55"/>
  <c r="F16" i="55"/>
  <c r="E16" i="55"/>
  <c r="D16" i="55"/>
  <c r="M13" i="55"/>
  <c r="L13" i="55"/>
  <c r="K13" i="55"/>
  <c r="J13" i="55"/>
  <c r="I13" i="55"/>
  <c r="H13" i="55"/>
  <c r="G13" i="55"/>
  <c r="F13" i="55"/>
  <c r="E13" i="55"/>
  <c r="D13" i="55"/>
  <c r="F6" i="55" s="1"/>
  <c r="F3" i="55"/>
  <c r="C3" i="55"/>
  <c r="G6" i="55" l="1"/>
  <c r="E6" i="55"/>
  <c r="Q50" i="58"/>
  <c r="R41" i="58" s="1"/>
  <c r="P50" i="58"/>
  <c r="H14" i="57"/>
  <c r="H15" i="57" s="1"/>
  <c r="Q64" i="58"/>
  <c r="R58" i="58" s="1"/>
  <c r="J14" i="57"/>
  <c r="J15" i="57" s="1"/>
  <c r="P64" i="58"/>
  <c r="L14" i="57"/>
  <c r="L15" i="57" s="1"/>
  <c r="P40" i="58"/>
  <c r="Q40" i="58"/>
  <c r="R31" i="58" s="1"/>
  <c r="K15" i="57"/>
  <c r="P57" i="58"/>
  <c r="Q57" i="58"/>
  <c r="R51" i="58" s="1"/>
  <c r="I14" i="57"/>
  <c r="I15" i="57" s="1"/>
  <c r="D14" i="57"/>
  <c r="Q8" i="58"/>
  <c r="R5" i="58" s="1"/>
  <c r="P8" i="58"/>
  <c r="D2" i="58"/>
  <c r="Q21" i="58"/>
  <c r="R17" i="58" s="1"/>
  <c r="P21" i="58"/>
  <c r="G14" i="57"/>
  <c r="G15" i="57" s="1"/>
  <c r="Q69" i="56"/>
  <c r="P69" i="56"/>
  <c r="Q20" i="56"/>
  <c r="P20" i="56"/>
  <c r="Q7" i="56"/>
  <c r="P7" i="56"/>
  <c r="AB11" i="56"/>
  <c r="AC9" i="56" s="1"/>
  <c r="AA11" i="56"/>
  <c r="N11" i="56"/>
  <c r="AB53" i="56"/>
  <c r="AA53" i="56"/>
  <c r="N53" i="56"/>
  <c r="M72" i="56"/>
  <c r="P27" i="56"/>
  <c r="AB62" i="56"/>
  <c r="AA62" i="56"/>
  <c r="I6" i="55"/>
  <c r="N62" i="56"/>
  <c r="Q47" i="56"/>
  <c r="AB10" i="56"/>
  <c r="AB71" i="56"/>
  <c r="AA71" i="56"/>
  <c r="Q23" i="56"/>
  <c r="P23" i="56"/>
  <c r="N71" i="56"/>
  <c r="AB24" i="56"/>
  <c r="AA24" i="56"/>
  <c r="Q32" i="56"/>
  <c r="P32" i="56"/>
  <c r="AB49" i="56"/>
  <c r="AA49" i="56"/>
  <c r="AB52" i="56"/>
  <c r="F14" i="55"/>
  <c r="F15" i="55" s="1"/>
  <c r="Q22" i="56"/>
  <c r="AB33" i="56"/>
  <c r="AA33" i="56"/>
  <c r="N33" i="56"/>
  <c r="AB13" i="56"/>
  <c r="AA13" i="56"/>
  <c r="N13" i="56"/>
  <c r="AA10" i="56"/>
  <c r="AA25" i="56"/>
  <c r="AB25" i="56"/>
  <c r="Q14" i="56"/>
  <c r="AA45" i="56"/>
  <c r="AA54" i="56"/>
  <c r="Q52" i="56"/>
  <c r="P52" i="56"/>
  <c r="AB64" i="56"/>
  <c r="AC58" i="56" s="1"/>
  <c r="AA64" i="56"/>
  <c r="N67" i="56"/>
  <c r="AB67" i="56"/>
  <c r="AB7" i="56"/>
  <c r="AA7" i="56"/>
  <c r="AA67" i="56"/>
  <c r="P16" i="56"/>
  <c r="M30" i="56"/>
  <c r="AB22" i="56"/>
  <c r="AA22" i="56"/>
  <c r="AB27" i="56"/>
  <c r="AA27" i="56"/>
  <c r="AB31" i="56"/>
  <c r="AA31" i="56"/>
  <c r="N56" i="56"/>
  <c r="AB56" i="56"/>
  <c r="AA16" i="56"/>
  <c r="N31" i="56"/>
  <c r="AB42" i="56"/>
  <c r="AA42" i="56"/>
  <c r="AB47" i="56"/>
  <c r="AA47" i="56"/>
  <c r="AA56" i="56"/>
  <c r="AB60" i="56"/>
  <c r="AA60" i="56"/>
  <c r="Q10" i="56"/>
  <c r="P10" i="56"/>
  <c r="AB16" i="56"/>
  <c r="AC12" i="56" s="1"/>
  <c r="Q25" i="56"/>
  <c r="P25" i="56"/>
  <c r="N36" i="56"/>
  <c r="AB36" i="56"/>
  <c r="AA36" i="56"/>
  <c r="Q39" i="56"/>
  <c r="P39" i="56"/>
  <c r="N42" i="56"/>
  <c r="AB51" i="56"/>
  <c r="AA51" i="56"/>
  <c r="M57" i="56"/>
  <c r="N60" i="56"/>
  <c r="N51" i="56"/>
  <c r="AB20" i="56"/>
  <c r="AA20" i="56"/>
  <c r="Q63" i="56"/>
  <c r="P63" i="56"/>
  <c r="AB45" i="56"/>
  <c r="AB54" i="56"/>
  <c r="N18" i="56"/>
  <c r="AB18" i="56"/>
  <c r="N24" i="56"/>
  <c r="AA32" i="56"/>
  <c r="AB38" i="56"/>
  <c r="AA38" i="56"/>
  <c r="N49" i="56"/>
  <c r="AA18" i="56"/>
  <c r="AB32" i="56"/>
  <c r="N38" i="56"/>
  <c r="N5" i="56"/>
  <c r="M8" i="56"/>
  <c r="AB5" i="56"/>
  <c r="AA5" i="56"/>
  <c r="AB9" i="56"/>
  <c r="AA9" i="56"/>
  <c r="AA14" i="56"/>
  <c r="AB29" i="56"/>
  <c r="AA29" i="56"/>
  <c r="AB34" i="56"/>
  <c r="M40" i="56"/>
  <c r="AA52" i="56"/>
  <c r="N64" i="56"/>
  <c r="AB69" i="56"/>
  <c r="AA69" i="56"/>
  <c r="F1" i="56"/>
  <c r="AB14" i="56"/>
  <c r="Q43" i="56"/>
  <c r="P43" i="56"/>
  <c r="N17" i="56"/>
  <c r="N26" i="56"/>
  <c r="N44" i="56"/>
  <c r="N66" i="56"/>
  <c r="N15" i="56"/>
  <c r="N35" i="56"/>
  <c r="N55" i="56"/>
  <c r="N46" i="56"/>
  <c r="N68" i="56"/>
  <c r="N19" i="56"/>
  <c r="M21" i="56"/>
  <c r="N59" i="56"/>
  <c r="N6" i="56"/>
  <c r="N28" i="56"/>
  <c r="N70" i="56"/>
  <c r="AA17" i="56"/>
  <c r="N41" i="56"/>
  <c r="AA44" i="56"/>
  <c r="N48" i="56"/>
  <c r="M50" i="56"/>
  <c r="AA66" i="56"/>
  <c r="N12" i="56"/>
  <c r="AA15" i="56"/>
  <c r="AA35" i="56"/>
  <c r="P37" i="56"/>
  <c r="AA55" i="56"/>
  <c r="P61" i="56"/>
  <c r="AA26" i="56"/>
  <c r="AA46" i="56"/>
  <c r="P65" i="56"/>
  <c r="AA68" i="56"/>
  <c r="AA19" i="56"/>
  <c r="AA59" i="56"/>
  <c r="AA6" i="56"/>
  <c r="AA28" i="56"/>
  <c r="AA37" i="56"/>
  <c r="AA61" i="56"/>
  <c r="O66" i="54"/>
  <c r="K66" i="54"/>
  <c r="V65" i="54"/>
  <c r="U65" i="54"/>
  <c r="O65" i="54"/>
  <c r="N65" i="54"/>
  <c r="Q65" i="54" s="1"/>
  <c r="M65" i="54"/>
  <c r="K65" i="54"/>
  <c r="G65" i="54"/>
  <c r="AB64" i="54"/>
  <c r="AA64" i="54"/>
  <c r="V64" i="54"/>
  <c r="U64" i="54"/>
  <c r="O64" i="54"/>
  <c r="N64" i="54"/>
  <c r="Q64" i="54" s="1"/>
  <c r="M64" i="54"/>
  <c r="K64" i="54"/>
  <c r="G64" i="54"/>
  <c r="V63" i="54"/>
  <c r="U63" i="54"/>
  <c r="O63" i="54"/>
  <c r="M63" i="54"/>
  <c r="K63" i="54"/>
  <c r="G63" i="54"/>
  <c r="V62" i="54"/>
  <c r="U62" i="54"/>
  <c r="O62" i="54"/>
  <c r="M62" i="54"/>
  <c r="AA62" i="54" s="1"/>
  <c r="K62" i="54"/>
  <c r="G62" i="54"/>
  <c r="X61" i="54"/>
  <c r="W61" i="54"/>
  <c r="V61" i="54"/>
  <c r="M61" i="54" s="1"/>
  <c r="O61" i="54"/>
  <c r="K61" i="54"/>
  <c r="G61" i="54"/>
  <c r="O60" i="54"/>
  <c r="K60" i="54"/>
  <c r="AB59" i="54"/>
  <c r="V59" i="54"/>
  <c r="M59" i="54" s="1"/>
  <c r="N59" i="54" s="1"/>
  <c r="U59" i="54"/>
  <c r="Q59" i="54"/>
  <c r="P59" i="54"/>
  <c r="O59" i="54"/>
  <c r="K59" i="54"/>
  <c r="G59" i="54"/>
  <c r="V58" i="54"/>
  <c r="U58" i="54"/>
  <c r="O58" i="54"/>
  <c r="M58" i="54"/>
  <c r="K58" i="54"/>
  <c r="G58" i="54"/>
  <c r="AA57" i="54"/>
  <c r="V57" i="54"/>
  <c r="M57" i="54" s="1"/>
  <c r="N57" i="54" s="1"/>
  <c r="U57" i="54"/>
  <c r="O57" i="54"/>
  <c r="K57" i="54"/>
  <c r="G57" i="54"/>
  <c r="V56" i="54"/>
  <c r="U56" i="54"/>
  <c r="O56" i="54"/>
  <c r="M56" i="54"/>
  <c r="K56" i="54"/>
  <c r="G56" i="54"/>
  <c r="AB55" i="54"/>
  <c r="AA55" i="54"/>
  <c r="V55" i="54"/>
  <c r="U55" i="54"/>
  <c r="O55" i="54"/>
  <c r="M55" i="54"/>
  <c r="N55" i="54" s="1"/>
  <c r="K55" i="54"/>
  <c r="G55" i="54"/>
  <c r="X54" i="54"/>
  <c r="W54" i="54"/>
  <c r="V54" i="54"/>
  <c r="M54" i="54" s="1"/>
  <c r="N54" i="54" s="1"/>
  <c r="O54" i="54"/>
  <c r="K54" i="54"/>
  <c r="G54" i="54"/>
  <c r="O53" i="54"/>
  <c r="K53" i="54"/>
  <c r="V52" i="54"/>
  <c r="M52" i="54" s="1"/>
  <c r="U52" i="54"/>
  <c r="O52" i="54"/>
  <c r="K52" i="54"/>
  <c r="G52" i="54"/>
  <c r="V51" i="54"/>
  <c r="U51" i="54"/>
  <c r="O51" i="54"/>
  <c r="M51" i="54"/>
  <c r="AB51" i="54" s="1"/>
  <c r="K51" i="54"/>
  <c r="G51" i="54"/>
  <c r="V50" i="54"/>
  <c r="M50" i="54" s="1"/>
  <c r="N50" i="54" s="1"/>
  <c r="U50" i="54"/>
  <c r="Q50" i="54"/>
  <c r="P50" i="54"/>
  <c r="O50" i="54"/>
  <c r="K50" i="54"/>
  <c r="G50" i="54"/>
  <c r="V49" i="54"/>
  <c r="U49" i="54"/>
  <c r="O49" i="54"/>
  <c r="M49" i="54"/>
  <c r="N49" i="54" s="1"/>
  <c r="K49" i="54"/>
  <c r="G49" i="54"/>
  <c r="AB48" i="54"/>
  <c r="AA48" i="54"/>
  <c r="V48" i="54"/>
  <c r="M48" i="54" s="1"/>
  <c r="N48" i="54" s="1"/>
  <c r="P48" i="54" s="1"/>
  <c r="U48" i="54"/>
  <c r="Q48" i="54"/>
  <c r="O48" i="54"/>
  <c r="K48" i="54"/>
  <c r="G48" i="54"/>
  <c r="V47" i="54"/>
  <c r="O47" i="54"/>
  <c r="M47" i="54"/>
  <c r="K47" i="54"/>
  <c r="G47" i="54"/>
  <c r="O46" i="54"/>
  <c r="K46" i="54"/>
  <c r="V45" i="54"/>
  <c r="U45" i="54"/>
  <c r="O45" i="54"/>
  <c r="N45" i="54"/>
  <c r="M45" i="54"/>
  <c r="K45" i="54"/>
  <c r="G45" i="54"/>
  <c r="V44" i="54"/>
  <c r="M44" i="54" s="1"/>
  <c r="N44" i="54" s="1"/>
  <c r="U44" i="54"/>
  <c r="O44" i="54"/>
  <c r="K44" i="54"/>
  <c r="G44" i="54"/>
  <c r="X43" i="54"/>
  <c r="W43" i="54"/>
  <c r="V43" i="54"/>
  <c r="U43" i="54"/>
  <c r="O43" i="54"/>
  <c r="M43" i="54"/>
  <c r="K43" i="54"/>
  <c r="G43" i="54"/>
  <c r="V42" i="54"/>
  <c r="U42" i="54"/>
  <c r="O42" i="54"/>
  <c r="M42" i="54"/>
  <c r="AB42" i="54" s="1"/>
  <c r="K42" i="54"/>
  <c r="G42" i="54"/>
  <c r="V41" i="54"/>
  <c r="M41" i="54" s="1"/>
  <c r="AB41" i="54" s="1"/>
  <c r="U41" i="54"/>
  <c r="O41" i="54"/>
  <c r="K41" i="54"/>
  <c r="G41" i="54"/>
  <c r="V40" i="54"/>
  <c r="U40" i="54"/>
  <c r="O40" i="54"/>
  <c r="M40" i="54"/>
  <c r="AB40" i="54" s="1"/>
  <c r="K40" i="54"/>
  <c r="G40" i="54"/>
  <c r="V39" i="54"/>
  <c r="M39" i="54" s="1"/>
  <c r="N39" i="54" s="1"/>
  <c r="U39" i="54"/>
  <c r="Q39" i="54"/>
  <c r="P39" i="54"/>
  <c r="O39" i="54"/>
  <c r="K39" i="54"/>
  <c r="G39" i="54"/>
  <c r="V38" i="54"/>
  <c r="U38" i="54"/>
  <c r="O38" i="54"/>
  <c r="M38" i="54"/>
  <c r="K38" i="54"/>
  <c r="G38" i="54"/>
  <c r="AB37" i="54"/>
  <c r="AA37" i="54"/>
  <c r="V37" i="54"/>
  <c r="M37" i="54" s="1"/>
  <c r="O37" i="54"/>
  <c r="K37" i="54"/>
  <c r="G37" i="54"/>
  <c r="O36" i="54"/>
  <c r="K36" i="54"/>
  <c r="L13" i="53" s="1"/>
  <c r="V35" i="54"/>
  <c r="M35" i="54" s="1"/>
  <c r="N35" i="54" s="1"/>
  <c r="U35" i="54"/>
  <c r="O35" i="54"/>
  <c r="K35" i="54"/>
  <c r="G35" i="54"/>
  <c r="V34" i="54"/>
  <c r="U34" i="54"/>
  <c r="O34" i="54"/>
  <c r="M34" i="54"/>
  <c r="K34" i="54"/>
  <c r="G34" i="54"/>
  <c r="AB33" i="54"/>
  <c r="AA33" i="54"/>
  <c r="V33" i="54"/>
  <c r="U33" i="54"/>
  <c r="O33" i="54"/>
  <c r="M33" i="54"/>
  <c r="N33" i="54" s="1"/>
  <c r="K33" i="54"/>
  <c r="G33" i="54"/>
  <c r="V32" i="54"/>
  <c r="U32" i="54"/>
  <c r="Q32" i="54"/>
  <c r="O32" i="54"/>
  <c r="N32" i="54"/>
  <c r="P32" i="54" s="1"/>
  <c r="M32" i="54"/>
  <c r="K32" i="54"/>
  <c r="G32" i="54"/>
  <c r="V31" i="54"/>
  <c r="U31" i="54"/>
  <c r="O31" i="54"/>
  <c r="M31" i="54"/>
  <c r="AB31" i="54" s="1"/>
  <c r="K31" i="54"/>
  <c r="G31" i="54"/>
  <c r="X30" i="54"/>
  <c r="W30" i="54"/>
  <c r="V30" i="54"/>
  <c r="M30" i="54" s="1"/>
  <c r="AA30" i="54" s="1"/>
  <c r="O30" i="54"/>
  <c r="K30" i="54"/>
  <c r="G30" i="54"/>
  <c r="O29" i="54"/>
  <c r="K29" i="54"/>
  <c r="V28" i="54"/>
  <c r="M28" i="54" s="1"/>
  <c r="N28" i="54" s="1"/>
  <c r="Q28" i="54" s="1"/>
  <c r="U28" i="54"/>
  <c r="O28" i="54"/>
  <c r="K28" i="54"/>
  <c r="G28" i="54"/>
  <c r="X27" i="54"/>
  <c r="W27" i="54"/>
  <c r="V27" i="54"/>
  <c r="U27" i="54"/>
  <c r="O27" i="54"/>
  <c r="M27" i="54"/>
  <c r="K27" i="54"/>
  <c r="G27" i="54"/>
  <c r="AB26" i="54"/>
  <c r="V26" i="54"/>
  <c r="M26" i="54" s="1"/>
  <c r="N26" i="54" s="1"/>
  <c r="U26" i="54"/>
  <c r="O26" i="54"/>
  <c r="K26" i="54"/>
  <c r="G26" i="54"/>
  <c r="V25" i="54"/>
  <c r="U25" i="54"/>
  <c r="O25" i="54"/>
  <c r="M25" i="54"/>
  <c r="N25" i="54" s="1"/>
  <c r="K25" i="54"/>
  <c r="G25" i="54"/>
  <c r="AB24" i="54"/>
  <c r="AA24" i="54"/>
  <c r="V24" i="54"/>
  <c r="U24" i="54"/>
  <c r="O24" i="54"/>
  <c r="N24" i="54"/>
  <c r="Q24" i="54" s="1"/>
  <c r="M24" i="54"/>
  <c r="K24" i="54"/>
  <c r="G24" i="54"/>
  <c r="X23" i="54"/>
  <c r="W23" i="54"/>
  <c r="V23" i="54"/>
  <c r="M23" i="54" s="1"/>
  <c r="O23" i="54"/>
  <c r="K23" i="54"/>
  <c r="G23" i="54"/>
  <c r="O22" i="54"/>
  <c r="K22" i="54"/>
  <c r="AB21" i="54"/>
  <c r="AA21" i="54"/>
  <c r="V21" i="54"/>
  <c r="M21" i="54" s="1"/>
  <c r="U21" i="54"/>
  <c r="Q21" i="54"/>
  <c r="O21" i="54"/>
  <c r="N21" i="54"/>
  <c r="P21" i="54" s="1"/>
  <c r="K21" i="54"/>
  <c r="G21" i="54"/>
  <c r="V20" i="54"/>
  <c r="U20" i="54"/>
  <c r="O20" i="54"/>
  <c r="M20" i="54"/>
  <c r="N20" i="54" s="1"/>
  <c r="K20" i="54"/>
  <c r="G20" i="54"/>
  <c r="V19" i="54"/>
  <c r="M19" i="54" s="1"/>
  <c r="N19" i="54" s="1"/>
  <c r="U19" i="54"/>
  <c r="Q19" i="54"/>
  <c r="P19" i="54"/>
  <c r="O19" i="54"/>
  <c r="K19" i="54"/>
  <c r="G19" i="54"/>
  <c r="V18" i="54"/>
  <c r="U18" i="54"/>
  <c r="O18" i="54"/>
  <c r="N18" i="54"/>
  <c r="M18" i="54"/>
  <c r="K18" i="54"/>
  <c r="G18" i="54"/>
  <c r="V17" i="54"/>
  <c r="M17" i="54" s="1"/>
  <c r="O17" i="54"/>
  <c r="K17" i="54"/>
  <c r="G17" i="54"/>
  <c r="O16" i="54"/>
  <c r="M16" i="54"/>
  <c r="K16" i="54"/>
  <c r="AB15" i="54"/>
  <c r="AA15" i="54"/>
  <c r="V15" i="54"/>
  <c r="M15" i="54" s="1"/>
  <c r="N15" i="54" s="1"/>
  <c r="U15" i="54"/>
  <c r="O15" i="54"/>
  <c r="K15" i="54"/>
  <c r="G15" i="54"/>
  <c r="V14" i="54"/>
  <c r="U14" i="54"/>
  <c r="O14" i="54"/>
  <c r="M14" i="54"/>
  <c r="K14" i="54"/>
  <c r="G14" i="54"/>
  <c r="AB13" i="54"/>
  <c r="AA13" i="54"/>
  <c r="V13" i="54"/>
  <c r="U13" i="54"/>
  <c r="O13" i="54"/>
  <c r="M13" i="54"/>
  <c r="N13" i="54" s="1"/>
  <c r="K13" i="54"/>
  <c r="G13" i="54"/>
  <c r="V12" i="54"/>
  <c r="O12" i="54"/>
  <c r="M12" i="54"/>
  <c r="K12" i="54"/>
  <c r="G12" i="54"/>
  <c r="O11" i="54"/>
  <c r="K11" i="54"/>
  <c r="V10" i="54"/>
  <c r="U10" i="54"/>
  <c r="O10" i="54"/>
  <c r="M10" i="54"/>
  <c r="K10" i="54"/>
  <c r="G10" i="54"/>
  <c r="X9" i="54"/>
  <c r="W9" i="54"/>
  <c r="V9" i="54"/>
  <c r="O9" i="54"/>
  <c r="M9" i="54"/>
  <c r="AA9" i="54" s="1"/>
  <c r="K9" i="54"/>
  <c r="G9" i="54"/>
  <c r="O8" i="54"/>
  <c r="K8" i="54"/>
  <c r="V7" i="54"/>
  <c r="U7" i="54"/>
  <c r="O7" i="54"/>
  <c r="M7" i="54"/>
  <c r="AB7" i="54" s="1"/>
  <c r="K7" i="54"/>
  <c r="G7" i="54"/>
  <c r="V6" i="54"/>
  <c r="M6" i="54" s="1"/>
  <c r="N6" i="54" s="1"/>
  <c r="Q6" i="54" s="1"/>
  <c r="U6" i="54"/>
  <c r="O6" i="54"/>
  <c r="K6" i="54"/>
  <c r="G6" i="54"/>
  <c r="V5" i="54"/>
  <c r="O5" i="54"/>
  <c r="M5" i="54"/>
  <c r="K5" i="54"/>
  <c r="G5" i="54"/>
  <c r="F1" i="54" s="1"/>
  <c r="F2" i="54" s="1"/>
  <c r="H1" i="54"/>
  <c r="D1" i="54"/>
  <c r="M18" i="53"/>
  <c r="L18" i="53"/>
  <c r="K18" i="53"/>
  <c r="J18" i="53"/>
  <c r="I18" i="53"/>
  <c r="H18" i="53"/>
  <c r="G18" i="53"/>
  <c r="F18" i="53"/>
  <c r="E18" i="53"/>
  <c r="D18" i="53"/>
  <c r="M17" i="53"/>
  <c r="L17" i="53"/>
  <c r="K17" i="53"/>
  <c r="J17" i="53"/>
  <c r="I17" i="53"/>
  <c r="H17" i="53"/>
  <c r="G17" i="53"/>
  <c r="F17" i="53"/>
  <c r="E17" i="53"/>
  <c r="D17" i="53"/>
  <c r="M16" i="53"/>
  <c r="L16" i="53"/>
  <c r="K16" i="53"/>
  <c r="J16" i="53"/>
  <c r="I16" i="53"/>
  <c r="H16" i="53"/>
  <c r="G16" i="53"/>
  <c r="F16" i="53"/>
  <c r="E16" i="53"/>
  <c r="D16" i="53"/>
  <c r="M13" i="53"/>
  <c r="K13" i="53"/>
  <c r="J13" i="53"/>
  <c r="I13" i="53"/>
  <c r="H13" i="53"/>
  <c r="G13" i="53"/>
  <c r="F13" i="53"/>
  <c r="E13" i="53"/>
  <c r="D13" i="53"/>
  <c r="F3" i="53"/>
  <c r="C3" i="53"/>
  <c r="F6" i="53" l="1"/>
  <c r="I8" i="57"/>
  <c r="D15" i="57"/>
  <c r="G7" i="57"/>
  <c r="F7" i="57"/>
  <c r="E7" i="57"/>
  <c r="I7" i="57"/>
  <c r="Q70" i="56"/>
  <c r="P70" i="56"/>
  <c r="Q24" i="56"/>
  <c r="P24" i="56"/>
  <c r="Q62" i="56"/>
  <c r="P62" i="56"/>
  <c r="AB21" i="56"/>
  <c r="AC17" i="56" s="1"/>
  <c r="AA21" i="56"/>
  <c r="N21" i="56"/>
  <c r="Q68" i="56"/>
  <c r="P68" i="56"/>
  <c r="AB72" i="56"/>
  <c r="AC65" i="56" s="1"/>
  <c r="AA72" i="56"/>
  <c r="N72" i="56"/>
  <c r="Q5" i="56"/>
  <c r="P5" i="56"/>
  <c r="P31" i="56"/>
  <c r="Q31" i="56"/>
  <c r="AB50" i="56"/>
  <c r="AC41" i="56" s="1"/>
  <c r="AA50" i="56"/>
  <c r="N50" i="56"/>
  <c r="Q42" i="56"/>
  <c r="P42" i="56"/>
  <c r="Q71" i="56"/>
  <c r="P71" i="56"/>
  <c r="Q55" i="56"/>
  <c r="P55" i="56"/>
  <c r="Q67" i="56"/>
  <c r="P67" i="56"/>
  <c r="Q15" i="56"/>
  <c r="P15" i="56"/>
  <c r="AB8" i="56"/>
  <c r="AC5" i="56" s="1"/>
  <c r="AA8" i="56"/>
  <c r="N8" i="56"/>
  <c r="Q26" i="56"/>
  <c r="P26" i="56"/>
  <c r="Q17" i="56"/>
  <c r="P17" i="56"/>
  <c r="Q38" i="56"/>
  <c r="P38" i="56"/>
  <c r="Q48" i="56"/>
  <c r="P48" i="56"/>
  <c r="Q56" i="56"/>
  <c r="P56" i="56"/>
  <c r="Q28" i="56"/>
  <c r="P28" i="56"/>
  <c r="Q6" i="56"/>
  <c r="P6" i="56"/>
  <c r="Q59" i="56"/>
  <c r="P59" i="56"/>
  <c r="AB30" i="56"/>
  <c r="AC22" i="56" s="1"/>
  <c r="AA30" i="56"/>
  <c r="N30" i="56"/>
  <c r="Q46" i="56"/>
  <c r="P46" i="56"/>
  <c r="Q35" i="56"/>
  <c r="P35" i="56"/>
  <c r="Q66" i="56"/>
  <c r="P66" i="56"/>
  <c r="P60" i="56"/>
  <c r="Q60" i="56"/>
  <c r="AB57" i="56"/>
  <c r="AC51" i="56" s="1"/>
  <c r="AA57" i="56"/>
  <c r="N57" i="56"/>
  <c r="Q12" i="56"/>
  <c r="P12" i="56"/>
  <c r="Q49" i="56"/>
  <c r="P49" i="56"/>
  <c r="Q36" i="56"/>
  <c r="P36" i="56"/>
  <c r="AB40" i="56"/>
  <c r="AC31" i="56" s="1"/>
  <c r="AA40" i="56"/>
  <c r="N40" i="56"/>
  <c r="Q19" i="56"/>
  <c r="P19" i="56"/>
  <c r="Q44" i="56"/>
  <c r="P44" i="56"/>
  <c r="Q41" i="56"/>
  <c r="P41" i="56"/>
  <c r="F2" i="56"/>
  <c r="I3" i="55"/>
  <c r="Q13" i="56"/>
  <c r="P13" i="56"/>
  <c r="Q64" i="56"/>
  <c r="R58" i="56" s="1"/>
  <c r="P64" i="56"/>
  <c r="J14" i="55"/>
  <c r="J15" i="55" s="1"/>
  <c r="Q18" i="56"/>
  <c r="P18" i="56"/>
  <c r="Q33" i="56"/>
  <c r="P33" i="56"/>
  <c r="Q53" i="56"/>
  <c r="P53" i="56"/>
  <c r="Q51" i="56"/>
  <c r="P51" i="56"/>
  <c r="Q11" i="56"/>
  <c r="R9" i="56" s="1"/>
  <c r="P11" i="56"/>
  <c r="E14" i="55"/>
  <c r="E15" i="55" s="1"/>
  <c r="Q54" i="54"/>
  <c r="P54" i="54"/>
  <c r="Q25" i="54"/>
  <c r="P25" i="54"/>
  <c r="AB52" i="54"/>
  <c r="AA52" i="54"/>
  <c r="N52" i="54"/>
  <c r="AB16" i="54"/>
  <c r="AC12" i="54" s="1"/>
  <c r="AA16" i="54"/>
  <c r="AB27" i="54"/>
  <c r="AA27" i="54"/>
  <c r="N16" i="54"/>
  <c r="N27" i="54"/>
  <c r="AB58" i="54"/>
  <c r="AA58" i="54"/>
  <c r="N58" i="54"/>
  <c r="N61" i="54"/>
  <c r="M66" i="54"/>
  <c r="Q35" i="54"/>
  <c r="P35" i="54"/>
  <c r="M8" i="54"/>
  <c r="AB5" i="54"/>
  <c r="AA5" i="54"/>
  <c r="AA35" i="54"/>
  <c r="AB47" i="54"/>
  <c r="AA47" i="54"/>
  <c r="M53" i="54"/>
  <c r="AB19" i="54"/>
  <c r="Q33" i="54"/>
  <c r="P33" i="54"/>
  <c r="AA41" i="54"/>
  <c r="AB61" i="54"/>
  <c r="E6" i="53"/>
  <c r="AB14" i="54"/>
  <c r="AA14" i="54"/>
  <c r="N17" i="54"/>
  <c r="M22" i="54"/>
  <c r="M36" i="54"/>
  <c r="N14" i="54"/>
  <c r="AA17" i="54"/>
  <c r="P44" i="54"/>
  <c r="Q44" i="54"/>
  <c r="AB56" i="54"/>
  <c r="AA56" i="54"/>
  <c r="AB17" i="54"/>
  <c r="Q20" i="54"/>
  <c r="P20" i="54"/>
  <c r="AA44" i="54"/>
  <c r="AA50" i="54"/>
  <c r="N56" i="54"/>
  <c r="AA12" i="54"/>
  <c r="AB12" i="54"/>
  <c r="AA39" i="54"/>
  <c r="AB44" i="54"/>
  <c r="AB50" i="54"/>
  <c r="G6" i="53"/>
  <c r="P6" i="54"/>
  <c r="N12" i="54"/>
  <c r="N23" i="54"/>
  <c r="M29" i="54"/>
  <c r="AB23" i="54"/>
  <c r="AA23" i="54"/>
  <c r="P28" i="54"/>
  <c r="AB39" i="54"/>
  <c r="AB18" i="54"/>
  <c r="AA18" i="54"/>
  <c r="M46" i="54"/>
  <c r="N37" i="54"/>
  <c r="AA45" i="54"/>
  <c r="AB45" i="54"/>
  <c r="AA59" i="54"/>
  <c r="AB65" i="54"/>
  <c r="AA65" i="54"/>
  <c r="N5" i="54"/>
  <c r="AA19" i="54"/>
  <c r="AB25" i="54"/>
  <c r="AA25" i="54"/>
  <c r="N30" i="54"/>
  <c r="AB30" i="54"/>
  <c r="AB35" i="54"/>
  <c r="N47" i="54"/>
  <c r="AA61" i="54"/>
  <c r="I3" i="53"/>
  <c r="Q18" i="54"/>
  <c r="P18" i="54"/>
  <c r="AB34" i="54"/>
  <c r="AA34" i="54"/>
  <c r="P45" i="54"/>
  <c r="Q45" i="54"/>
  <c r="AA6" i="54"/>
  <c r="AA28" i="54"/>
  <c r="N34" i="54"/>
  <c r="AB43" i="54"/>
  <c r="AA43" i="54"/>
  <c r="AA54" i="54"/>
  <c r="AB54" i="54"/>
  <c r="M60" i="54"/>
  <c r="AB63" i="54"/>
  <c r="AA63" i="54"/>
  <c r="I6" i="53"/>
  <c r="AB6" i="54"/>
  <c r="Q26" i="54"/>
  <c r="P26" i="54"/>
  <c r="AB28" i="54"/>
  <c r="N43" i="54"/>
  <c r="N63" i="54"/>
  <c r="P65" i="54"/>
  <c r="Q15" i="54"/>
  <c r="P15" i="54"/>
  <c r="AA26" i="54"/>
  <c r="AB32" i="54"/>
  <c r="AA32" i="54"/>
  <c r="Q57" i="54"/>
  <c r="P57" i="54"/>
  <c r="Q49" i="54"/>
  <c r="P49" i="54"/>
  <c r="AA10" i="54"/>
  <c r="AB10" i="54"/>
  <c r="Q13" i="54"/>
  <c r="P13" i="54"/>
  <c r="N38" i="54"/>
  <c r="AB38" i="54"/>
  <c r="AA38" i="54"/>
  <c r="AB57" i="54"/>
  <c r="N10" i="54"/>
  <c r="N41" i="54"/>
  <c r="Q55" i="54"/>
  <c r="P55" i="54"/>
  <c r="N9" i="54"/>
  <c r="N40" i="54"/>
  <c r="AA49" i="54"/>
  <c r="AA20" i="54"/>
  <c r="P24" i="54"/>
  <c r="AA40" i="54"/>
  <c r="AB49" i="54"/>
  <c r="P64" i="54"/>
  <c r="AA7" i="54"/>
  <c r="AB20" i="54"/>
  <c r="AA51" i="54"/>
  <c r="N7" i="54"/>
  <c r="N51" i="54"/>
  <c r="N42" i="54"/>
  <c r="N62" i="54"/>
  <c r="AA42" i="54"/>
  <c r="AB9" i="54"/>
  <c r="AA31" i="54"/>
  <c r="AB62" i="54"/>
  <c r="M11" i="54"/>
  <c r="N31" i="54"/>
  <c r="O72" i="52"/>
  <c r="K72" i="52"/>
  <c r="V71" i="52"/>
  <c r="M71" i="52" s="1"/>
  <c r="U71" i="52"/>
  <c r="O71" i="52"/>
  <c r="K71" i="52"/>
  <c r="G71" i="52"/>
  <c r="X70" i="52"/>
  <c r="W70" i="52"/>
  <c r="V70" i="52"/>
  <c r="M70" i="52" s="1"/>
  <c r="U70" i="52"/>
  <c r="O70" i="52"/>
  <c r="K70" i="52"/>
  <c r="G70" i="52"/>
  <c r="V69" i="52"/>
  <c r="M69" i="52" s="1"/>
  <c r="U69" i="52"/>
  <c r="O69" i="52"/>
  <c r="K69" i="52"/>
  <c r="G69" i="52"/>
  <c r="V68" i="52"/>
  <c r="M68" i="52" s="1"/>
  <c r="U68" i="52"/>
  <c r="O68" i="52"/>
  <c r="K68" i="52"/>
  <c r="G68" i="52"/>
  <c r="V67" i="52"/>
  <c r="M67" i="52" s="1"/>
  <c r="U67" i="52"/>
  <c r="O67" i="52"/>
  <c r="K67" i="52"/>
  <c r="G67" i="52"/>
  <c r="X66" i="52"/>
  <c r="W66" i="52"/>
  <c r="V66" i="52"/>
  <c r="M66" i="52" s="1"/>
  <c r="O66" i="52"/>
  <c r="K66" i="52"/>
  <c r="G66" i="52"/>
  <c r="O65" i="52"/>
  <c r="K65" i="52"/>
  <c r="V64" i="52"/>
  <c r="U64" i="52"/>
  <c r="O64" i="52"/>
  <c r="M64" i="52"/>
  <c r="AB64" i="52" s="1"/>
  <c r="K64" i="52"/>
  <c r="G64" i="52"/>
  <c r="AA63" i="52"/>
  <c r="V63" i="52"/>
  <c r="U63" i="52"/>
  <c r="O63" i="52"/>
  <c r="N63" i="52"/>
  <c r="Q63" i="52" s="1"/>
  <c r="M63" i="52"/>
  <c r="AB63" i="52" s="1"/>
  <c r="K63" i="52"/>
  <c r="G63" i="52"/>
  <c r="V62" i="52"/>
  <c r="M62" i="52" s="1"/>
  <c r="U62" i="52"/>
  <c r="O62" i="52"/>
  <c r="K62" i="52"/>
  <c r="G62" i="52"/>
  <c r="AB61" i="52"/>
  <c r="V61" i="52"/>
  <c r="U61" i="52"/>
  <c r="O61" i="52"/>
  <c r="M61" i="52"/>
  <c r="AA61" i="52" s="1"/>
  <c r="K61" i="52"/>
  <c r="G61" i="52"/>
  <c r="AB60" i="52"/>
  <c r="AA60" i="52"/>
  <c r="V60" i="52"/>
  <c r="U60" i="52"/>
  <c r="O60" i="52"/>
  <c r="M60" i="52"/>
  <c r="N60" i="52" s="1"/>
  <c r="K60" i="52"/>
  <c r="G60" i="52"/>
  <c r="X59" i="52"/>
  <c r="W59" i="52"/>
  <c r="V59" i="52"/>
  <c r="M59" i="52" s="1"/>
  <c r="O59" i="52"/>
  <c r="K59" i="52"/>
  <c r="G59" i="52"/>
  <c r="O58" i="52"/>
  <c r="K58" i="52"/>
  <c r="V57" i="52"/>
  <c r="M57" i="52" s="1"/>
  <c r="U57" i="52"/>
  <c r="O57" i="52"/>
  <c r="K57" i="52"/>
  <c r="G57" i="52"/>
  <c r="V56" i="52"/>
  <c r="U56" i="52"/>
  <c r="O56" i="52"/>
  <c r="M56" i="52"/>
  <c r="N56" i="52" s="1"/>
  <c r="K56" i="52"/>
  <c r="G56" i="52"/>
  <c r="V55" i="52"/>
  <c r="M55" i="52" s="1"/>
  <c r="U55" i="52"/>
  <c r="O55" i="52"/>
  <c r="K55" i="52"/>
  <c r="G55" i="52"/>
  <c r="V54" i="52"/>
  <c r="M54" i="52" s="1"/>
  <c r="U54" i="52"/>
  <c r="O54" i="52"/>
  <c r="K54" i="52"/>
  <c r="G54" i="52"/>
  <c r="V53" i="52"/>
  <c r="U53" i="52"/>
  <c r="O53" i="52"/>
  <c r="N53" i="52"/>
  <c r="Q53" i="52" s="1"/>
  <c r="M53" i="52"/>
  <c r="AB53" i="52" s="1"/>
  <c r="K53" i="52"/>
  <c r="G53" i="52"/>
  <c r="V52" i="52"/>
  <c r="O52" i="52"/>
  <c r="N52" i="52"/>
  <c r="Q52" i="52" s="1"/>
  <c r="M52" i="52"/>
  <c r="AB52" i="52" s="1"/>
  <c r="K52" i="52"/>
  <c r="G52" i="52"/>
  <c r="O51" i="52"/>
  <c r="K51" i="52"/>
  <c r="AB50" i="52"/>
  <c r="AA50" i="52"/>
  <c r="V50" i="52"/>
  <c r="U50" i="52"/>
  <c r="O50" i="52"/>
  <c r="M50" i="52"/>
  <c r="N50" i="52" s="1"/>
  <c r="K50" i="52"/>
  <c r="G50" i="52"/>
  <c r="V49" i="52"/>
  <c r="M49" i="52" s="1"/>
  <c r="U49" i="52"/>
  <c r="O49" i="52"/>
  <c r="K49" i="52"/>
  <c r="G49" i="52"/>
  <c r="V48" i="52"/>
  <c r="M48" i="52" s="1"/>
  <c r="U48" i="52"/>
  <c r="O48" i="52"/>
  <c r="K48" i="52"/>
  <c r="G48" i="52"/>
  <c r="X47" i="52"/>
  <c r="W47" i="52"/>
  <c r="V47" i="52"/>
  <c r="M47" i="52" s="1"/>
  <c r="U47" i="52"/>
  <c r="O47" i="52"/>
  <c r="K47" i="52"/>
  <c r="G47" i="52"/>
  <c r="V46" i="52"/>
  <c r="M46" i="52" s="1"/>
  <c r="U46" i="52"/>
  <c r="O46" i="52"/>
  <c r="K46" i="52"/>
  <c r="G46" i="52"/>
  <c r="V45" i="52"/>
  <c r="M45" i="52" s="1"/>
  <c r="U45" i="52"/>
  <c r="O45" i="52"/>
  <c r="K45" i="52"/>
  <c r="G45" i="52"/>
  <c r="V44" i="52"/>
  <c r="M44" i="52" s="1"/>
  <c r="U44" i="52"/>
  <c r="O44" i="52"/>
  <c r="K44" i="52"/>
  <c r="G44" i="52"/>
  <c r="V43" i="52"/>
  <c r="M43" i="52" s="1"/>
  <c r="U43" i="52"/>
  <c r="O43" i="52"/>
  <c r="K43" i="52"/>
  <c r="G43" i="52"/>
  <c r="V42" i="52"/>
  <c r="M42" i="52" s="1"/>
  <c r="U42" i="52"/>
  <c r="O42" i="52"/>
  <c r="K42" i="52"/>
  <c r="G42" i="52"/>
  <c r="V41" i="52"/>
  <c r="M41" i="52" s="1"/>
  <c r="O41" i="52"/>
  <c r="K41" i="52"/>
  <c r="G41" i="52"/>
  <c r="O40" i="52"/>
  <c r="K40" i="52"/>
  <c r="L13" i="51" s="1"/>
  <c r="AB39" i="52"/>
  <c r="V39" i="52"/>
  <c r="U39" i="52"/>
  <c r="O39" i="52"/>
  <c r="M39" i="52"/>
  <c r="AA39" i="52" s="1"/>
  <c r="K39" i="52"/>
  <c r="G39" i="52"/>
  <c r="AB38" i="52"/>
  <c r="AA38" i="52"/>
  <c r="V38" i="52"/>
  <c r="U38" i="52"/>
  <c r="O38" i="52"/>
  <c r="M38" i="52"/>
  <c r="N38" i="52" s="1"/>
  <c r="K38" i="52"/>
  <c r="G38" i="52"/>
  <c r="V37" i="52"/>
  <c r="M37" i="52" s="1"/>
  <c r="U37" i="52"/>
  <c r="O37" i="52"/>
  <c r="K37" i="52"/>
  <c r="G37" i="52"/>
  <c r="AB36" i="52"/>
  <c r="AA36" i="52"/>
  <c r="X36" i="52"/>
  <c r="W36" i="52"/>
  <c r="V36" i="52"/>
  <c r="U36" i="52"/>
  <c r="O36" i="52"/>
  <c r="M36" i="52"/>
  <c r="N36" i="52" s="1"/>
  <c r="K36" i="52"/>
  <c r="G36" i="52"/>
  <c r="V35" i="52"/>
  <c r="M35" i="52" s="1"/>
  <c r="U35" i="52"/>
  <c r="O35" i="52"/>
  <c r="K35" i="52"/>
  <c r="G35" i="52"/>
  <c r="V34" i="52"/>
  <c r="M34" i="52" s="1"/>
  <c r="U34" i="52"/>
  <c r="O34" i="52"/>
  <c r="K34" i="52"/>
  <c r="G34" i="52"/>
  <c r="V33" i="52"/>
  <c r="M33" i="52" s="1"/>
  <c r="U33" i="52"/>
  <c r="O33" i="52"/>
  <c r="K33" i="52"/>
  <c r="G33" i="52"/>
  <c r="V32" i="52"/>
  <c r="M32" i="52" s="1"/>
  <c r="U32" i="52"/>
  <c r="O32" i="52"/>
  <c r="K32" i="52"/>
  <c r="G32" i="52"/>
  <c r="X31" i="52"/>
  <c r="W31" i="52"/>
  <c r="V31" i="52"/>
  <c r="M31" i="52" s="1"/>
  <c r="O31" i="52"/>
  <c r="K31" i="52"/>
  <c r="G31" i="52"/>
  <c r="O30" i="52"/>
  <c r="K30" i="52"/>
  <c r="V29" i="52"/>
  <c r="U29" i="52"/>
  <c r="O29" i="52"/>
  <c r="N29" i="52"/>
  <c r="Q29" i="52" s="1"/>
  <c r="M29" i="52"/>
  <c r="AB29" i="52" s="1"/>
  <c r="K29" i="52"/>
  <c r="G29" i="52"/>
  <c r="V28" i="52"/>
  <c r="U28" i="52"/>
  <c r="O28" i="52"/>
  <c r="M28" i="52"/>
  <c r="AB28" i="52" s="1"/>
  <c r="K28" i="52"/>
  <c r="G28" i="52"/>
  <c r="AA27" i="52"/>
  <c r="X27" i="52"/>
  <c r="W27" i="52"/>
  <c r="V27" i="52"/>
  <c r="U27" i="52"/>
  <c r="O27" i="52"/>
  <c r="N27" i="52"/>
  <c r="Q27" i="52" s="1"/>
  <c r="M27" i="52"/>
  <c r="AB27" i="52" s="1"/>
  <c r="K27" i="52"/>
  <c r="G27" i="52"/>
  <c r="V26" i="52"/>
  <c r="U26" i="52"/>
  <c r="O26" i="52"/>
  <c r="M26" i="52"/>
  <c r="AB26" i="52" s="1"/>
  <c r="K26" i="52"/>
  <c r="G26" i="52"/>
  <c r="AA25" i="52"/>
  <c r="V25" i="52"/>
  <c r="U25" i="52"/>
  <c r="O25" i="52"/>
  <c r="N25" i="52"/>
  <c r="Q25" i="52" s="1"/>
  <c r="M25" i="52"/>
  <c r="AB25" i="52" s="1"/>
  <c r="K25" i="52"/>
  <c r="G25" i="52"/>
  <c r="V24" i="52"/>
  <c r="U24" i="52"/>
  <c r="O24" i="52"/>
  <c r="M24" i="52"/>
  <c r="AB24" i="52" s="1"/>
  <c r="K24" i="52"/>
  <c r="G24" i="52"/>
  <c r="X23" i="52"/>
  <c r="W23" i="52"/>
  <c r="V23" i="52"/>
  <c r="O23" i="52"/>
  <c r="M23" i="52"/>
  <c r="AB23" i="52" s="1"/>
  <c r="K23" i="52"/>
  <c r="G23" i="52"/>
  <c r="O22" i="52"/>
  <c r="K22" i="52"/>
  <c r="V21" i="52"/>
  <c r="M21" i="52" s="1"/>
  <c r="U21" i="52"/>
  <c r="O21" i="52"/>
  <c r="K21" i="52"/>
  <c r="G21" i="52"/>
  <c r="V20" i="52"/>
  <c r="M20" i="52" s="1"/>
  <c r="U20" i="52"/>
  <c r="O20" i="52"/>
  <c r="K20" i="52"/>
  <c r="G20" i="52"/>
  <c r="V19" i="52"/>
  <c r="M19" i="52" s="1"/>
  <c r="U19" i="52"/>
  <c r="O19" i="52"/>
  <c r="K19" i="52"/>
  <c r="G19" i="52"/>
  <c r="V18" i="52"/>
  <c r="M18" i="52" s="1"/>
  <c r="U18" i="52"/>
  <c r="O18" i="52"/>
  <c r="K18" i="52"/>
  <c r="G18" i="52"/>
  <c r="V17" i="52"/>
  <c r="M17" i="52" s="1"/>
  <c r="O17" i="52"/>
  <c r="K17" i="52"/>
  <c r="G17" i="52"/>
  <c r="O16" i="52"/>
  <c r="K16" i="52"/>
  <c r="AA15" i="52"/>
  <c r="V15" i="52"/>
  <c r="U15" i="52"/>
  <c r="O15" i="52"/>
  <c r="N15" i="52"/>
  <c r="Q15" i="52" s="1"/>
  <c r="M15" i="52"/>
  <c r="AB15" i="52" s="1"/>
  <c r="K15" i="52"/>
  <c r="G15" i="52"/>
  <c r="V14" i="52"/>
  <c r="U14" i="52"/>
  <c r="O14" i="52"/>
  <c r="M14" i="52"/>
  <c r="M16" i="52" s="1"/>
  <c r="K14" i="52"/>
  <c r="G14" i="52"/>
  <c r="AB13" i="52"/>
  <c r="V13" i="52"/>
  <c r="U13" i="52"/>
  <c r="O13" i="52"/>
  <c r="M13" i="52"/>
  <c r="AA13" i="52" s="1"/>
  <c r="K13" i="52"/>
  <c r="G13" i="52"/>
  <c r="AB12" i="52"/>
  <c r="V12" i="52"/>
  <c r="O12" i="52"/>
  <c r="M12" i="52"/>
  <c r="AA12" i="52" s="1"/>
  <c r="K12" i="52"/>
  <c r="G12" i="52"/>
  <c r="O11" i="52"/>
  <c r="K11" i="52"/>
  <c r="V10" i="52"/>
  <c r="M10" i="52" s="1"/>
  <c r="U10" i="52"/>
  <c r="O10" i="52"/>
  <c r="K10" i="52"/>
  <c r="G10" i="52"/>
  <c r="F1" i="52" s="1"/>
  <c r="X9" i="52"/>
  <c r="W9" i="52"/>
  <c r="V9" i="52"/>
  <c r="M9" i="52" s="1"/>
  <c r="O9" i="52"/>
  <c r="K9" i="52"/>
  <c r="G9" i="52"/>
  <c r="O8" i="52"/>
  <c r="K8" i="52"/>
  <c r="V7" i="52"/>
  <c r="U7" i="52"/>
  <c r="O7" i="52"/>
  <c r="N7" i="52"/>
  <c r="Q7" i="52" s="1"/>
  <c r="M7" i="52"/>
  <c r="AB7" i="52" s="1"/>
  <c r="K7" i="52"/>
  <c r="G7" i="52"/>
  <c r="V6" i="52"/>
  <c r="U6" i="52"/>
  <c r="O6" i="52"/>
  <c r="M6" i="52"/>
  <c r="AB6" i="52" s="1"/>
  <c r="K6" i="52"/>
  <c r="G6" i="52"/>
  <c r="V5" i="52"/>
  <c r="O5" i="52"/>
  <c r="M5" i="52"/>
  <c r="M8" i="52" s="1"/>
  <c r="K5" i="52"/>
  <c r="G5" i="52"/>
  <c r="D1" i="52"/>
  <c r="M18" i="51"/>
  <c r="L18" i="51"/>
  <c r="K18" i="51"/>
  <c r="J18" i="51"/>
  <c r="I18" i="51"/>
  <c r="H18" i="51"/>
  <c r="G18" i="51"/>
  <c r="F18" i="51"/>
  <c r="E18" i="51"/>
  <c r="D18" i="51"/>
  <c r="M17" i="51"/>
  <c r="L17" i="51"/>
  <c r="K17" i="51"/>
  <c r="J17" i="51"/>
  <c r="I17" i="51"/>
  <c r="H17" i="51"/>
  <c r="G17" i="51"/>
  <c r="F17" i="51"/>
  <c r="E17" i="51"/>
  <c r="D17" i="51"/>
  <c r="M16" i="51"/>
  <c r="L16" i="51"/>
  <c r="K16" i="51"/>
  <c r="J16" i="51"/>
  <c r="I16" i="51"/>
  <c r="H16" i="51"/>
  <c r="G16" i="51"/>
  <c r="F16" i="51"/>
  <c r="E16" i="51"/>
  <c r="D16" i="51"/>
  <c r="M13" i="51"/>
  <c r="K13" i="51"/>
  <c r="J13" i="51"/>
  <c r="I13" i="51"/>
  <c r="H13" i="51"/>
  <c r="G13" i="51"/>
  <c r="F13" i="51"/>
  <c r="E13" i="51"/>
  <c r="D13" i="51"/>
  <c r="F3" i="51"/>
  <c r="C3" i="51"/>
  <c r="G8" i="57" l="1"/>
  <c r="F8" i="57"/>
  <c r="E8" i="57"/>
  <c r="Q21" i="56"/>
  <c r="R17" i="56" s="1"/>
  <c r="P21" i="56"/>
  <c r="G14" i="55"/>
  <c r="G15" i="55" s="1"/>
  <c r="L14" i="55"/>
  <c r="L15" i="55" s="1"/>
  <c r="Q40" i="56"/>
  <c r="R31" i="56" s="1"/>
  <c r="P40" i="56"/>
  <c r="Q72" i="56"/>
  <c r="R65" i="56" s="1"/>
  <c r="P72" i="56"/>
  <c r="M14" i="55"/>
  <c r="M15" i="55" s="1"/>
  <c r="Q57" i="56"/>
  <c r="R51" i="56" s="1"/>
  <c r="P57" i="56"/>
  <c r="I14" i="55"/>
  <c r="I15" i="55" s="1"/>
  <c r="Q8" i="56"/>
  <c r="R5" i="56" s="1"/>
  <c r="P8" i="56"/>
  <c r="D2" i="56"/>
  <c r="D14" i="55"/>
  <c r="Q30" i="56"/>
  <c r="R22" i="56" s="1"/>
  <c r="P30" i="56"/>
  <c r="K14" i="55"/>
  <c r="Q50" i="56"/>
  <c r="R41" i="56" s="1"/>
  <c r="P50" i="56"/>
  <c r="H14" i="55"/>
  <c r="H15" i="55" s="1"/>
  <c r="G6" i="51"/>
  <c r="Q23" i="54"/>
  <c r="P23" i="54"/>
  <c r="P7" i="54"/>
  <c r="Q7" i="54"/>
  <c r="AB29" i="54"/>
  <c r="AC23" i="54" s="1"/>
  <c r="AA29" i="54"/>
  <c r="N29" i="54"/>
  <c r="AB66" i="54"/>
  <c r="AC61" i="54" s="1"/>
  <c r="AA66" i="54"/>
  <c r="N66" i="54"/>
  <c r="Q58" i="54"/>
  <c r="P58" i="54"/>
  <c r="P16" i="54"/>
  <c r="F14" i="53"/>
  <c r="F15" i="53" s="1"/>
  <c r="Q16" i="54"/>
  <c r="R12" i="54" s="1"/>
  <c r="Q31" i="54"/>
  <c r="P31" i="54"/>
  <c r="Q9" i="54"/>
  <c r="P9" i="54"/>
  <c r="AB11" i="54"/>
  <c r="AC9" i="54" s="1"/>
  <c r="AA11" i="54"/>
  <c r="N11" i="54"/>
  <c r="Q37" i="54"/>
  <c r="P37" i="54"/>
  <c r="N46" i="54"/>
  <c r="AA46" i="54"/>
  <c r="AB46" i="54"/>
  <c r="AC37" i="54" s="1"/>
  <c r="N53" i="54"/>
  <c r="AB53" i="54"/>
  <c r="AC47" i="54" s="1"/>
  <c r="AA53" i="54"/>
  <c r="Q52" i="54"/>
  <c r="P52" i="54"/>
  <c r="Q14" i="54"/>
  <c r="P14" i="54"/>
  <c r="Q30" i="54"/>
  <c r="P30" i="54"/>
  <c r="N60" i="54"/>
  <c r="AA60" i="54"/>
  <c r="AB60" i="54"/>
  <c r="AC54" i="54" s="1"/>
  <c r="P27" i="54"/>
  <c r="Q27" i="54"/>
  <c r="Q10" i="54"/>
  <c r="P10" i="54"/>
  <c r="Q43" i="54"/>
  <c r="P43" i="54"/>
  <c r="AB36" i="54"/>
  <c r="AC30" i="54" s="1"/>
  <c r="AA36" i="54"/>
  <c r="N36" i="54"/>
  <c r="P61" i="54"/>
  <c r="Q61" i="54"/>
  <c r="Q63" i="54"/>
  <c r="P63" i="54"/>
  <c r="Q42" i="54"/>
  <c r="P42" i="54"/>
  <c r="Q12" i="54"/>
  <c r="P12" i="54"/>
  <c r="N22" i="54"/>
  <c r="AB22" i="54"/>
  <c r="AC17" i="54" s="1"/>
  <c r="AA22" i="54"/>
  <c r="P17" i="54"/>
  <c r="Q17" i="54"/>
  <c r="P5" i="54"/>
  <c r="Q5" i="54"/>
  <c r="Q34" i="54"/>
  <c r="P34" i="54"/>
  <c r="Q40" i="54"/>
  <c r="P40" i="54"/>
  <c r="Q56" i="54"/>
  <c r="P56" i="54"/>
  <c r="Q41" i="54"/>
  <c r="P41" i="54"/>
  <c r="Q62" i="54"/>
  <c r="P62" i="54"/>
  <c r="P51" i="54"/>
  <c r="Q51" i="54"/>
  <c r="Q38" i="54"/>
  <c r="P38" i="54"/>
  <c r="Q47" i="54"/>
  <c r="P47" i="54"/>
  <c r="AB8" i="54"/>
  <c r="AC5" i="54" s="1"/>
  <c r="AA8" i="54"/>
  <c r="N8" i="54"/>
  <c r="N19" i="52"/>
  <c r="AB19" i="52"/>
  <c r="AA19" i="52"/>
  <c r="N32" i="52"/>
  <c r="AB32" i="52"/>
  <c r="AA32" i="52"/>
  <c r="N43" i="52"/>
  <c r="AB43" i="52"/>
  <c r="AA43" i="52"/>
  <c r="N54" i="52"/>
  <c r="AB54" i="52"/>
  <c r="AA54" i="52"/>
  <c r="N41" i="52"/>
  <c r="AB41" i="52"/>
  <c r="AA41" i="52"/>
  <c r="M51" i="52"/>
  <c r="N70" i="52"/>
  <c r="AB70" i="52"/>
  <c r="AA70" i="52"/>
  <c r="Q38" i="52"/>
  <c r="P38" i="52"/>
  <c r="N10" i="52"/>
  <c r="AB10" i="52"/>
  <c r="AA10" i="52"/>
  <c r="Q50" i="52"/>
  <c r="P50" i="52"/>
  <c r="N20" i="52"/>
  <c r="AB20" i="52"/>
  <c r="AA20" i="52"/>
  <c r="AA35" i="52"/>
  <c r="N35" i="52"/>
  <c r="AB35" i="52"/>
  <c r="N18" i="52"/>
  <c r="AB18" i="52"/>
  <c r="AA18" i="52"/>
  <c r="N46" i="52"/>
  <c r="AB46" i="52"/>
  <c r="AA46" i="52"/>
  <c r="N48" i="52"/>
  <c r="AB48" i="52"/>
  <c r="AA48" i="52"/>
  <c r="Q60" i="52"/>
  <c r="P60" i="52"/>
  <c r="N31" i="52"/>
  <c r="AB31" i="52"/>
  <c r="AA31" i="52"/>
  <c r="M40" i="52"/>
  <c r="N57" i="52"/>
  <c r="AB57" i="52"/>
  <c r="AA57" i="52"/>
  <c r="N66" i="52"/>
  <c r="M72" i="52"/>
  <c r="AB66" i="52"/>
  <c r="AA66" i="52"/>
  <c r="N68" i="52"/>
  <c r="AB68" i="52"/>
  <c r="AA68" i="52"/>
  <c r="N55" i="52"/>
  <c r="AB55" i="52"/>
  <c r="AA55" i="52"/>
  <c r="I6" i="51"/>
  <c r="N9" i="52"/>
  <c r="M11" i="52"/>
  <c r="AB9" i="52"/>
  <c r="AA9" i="52"/>
  <c r="N33" i="52"/>
  <c r="AB33" i="52"/>
  <c r="AA33" i="52"/>
  <c r="N16" i="52"/>
  <c r="AB16" i="52"/>
  <c r="AC12" i="52" s="1"/>
  <c r="AA16" i="52"/>
  <c r="Q36" i="52"/>
  <c r="P36" i="52"/>
  <c r="AA37" i="52"/>
  <c r="N37" i="52"/>
  <c r="AB37" i="52"/>
  <c r="N44" i="52"/>
  <c r="AB44" i="52"/>
  <c r="AA44" i="52"/>
  <c r="AA21" i="52"/>
  <c r="N21" i="52"/>
  <c r="AB21" i="52"/>
  <c r="N8" i="52"/>
  <c r="AB8" i="52"/>
  <c r="AC5" i="52" s="1"/>
  <c r="AA8" i="52"/>
  <c r="F2" i="52"/>
  <c r="I3" i="51"/>
  <c r="N42" i="52"/>
  <c r="AB42" i="52"/>
  <c r="AA42" i="52"/>
  <c r="N47" i="52"/>
  <c r="AB47" i="52"/>
  <c r="AA47" i="52"/>
  <c r="AA49" i="52"/>
  <c r="N49" i="52"/>
  <c r="AB49" i="52"/>
  <c r="P56" i="52"/>
  <c r="Q56" i="52"/>
  <c r="AB62" i="52"/>
  <c r="AA62" i="52"/>
  <c r="N62" i="52"/>
  <c r="N34" i="52"/>
  <c r="AB34" i="52"/>
  <c r="AA34" i="52"/>
  <c r="N71" i="52"/>
  <c r="AB71" i="52"/>
  <c r="AA71" i="52"/>
  <c r="N69" i="52"/>
  <c r="AB69" i="52"/>
  <c r="AA69" i="52"/>
  <c r="N17" i="52"/>
  <c r="AB17" i="52"/>
  <c r="M22" i="52"/>
  <c r="AA17" i="52"/>
  <c r="N45" i="52"/>
  <c r="AB45" i="52"/>
  <c r="AA45" i="52"/>
  <c r="AA59" i="52"/>
  <c r="M65" i="52"/>
  <c r="AB59" i="52"/>
  <c r="N59" i="52"/>
  <c r="N67" i="52"/>
  <c r="AB67" i="52"/>
  <c r="AA67" i="52"/>
  <c r="N5" i="52"/>
  <c r="N6" i="52"/>
  <c r="N23" i="52"/>
  <c r="N26" i="52"/>
  <c r="N28" i="52"/>
  <c r="N64" i="52"/>
  <c r="P7" i="52"/>
  <c r="P27" i="52"/>
  <c r="P29" i="52"/>
  <c r="P52" i="52"/>
  <c r="P53" i="52"/>
  <c r="N14" i="52"/>
  <c r="N24" i="52"/>
  <c r="AA56" i="52"/>
  <c r="N12" i="52"/>
  <c r="N13" i="52"/>
  <c r="P15" i="52"/>
  <c r="P25" i="52"/>
  <c r="N39" i="52"/>
  <c r="AB56" i="52"/>
  <c r="N61" i="52"/>
  <c r="P63" i="52"/>
  <c r="M58" i="52"/>
  <c r="AA7" i="52"/>
  <c r="AA29" i="52"/>
  <c r="AA52" i="52"/>
  <c r="AA53" i="52"/>
  <c r="AA5" i="52"/>
  <c r="AA6" i="52"/>
  <c r="AA26" i="52"/>
  <c r="AA28" i="52"/>
  <c r="AA64" i="52"/>
  <c r="E6" i="51"/>
  <c r="F6" i="51"/>
  <c r="AB5" i="52"/>
  <c r="AA14" i="52"/>
  <c r="AA23" i="52"/>
  <c r="AA24" i="52"/>
  <c r="M30" i="52"/>
  <c r="AB14" i="52"/>
  <c r="C3" i="46"/>
  <c r="D16" i="46"/>
  <c r="E16" i="46"/>
  <c r="F16" i="46"/>
  <c r="G16" i="46"/>
  <c r="H16" i="46"/>
  <c r="I16" i="46"/>
  <c r="J16" i="46"/>
  <c r="K16" i="46"/>
  <c r="L16" i="46"/>
  <c r="M16" i="46"/>
  <c r="D17" i="46"/>
  <c r="E17" i="46"/>
  <c r="F17" i="46"/>
  <c r="G17" i="46"/>
  <c r="H17" i="46"/>
  <c r="I17" i="46"/>
  <c r="J17" i="46"/>
  <c r="K17" i="46"/>
  <c r="L17" i="46"/>
  <c r="M17" i="46"/>
  <c r="D18" i="46"/>
  <c r="E18" i="46"/>
  <c r="F18" i="46"/>
  <c r="G18" i="46"/>
  <c r="H18" i="46"/>
  <c r="I18" i="46"/>
  <c r="J18" i="46"/>
  <c r="K18" i="46"/>
  <c r="L18" i="46"/>
  <c r="M18" i="46"/>
  <c r="D1" i="45"/>
  <c r="F3" i="46" s="1"/>
  <c r="G5" i="45"/>
  <c r="K5" i="45"/>
  <c r="O5" i="45"/>
  <c r="V5" i="45"/>
  <c r="M5" i="45" s="1"/>
  <c r="G6" i="45"/>
  <c r="K6" i="45"/>
  <c r="O6" i="45"/>
  <c r="U6" i="45"/>
  <c r="V6" i="45"/>
  <c r="M6" i="45" s="1"/>
  <c r="G7" i="45"/>
  <c r="K7" i="45"/>
  <c r="O7" i="45"/>
  <c r="U7" i="45"/>
  <c r="V7" i="45"/>
  <c r="M7" i="45" s="1"/>
  <c r="K8" i="45"/>
  <c r="D13" i="46" s="1"/>
  <c r="O8" i="45"/>
  <c r="G9" i="45"/>
  <c r="K9" i="45"/>
  <c r="O9" i="45"/>
  <c r="V9" i="45"/>
  <c r="M9" i="45" s="1"/>
  <c r="W9" i="45"/>
  <c r="X9" i="45"/>
  <c r="G10" i="45"/>
  <c r="K10" i="45"/>
  <c r="O10" i="45"/>
  <c r="U10" i="45"/>
  <c r="V10" i="45"/>
  <c r="M10" i="45" s="1"/>
  <c r="G11" i="45"/>
  <c r="K11" i="45"/>
  <c r="O11" i="45"/>
  <c r="U11" i="45"/>
  <c r="V11" i="45"/>
  <c r="M11" i="45" s="1"/>
  <c r="W11" i="45"/>
  <c r="X11" i="45"/>
  <c r="G12" i="45"/>
  <c r="K12" i="45"/>
  <c r="O12" i="45"/>
  <c r="U12" i="45"/>
  <c r="V12" i="45"/>
  <c r="M12" i="45" s="1"/>
  <c r="K13" i="45"/>
  <c r="E13" i="46" s="1"/>
  <c r="O13" i="45"/>
  <c r="G14" i="45"/>
  <c r="K14" i="45"/>
  <c r="O14" i="45"/>
  <c r="V14" i="45"/>
  <c r="M14" i="45" s="1"/>
  <c r="G15" i="45"/>
  <c r="K15" i="45"/>
  <c r="O15" i="45"/>
  <c r="U15" i="45"/>
  <c r="V15" i="45"/>
  <c r="M15" i="45" s="1"/>
  <c r="G16" i="45"/>
  <c r="K16" i="45"/>
  <c r="O16" i="45"/>
  <c r="U16" i="45"/>
  <c r="V16" i="45"/>
  <c r="M16" i="45" s="1"/>
  <c r="AA16" i="45" s="1"/>
  <c r="G17" i="45"/>
  <c r="K17" i="45"/>
  <c r="O17" i="45"/>
  <c r="U17" i="45"/>
  <c r="V17" i="45"/>
  <c r="M17" i="45" s="1"/>
  <c r="K18" i="45"/>
  <c r="F13" i="46" s="1"/>
  <c r="O18" i="45"/>
  <c r="G19" i="45"/>
  <c r="K19" i="45"/>
  <c r="O19" i="45"/>
  <c r="V19" i="45"/>
  <c r="M19" i="45" s="1"/>
  <c r="G20" i="45"/>
  <c r="K20" i="45"/>
  <c r="O20" i="45"/>
  <c r="U20" i="45"/>
  <c r="V20" i="45"/>
  <c r="M20" i="45" s="1"/>
  <c r="G21" i="45"/>
  <c r="K21" i="45"/>
  <c r="O21" i="45"/>
  <c r="U21" i="45"/>
  <c r="V21" i="45"/>
  <c r="M21" i="45" s="1"/>
  <c r="G22" i="45"/>
  <c r="K22" i="45"/>
  <c r="O22" i="45"/>
  <c r="U22" i="45"/>
  <c r="V22" i="45"/>
  <c r="M22" i="45" s="1"/>
  <c r="G23" i="45"/>
  <c r="K23" i="45"/>
  <c r="M23" i="45"/>
  <c r="N23" i="45" s="1"/>
  <c r="O23" i="45"/>
  <c r="U23" i="45"/>
  <c r="V23" i="45"/>
  <c r="K24" i="45"/>
  <c r="G13" i="46" s="1"/>
  <c r="O24" i="45"/>
  <c r="G25" i="45"/>
  <c r="K25" i="45"/>
  <c r="O25" i="45"/>
  <c r="V25" i="45"/>
  <c r="M25" i="45" s="1"/>
  <c r="W25" i="45"/>
  <c r="X25" i="45"/>
  <c r="G26" i="45"/>
  <c r="K26" i="45"/>
  <c r="M26" i="45"/>
  <c r="AA26" i="45" s="1"/>
  <c r="O26" i="45"/>
  <c r="U26" i="45"/>
  <c r="V26" i="45"/>
  <c r="G27" i="45"/>
  <c r="K27" i="45"/>
  <c r="O27" i="45"/>
  <c r="U27" i="45"/>
  <c r="V27" i="45"/>
  <c r="M27" i="45" s="1"/>
  <c r="G28" i="45"/>
  <c r="K28" i="45"/>
  <c r="O28" i="45"/>
  <c r="U28" i="45"/>
  <c r="V28" i="45"/>
  <c r="M28" i="45" s="1"/>
  <c r="G29" i="45"/>
  <c r="K29" i="45"/>
  <c r="O29" i="45"/>
  <c r="U29" i="45"/>
  <c r="V29" i="45"/>
  <c r="M29" i="45" s="1"/>
  <c r="W29" i="45"/>
  <c r="X29" i="45"/>
  <c r="G30" i="45"/>
  <c r="K30" i="45"/>
  <c r="O30" i="45"/>
  <c r="U30" i="45"/>
  <c r="V30" i="45"/>
  <c r="M30" i="45" s="1"/>
  <c r="G31" i="45"/>
  <c r="K31" i="45"/>
  <c r="O31" i="45"/>
  <c r="U31" i="45"/>
  <c r="V31" i="45"/>
  <c r="M31" i="45" s="1"/>
  <c r="G32" i="45"/>
  <c r="K32" i="45"/>
  <c r="O32" i="45"/>
  <c r="U32" i="45"/>
  <c r="V32" i="45"/>
  <c r="M32" i="45" s="1"/>
  <c r="K33" i="45"/>
  <c r="K13" i="46" s="1"/>
  <c r="O33" i="45"/>
  <c r="G34" i="45"/>
  <c r="K34" i="45"/>
  <c r="O34" i="45"/>
  <c r="V34" i="45"/>
  <c r="M34" i="45" s="1"/>
  <c r="W34" i="45"/>
  <c r="X34" i="45"/>
  <c r="G35" i="45"/>
  <c r="K35" i="45"/>
  <c r="M35" i="45"/>
  <c r="N35" i="45" s="1"/>
  <c r="O35" i="45"/>
  <c r="U35" i="45"/>
  <c r="V35" i="45"/>
  <c r="G36" i="45"/>
  <c r="K36" i="45"/>
  <c r="O36" i="45"/>
  <c r="U36" i="45"/>
  <c r="V36" i="45"/>
  <c r="M36" i="45" s="1"/>
  <c r="G37" i="45"/>
  <c r="K37" i="45"/>
  <c r="O37" i="45"/>
  <c r="U37" i="45"/>
  <c r="V37" i="45"/>
  <c r="M37" i="45" s="1"/>
  <c r="N37" i="45" s="1"/>
  <c r="G38" i="45"/>
  <c r="K38" i="45"/>
  <c r="M38" i="45"/>
  <c r="AA38" i="45" s="1"/>
  <c r="O38" i="45"/>
  <c r="U38" i="45"/>
  <c r="V38" i="45"/>
  <c r="G39" i="45"/>
  <c r="K39" i="45"/>
  <c r="O39" i="45"/>
  <c r="U39" i="45"/>
  <c r="V39" i="45"/>
  <c r="M39" i="45" s="1"/>
  <c r="W39" i="45"/>
  <c r="X39" i="45"/>
  <c r="G40" i="45"/>
  <c r="K40" i="45"/>
  <c r="O40" i="45"/>
  <c r="U40" i="45"/>
  <c r="V40" i="45"/>
  <c r="M40" i="45" s="1"/>
  <c r="AA40" i="45" s="1"/>
  <c r="G41" i="45"/>
  <c r="K41" i="45"/>
  <c r="O41" i="45"/>
  <c r="U41" i="45"/>
  <c r="V41" i="45"/>
  <c r="M41" i="45" s="1"/>
  <c r="G42" i="45"/>
  <c r="K42" i="45"/>
  <c r="O42" i="45"/>
  <c r="U42" i="45"/>
  <c r="V42" i="45"/>
  <c r="M42" i="45" s="1"/>
  <c r="AA42" i="45" s="1"/>
  <c r="G43" i="45"/>
  <c r="K43" i="45"/>
  <c r="O43" i="45"/>
  <c r="U43" i="45"/>
  <c r="V43" i="45"/>
  <c r="M43" i="45" s="1"/>
  <c r="K44" i="45"/>
  <c r="L13" i="46" s="1"/>
  <c r="O44" i="45"/>
  <c r="K45" i="45"/>
  <c r="M45" i="45"/>
  <c r="N45" i="45" s="1"/>
  <c r="K46" i="45"/>
  <c r="M46" i="45"/>
  <c r="AA46" i="45" s="1"/>
  <c r="K47" i="45"/>
  <c r="M47" i="45"/>
  <c r="N47" i="45" s="1"/>
  <c r="AB47" i="45"/>
  <c r="K48" i="45"/>
  <c r="M48" i="45"/>
  <c r="N48" i="45" s="1"/>
  <c r="P48" i="45" s="1"/>
  <c r="K49" i="45"/>
  <c r="M49" i="45"/>
  <c r="AB49" i="45" s="1"/>
  <c r="N49" i="45"/>
  <c r="P49" i="45" s="1"/>
  <c r="Q49" i="45"/>
  <c r="AA49" i="45"/>
  <c r="K50" i="45"/>
  <c r="M50" i="45"/>
  <c r="N50" i="45" s="1"/>
  <c r="AB50" i="45"/>
  <c r="K51" i="45"/>
  <c r="M51" i="45"/>
  <c r="AA51" i="45" s="1"/>
  <c r="W51" i="45"/>
  <c r="X51" i="45"/>
  <c r="AB51" i="45"/>
  <c r="K52" i="45"/>
  <c r="M52" i="45"/>
  <c r="N52" i="45"/>
  <c r="Q52" i="45" s="1"/>
  <c r="P52" i="45"/>
  <c r="AA52" i="45"/>
  <c r="AB52" i="45"/>
  <c r="K53" i="45"/>
  <c r="M53" i="45"/>
  <c r="N53" i="45" s="1"/>
  <c r="K54" i="45"/>
  <c r="M54" i="45"/>
  <c r="AA54" i="45" s="1"/>
  <c r="AB54" i="45"/>
  <c r="K55" i="45"/>
  <c r="H13" i="46" s="1"/>
  <c r="O55" i="45"/>
  <c r="G56" i="45"/>
  <c r="K56" i="45"/>
  <c r="O56" i="45"/>
  <c r="V56" i="45"/>
  <c r="M56" i="45" s="1"/>
  <c r="G57" i="45"/>
  <c r="K57" i="45"/>
  <c r="O57" i="45"/>
  <c r="U57" i="45"/>
  <c r="V57" i="45"/>
  <c r="M57" i="45" s="1"/>
  <c r="G58" i="45"/>
  <c r="K58" i="45"/>
  <c r="O58" i="45"/>
  <c r="U58" i="45"/>
  <c r="V58" i="45"/>
  <c r="M58" i="45" s="1"/>
  <c r="G59" i="45"/>
  <c r="K59" i="45"/>
  <c r="O59" i="45"/>
  <c r="U59" i="45"/>
  <c r="V59" i="45"/>
  <c r="M59" i="45" s="1"/>
  <c r="AA59" i="45" s="1"/>
  <c r="G60" i="45"/>
  <c r="K60" i="45"/>
  <c r="O60" i="45"/>
  <c r="U60" i="45"/>
  <c r="V60" i="45"/>
  <c r="M60" i="45" s="1"/>
  <c r="G61" i="45"/>
  <c r="K61" i="45"/>
  <c r="O61" i="45"/>
  <c r="U61" i="45"/>
  <c r="V61" i="45"/>
  <c r="M61" i="45" s="1"/>
  <c r="AA61" i="45" s="1"/>
  <c r="K62" i="45"/>
  <c r="I13" i="46" s="1"/>
  <c r="O62" i="45"/>
  <c r="G63" i="45"/>
  <c r="K63" i="45"/>
  <c r="O63" i="45"/>
  <c r="V63" i="45"/>
  <c r="M63" i="45" s="1"/>
  <c r="W63" i="45"/>
  <c r="X63" i="45"/>
  <c r="G64" i="45"/>
  <c r="K64" i="45"/>
  <c r="M64" i="45"/>
  <c r="AA64" i="45" s="1"/>
  <c r="O64" i="45"/>
  <c r="U64" i="45"/>
  <c r="V64" i="45"/>
  <c r="G65" i="45"/>
  <c r="K65" i="45"/>
  <c r="O65" i="45"/>
  <c r="U65" i="45"/>
  <c r="V65" i="45"/>
  <c r="M65" i="45" s="1"/>
  <c r="G66" i="45"/>
  <c r="K66" i="45"/>
  <c r="M66" i="45"/>
  <c r="N66" i="45" s="1"/>
  <c r="O66" i="45"/>
  <c r="U66" i="45"/>
  <c r="V66" i="45"/>
  <c r="G67" i="45"/>
  <c r="K67" i="45"/>
  <c r="O67" i="45"/>
  <c r="U67" i="45"/>
  <c r="V67" i="45"/>
  <c r="M67" i="45" s="1"/>
  <c r="G68" i="45"/>
  <c r="K68" i="45"/>
  <c r="M68" i="45"/>
  <c r="N68" i="45" s="1"/>
  <c r="O68" i="45"/>
  <c r="U68" i="45"/>
  <c r="V68" i="45"/>
  <c r="K69" i="45"/>
  <c r="J13" i="46" s="1"/>
  <c r="O69" i="45"/>
  <c r="G70" i="45"/>
  <c r="K70" i="45"/>
  <c r="O70" i="45"/>
  <c r="V70" i="45"/>
  <c r="M70" i="45" s="1"/>
  <c r="W70" i="45"/>
  <c r="X70" i="45"/>
  <c r="G71" i="45"/>
  <c r="K71" i="45"/>
  <c r="O71" i="45"/>
  <c r="U71" i="45"/>
  <c r="V71" i="45"/>
  <c r="M71" i="45" s="1"/>
  <c r="AA71" i="45" s="1"/>
  <c r="G72" i="45"/>
  <c r="K72" i="45"/>
  <c r="O72" i="45"/>
  <c r="U72" i="45"/>
  <c r="V72" i="45"/>
  <c r="M72" i="45" s="1"/>
  <c r="G73" i="45"/>
  <c r="K73" i="45"/>
  <c r="O73" i="45"/>
  <c r="U73" i="45"/>
  <c r="V73" i="45"/>
  <c r="M73" i="45" s="1"/>
  <c r="AA73" i="45" s="1"/>
  <c r="G74" i="45"/>
  <c r="K74" i="45"/>
  <c r="O74" i="45"/>
  <c r="U74" i="45"/>
  <c r="V74" i="45"/>
  <c r="M74" i="45" s="1"/>
  <c r="W74" i="45"/>
  <c r="X74" i="45"/>
  <c r="G75" i="45"/>
  <c r="K75" i="45"/>
  <c r="O75" i="45"/>
  <c r="U75" i="45"/>
  <c r="V75" i="45"/>
  <c r="M75" i="45" s="1"/>
  <c r="AA75" i="45" s="1"/>
  <c r="G76" i="45"/>
  <c r="K76" i="45"/>
  <c r="O76" i="45"/>
  <c r="U76" i="45"/>
  <c r="V76" i="45"/>
  <c r="M76" i="45" s="1"/>
  <c r="K77" i="45"/>
  <c r="M13" i="46" s="1"/>
  <c r="O77" i="45"/>
  <c r="I7" i="55" l="1"/>
  <c r="K15" i="55"/>
  <c r="I8" i="55" s="1"/>
  <c r="E7" i="55"/>
  <c r="D15" i="55"/>
  <c r="G7" i="55"/>
  <c r="F7" i="55"/>
  <c r="Q60" i="54"/>
  <c r="R54" i="54" s="1"/>
  <c r="P60" i="54"/>
  <c r="J14" i="53"/>
  <c r="J15" i="53" s="1"/>
  <c r="Q46" i="54"/>
  <c r="R37" i="54" s="1"/>
  <c r="H14" i="53"/>
  <c r="H15" i="53" s="1"/>
  <c r="P46" i="54"/>
  <c r="P22" i="54"/>
  <c r="G14" i="53"/>
  <c r="G15" i="53" s="1"/>
  <c r="Q22" i="54"/>
  <c r="R17" i="54" s="1"/>
  <c r="P36" i="54"/>
  <c r="L14" i="53"/>
  <c r="L15" i="53" s="1"/>
  <c r="Q36" i="54"/>
  <c r="R30" i="54" s="1"/>
  <c r="Q29" i="54"/>
  <c r="R23" i="54" s="1"/>
  <c r="P29" i="54"/>
  <c r="K14" i="53"/>
  <c r="Q53" i="54"/>
  <c r="R47" i="54" s="1"/>
  <c r="I14" i="53"/>
  <c r="I15" i="53" s="1"/>
  <c r="P53" i="54"/>
  <c r="D14" i="53"/>
  <c r="D2" i="54"/>
  <c r="Q8" i="54"/>
  <c r="R5" i="54" s="1"/>
  <c r="P8" i="54"/>
  <c r="Q11" i="54"/>
  <c r="R9" i="54" s="1"/>
  <c r="P11" i="54"/>
  <c r="E14" i="53"/>
  <c r="E15" i="53" s="1"/>
  <c r="Q66" i="54"/>
  <c r="R61" i="54" s="1"/>
  <c r="M14" i="53"/>
  <c r="M15" i="53" s="1"/>
  <c r="P66" i="54"/>
  <c r="Q24" i="52"/>
  <c r="P24" i="52"/>
  <c r="Q5" i="52"/>
  <c r="P5" i="52"/>
  <c r="Q62" i="52"/>
  <c r="P62" i="52"/>
  <c r="P44" i="52"/>
  <c r="Q44" i="52"/>
  <c r="Q14" i="52"/>
  <c r="P14" i="52"/>
  <c r="Q42" i="52"/>
  <c r="P42" i="52"/>
  <c r="AB72" i="52"/>
  <c r="AC66" i="52" s="1"/>
  <c r="AA72" i="52"/>
  <c r="N72" i="52"/>
  <c r="AB58" i="52"/>
  <c r="AC52" i="52" s="1"/>
  <c r="AA58" i="52"/>
  <c r="N58" i="52"/>
  <c r="P17" i="52"/>
  <c r="Q17" i="52"/>
  <c r="Q61" i="52"/>
  <c r="P61" i="52"/>
  <c r="Q69" i="52"/>
  <c r="P69" i="52"/>
  <c r="Q57" i="52"/>
  <c r="P57" i="52"/>
  <c r="Q46" i="52"/>
  <c r="P46" i="52"/>
  <c r="Q64" i="52"/>
  <c r="P64" i="52"/>
  <c r="P55" i="52"/>
  <c r="Q55" i="52"/>
  <c r="P10" i="52"/>
  <c r="Q10" i="52"/>
  <c r="Q54" i="52"/>
  <c r="P54" i="52"/>
  <c r="Q21" i="52"/>
  <c r="P21" i="52"/>
  <c r="F14" i="51"/>
  <c r="F15" i="51" s="1"/>
  <c r="Q16" i="52"/>
  <c r="R12" i="52" s="1"/>
  <c r="P16" i="52"/>
  <c r="P18" i="52"/>
  <c r="Q18" i="52"/>
  <c r="Q31" i="52"/>
  <c r="P31" i="52"/>
  <c r="Q39" i="52"/>
  <c r="P39" i="52"/>
  <c r="N65" i="52"/>
  <c r="D2" i="52" s="1"/>
  <c r="AB65" i="52"/>
  <c r="AC59" i="52" s="1"/>
  <c r="AA65" i="52"/>
  <c r="Q49" i="52"/>
  <c r="P49" i="52"/>
  <c r="N30" i="52"/>
  <c r="AB30" i="52"/>
  <c r="AC23" i="52" s="1"/>
  <c r="AA30" i="52"/>
  <c r="Q12" i="52"/>
  <c r="P12" i="52"/>
  <c r="Q23" i="52"/>
  <c r="P23" i="52"/>
  <c r="Q45" i="52"/>
  <c r="P45" i="52"/>
  <c r="Q47" i="52"/>
  <c r="P47" i="52"/>
  <c r="P68" i="52"/>
  <c r="Q68" i="52"/>
  <c r="Q35" i="52"/>
  <c r="P35" i="52"/>
  <c r="P43" i="52"/>
  <c r="Q43" i="52"/>
  <c r="P8" i="52"/>
  <c r="D14" i="51"/>
  <c r="Q8" i="52"/>
  <c r="R5" i="52" s="1"/>
  <c r="AB40" i="52"/>
  <c r="AC31" i="52" s="1"/>
  <c r="AA40" i="52"/>
  <c r="N40" i="52"/>
  <c r="Q28" i="52"/>
  <c r="P28" i="52"/>
  <c r="Q71" i="52"/>
  <c r="P71" i="52"/>
  <c r="Q13" i="52"/>
  <c r="P13" i="52"/>
  <c r="Q26" i="52"/>
  <c r="P26" i="52"/>
  <c r="Q6" i="52"/>
  <c r="P6" i="52"/>
  <c r="Q34" i="52"/>
  <c r="P34" i="52"/>
  <c r="Q33" i="52"/>
  <c r="P33" i="52"/>
  <c r="AB51" i="52"/>
  <c r="AC41" i="52" s="1"/>
  <c r="AA51" i="52"/>
  <c r="N51" i="52"/>
  <c r="P32" i="52"/>
  <c r="Q32" i="52"/>
  <c r="Q37" i="52"/>
  <c r="P37" i="52"/>
  <c r="AA11" i="52"/>
  <c r="AB11" i="52"/>
  <c r="AC9" i="52" s="1"/>
  <c r="N11" i="52"/>
  <c r="Q66" i="52"/>
  <c r="P66" i="52"/>
  <c r="Q48" i="52"/>
  <c r="P48" i="52"/>
  <c r="Q20" i="52"/>
  <c r="P20" i="52"/>
  <c r="P67" i="52"/>
  <c r="Q67" i="52"/>
  <c r="Q9" i="52"/>
  <c r="P9" i="52"/>
  <c r="AB22" i="52"/>
  <c r="AC17" i="52" s="1"/>
  <c r="AA22" i="52"/>
  <c r="N22" i="52"/>
  <c r="Q70" i="52"/>
  <c r="P70" i="52"/>
  <c r="Q59" i="52"/>
  <c r="P59" i="52"/>
  <c r="Q41" i="52"/>
  <c r="P41" i="52"/>
  <c r="Q19" i="52"/>
  <c r="P19" i="52"/>
  <c r="AA15" i="45"/>
  <c r="N15" i="45"/>
  <c r="P15" i="45" s="1"/>
  <c r="N21" i="45"/>
  <c r="AA21" i="45"/>
  <c r="M62" i="45"/>
  <c r="AA56" i="45"/>
  <c r="N56" i="45"/>
  <c r="P56" i="45" s="1"/>
  <c r="AB56" i="45"/>
  <c r="AA41" i="45"/>
  <c r="N41" i="45"/>
  <c r="P41" i="45" s="1"/>
  <c r="AB41" i="45"/>
  <c r="AA39" i="45"/>
  <c r="N39" i="45"/>
  <c r="P39" i="45" s="1"/>
  <c r="AB39" i="45"/>
  <c r="AA22" i="45"/>
  <c r="AB22" i="45"/>
  <c r="N22" i="45"/>
  <c r="P22" i="45" s="1"/>
  <c r="AA14" i="45"/>
  <c r="N14" i="45"/>
  <c r="P14" i="45" s="1"/>
  <c r="AA63" i="45"/>
  <c r="AB63" i="45"/>
  <c r="N57" i="45"/>
  <c r="P57" i="45" s="1"/>
  <c r="AA57" i="45"/>
  <c r="AB57" i="45"/>
  <c r="AB36" i="45"/>
  <c r="N36" i="45"/>
  <c r="P36" i="45" s="1"/>
  <c r="AA36" i="45"/>
  <c r="N34" i="45"/>
  <c r="AA34" i="45"/>
  <c r="AB70" i="45"/>
  <c r="AA70" i="45"/>
  <c r="AA66" i="45"/>
  <c r="AB64" i="45"/>
  <c r="N51" i="45"/>
  <c r="Q51" i="45" s="1"/>
  <c r="AA48" i="45"/>
  <c r="F1" i="45"/>
  <c r="AA35" i="45"/>
  <c r="AB66" i="45"/>
  <c r="AB48" i="45"/>
  <c r="I6" i="46"/>
  <c r="E6" i="46"/>
  <c r="G6" i="46"/>
  <c r="F6" i="46"/>
  <c r="P50" i="45"/>
  <c r="Q50" i="45"/>
  <c r="N19" i="45"/>
  <c r="AB19" i="45"/>
  <c r="AA19" i="45"/>
  <c r="M24" i="45"/>
  <c r="AB62" i="45"/>
  <c r="AC56" i="45" s="1"/>
  <c r="N62" i="45"/>
  <c r="I14" i="46" s="1"/>
  <c r="I15" i="46" s="1"/>
  <c r="AA62" i="45"/>
  <c r="P47" i="45"/>
  <c r="Q47" i="45"/>
  <c r="AB67" i="45"/>
  <c r="N67" i="45"/>
  <c r="AA67" i="45"/>
  <c r="AA27" i="45"/>
  <c r="AB27" i="45"/>
  <c r="N27" i="45"/>
  <c r="AA6" i="45"/>
  <c r="AB6" i="45"/>
  <c r="N6" i="45"/>
  <c r="AA31" i="45"/>
  <c r="AB31" i="45"/>
  <c r="N31" i="45"/>
  <c r="AA29" i="45"/>
  <c r="AB29" i="45"/>
  <c r="N29" i="45"/>
  <c r="P21" i="45"/>
  <c r="Q21" i="45"/>
  <c r="P66" i="45"/>
  <c r="Q66" i="45"/>
  <c r="M13" i="45"/>
  <c r="N9" i="45"/>
  <c r="AB9" i="45"/>
  <c r="AA9" i="45"/>
  <c r="P45" i="45"/>
  <c r="Q45" i="45"/>
  <c r="AA74" i="45"/>
  <c r="AB74" i="45"/>
  <c r="N74" i="45"/>
  <c r="P23" i="45"/>
  <c r="Q23" i="45"/>
  <c r="M33" i="45"/>
  <c r="AA25" i="45"/>
  <c r="AB25" i="45"/>
  <c r="N25" i="45"/>
  <c r="N58" i="45"/>
  <c r="AA58" i="45"/>
  <c r="AB58" i="45"/>
  <c r="P37" i="45"/>
  <c r="Q37" i="45"/>
  <c r="P34" i="45"/>
  <c r="Q34" i="45"/>
  <c r="AA17" i="45"/>
  <c r="AB17" i="45"/>
  <c r="N17" i="45"/>
  <c r="AB65" i="45"/>
  <c r="N65" i="45"/>
  <c r="AA65" i="45"/>
  <c r="M69" i="45"/>
  <c r="N11" i="45"/>
  <c r="AA11" i="45"/>
  <c r="AB11" i="45"/>
  <c r="AA60" i="45"/>
  <c r="N60" i="45"/>
  <c r="AB60" i="45"/>
  <c r="N20" i="45"/>
  <c r="AB20" i="45"/>
  <c r="AA20" i="45"/>
  <c r="AA5" i="45"/>
  <c r="AB5" i="45"/>
  <c r="M8" i="45"/>
  <c r="N5" i="45"/>
  <c r="N12" i="45"/>
  <c r="AB12" i="45"/>
  <c r="AA12" i="45"/>
  <c r="P53" i="45"/>
  <c r="Q53" i="45"/>
  <c r="AA30" i="45"/>
  <c r="AB30" i="45"/>
  <c r="N30" i="45"/>
  <c r="AA7" i="45"/>
  <c r="AB7" i="45"/>
  <c r="N7" i="45"/>
  <c r="P35" i="45"/>
  <c r="Q35" i="45"/>
  <c r="N10" i="45"/>
  <c r="AB10" i="45"/>
  <c r="AA10" i="45"/>
  <c r="AA43" i="45"/>
  <c r="AB43" i="45"/>
  <c r="N43" i="45"/>
  <c r="AA28" i="45"/>
  <c r="AB28" i="45"/>
  <c r="N28" i="45"/>
  <c r="AA76" i="45"/>
  <c r="AB76" i="45"/>
  <c r="N76" i="45"/>
  <c r="AA72" i="45"/>
  <c r="AB72" i="45"/>
  <c r="N72" i="45"/>
  <c r="P68" i="45"/>
  <c r="Q68" i="45"/>
  <c r="AB32" i="45"/>
  <c r="N32" i="45"/>
  <c r="AA32" i="45"/>
  <c r="N71" i="45"/>
  <c r="N59" i="45"/>
  <c r="N46" i="45"/>
  <c r="N40" i="45"/>
  <c r="N38" i="45"/>
  <c r="N75" i="45"/>
  <c r="N73" i="45"/>
  <c r="N70" i="45"/>
  <c r="AB68" i="45"/>
  <c r="N61" i="45"/>
  <c r="N54" i="45"/>
  <c r="AA47" i="45"/>
  <c r="N42" i="45"/>
  <c r="AB35" i="45"/>
  <c r="AB34" i="45"/>
  <c r="N26" i="45"/>
  <c r="AB21" i="45"/>
  <c r="N16" i="45"/>
  <c r="AA68" i="45"/>
  <c r="AB45" i="45"/>
  <c r="AB37" i="45"/>
  <c r="AB23" i="45"/>
  <c r="AB71" i="45"/>
  <c r="N64" i="45"/>
  <c r="AB59" i="45"/>
  <c r="AB53" i="45"/>
  <c r="AA50" i="45"/>
  <c r="AA45" i="45"/>
  <c r="AB40" i="45"/>
  <c r="AB38" i="45"/>
  <c r="AA37" i="45"/>
  <c r="AA23" i="45"/>
  <c r="M77" i="45"/>
  <c r="AA53" i="45"/>
  <c r="M44" i="45"/>
  <c r="M18" i="45"/>
  <c r="AB15" i="45"/>
  <c r="AB14" i="45"/>
  <c r="AB75" i="45"/>
  <c r="AB73" i="45"/>
  <c r="N63" i="45"/>
  <c r="AB61" i="45"/>
  <c r="Q56" i="45"/>
  <c r="AB42" i="45"/>
  <c r="Q36" i="45"/>
  <c r="AB26" i="45"/>
  <c r="Q22" i="45"/>
  <c r="AB16" i="45"/>
  <c r="M55" i="45"/>
  <c r="Q48" i="45"/>
  <c r="AB46" i="45"/>
  <c r="Q39" i="45"/>
  <c r="Q15" i="45"/>
  <c r="Q14" i="45"/>
  <c r="G8" i="55" l="1"/>
  <c r="F8" i="55"/>
  <c r="E8" i="55"/>
  <c r="D15" i="53"/>
  <c r="G7" i="53"/>
  <c r="F7" i="53"/>
  <c r="E7" i="53"/>
  <c r="I7" i="53"/>
  <c r="K15" i="53"/>
  <c r="I8" i="53" s="1"/>
  <c r="H14" i="51"/>
  <c r="H15" i="51" s="1"/>
  <c r="Q51" i="52"/>
  <c r="R41" i="52" s="1"/>
  <c r="P51" i="52"/>
  <c r="D15" i="51"/>
  <c r="J14" i="51"/>
  <c r="J15" i="51" s="1"/>
  <c r="Q65" i="52"/>
  <c r="R59" i="52" s="1"/>
  <c r="P65" i="52"/>
  <c r="Q58" i="52"/>
  <c r="R52" i="52" s="1"/>
  <c r="I14" i="51"/>
  <c r="I15" i="51" s="1"/>
  <c r="P58" i="52"/>
  <c r="G14" i="51"/>
  <c r="G15" i="51" s="1"/>
  <c r="Q22" i="52"/>
  <c r="R17" i="52" s="1"/>
  <c r="P22" i="52"/>
  <c r="P30" i="52"/>
  <c r="K14" i="51"/>
  <c r="Q30" i="52"/>
  <c r="R23" i="52" s="1"/>
  <c r="Q11" i="52"/>
  <c r="R9" i="52" s="1"/>
  <c r="P11" i="52"/>
  <c r="E14" i="51"/>
  <c r="E15" i="51" s="1"/>
  <c r="L14" i="51"/>
  <c r="L15" i="51" s="1"/>
  <c r="Q40" i="52"/>
  <c r="R31" i="52" s="1"/>
  <c r="P40" i="52"/>
  <c r="Q72" i="52"/>
  <c r="R66" i="52" s="1"/>
  <c r="M14" i="51"/>
  <c r="M15" i="51" s="1"/>
  <c r="P72" i="52"/>
  <c r="F2" i="45"/>
  <c r="I3" i="46"/>
  <c r="Q57" i="45"/>
  <c r="Q41" i="45"/>
  <c r="P51" i="45"/>
  <c r="N55" i="45"/>
  <c r="H14" i="46" s="1"/>
  <c r="H15" i="46" s="1"/>
  <c r="AA55" i="45"/>
  <c r="AB55" i="45"/>
  <c r="AC45" i="45" s="1"/>
  <c r="P5" i="45"/>
  <c r="Q5" i="45"/>
  <c r="P11" i="45"/>
  <c r="Q11" i="45"/>
  <c r="N44" i="45"/>
  <c r="L14" i="46" s="1"/>
  <c r="L15" i="46" s="1"/>
  <c r="AA44" i="45"/>
  <c r="AB44" i="45"/>
  <c r="AC34" i="45" s="1"/>
  <c r="P54" i="45"/>
  <c r="Q54" i="45"/>
  <c r="P65" i="45"/>
  <c r="Q65" i="45"/>
  <c r="Q25" i="45"/>
  <c r="P25" i="45"/>
  <c r="Q61" i="45"/>
  <c r="P61" i="45"/>
  <c r="P32" i="45"/>
  <c r="Q32" i="45"/>
  <c r="P30" i="45"/>
  <c r="Q30" i="45"/>
  <c r="P9" i="45"/>
  <c r="Q9" i="45"/>
  <c r="Q6" i="45"/>
  <c r="P6" i="45"/>
  <c r="Q62" i="45"/>
  <c r="R56" i="45" s="1"/>
  <c r="P62" i="45"/>
  <c r="AA77" i="45"/>
  <c r="N77" i="45"/>
  <c r="M14" i="46" s="1"/>
  <c r="AB77" i="45"/>
  <c r="AC70" i="45" s="1"/>
  <c r="P43" i="45"/>
  <c r="Q43" i="45"/>
  <c r="P17" i="45"/>
  <c r="Q17" i="45"/>
  <c r="N13" i="45"/>
  <c r="E14" i="46" s="1"/>
  <c r="E15" i="46" s="1"/>
  <c r="AA13" i="45"/>
  <c r="AB13" i="45"/>
  <c r="AC9" i="45" s="1"/>
  <c r="Q70" i="45"/>
  <c r="P70" i="45"/>
  <c r="P20" i="45"/>
  <c r="Q20" i="45"/>
  <c r="N33" i="45"/>
  <c r="K14" i="46" s="1"/>
  <c r="K15" i="46" s="1"/>
  <c r="AA33" i="45"/>
  <c r="AB33" i="45"/>
  <c r="AC25" i="45" s="1"/>
  <c r="AA24" i="45"/>
  <c r="AB24" i="45"/>
  <c r="AC19" i="45" s="1"/>
  <c r="N24" i="45"/>
  <c r="G14" i="46" s="1"/>
  <c r="G15" i="46" s="1"/>
  <c r="Q73" i="45"/>
  <c r="P73" i="45"/>
  <c r="P27" i="45"/>
  <c r="Q27" i="45"/>
  <c r="Q16" i="45"/>
  <c r="P16" i="45"/>
  <c r="Q75" i="45"/>
  <c r="P75" i="45"/>
  <c r="P72" i="45"/>
  <c r="Q72" i="45"/>
  <c r="P60" i="45"/>
  <c r="Q60" i="45"/>
  <c r="Q42" i="45"/>
  <c r="P42" i="45"/>
  <c r="P59" i="45"/>
  <c r="Q59" i="45"/>
  <c r="P7" i="45"/>
  <c r="Q7" i="45"/>
  <c r="N8" i="45"/>
  <c r="D14" i="46" s="1"/>
  <c r="AA8" i="45"/>
  <c r="AB8" i="45"/>
  <c r="AC5" i="45" s="1"/>
  <c r="N69" i="45"/>
  <c r="J14" i="46" s="1"/>
  <c r="J15" i="46" s="1"/>
  <c r="AA69" i="45"/>
  <c r="AB69" i="45"/>
  <c r="AC63" i="45" s="1"/>
  <c r="P31" i="45"/>
  <c r="Q31" i="45"/>
  <c r="N18" i="45"/>
  <c r="F14" i="46" s="1"/>
  <c r="F15" i="46" s="1"/>
  <c r="AB18" i="45"/>
  <c r="AC14" i="45" s="1"/>
  <c r="AA18" i="45"/>
  <c r="P64" i="45"/>
  <c r="Q64" i="45"/>
  <c r="P71" i="45"/>
  <c r="Q71" i="45"/>
  <c r="Q28" i="45"/>
  <c r="P28" i="45"/>
  <c r="P58" i="45"/>
  <c r="Q58" i="45"/>
  <c r="P63" i="45"/>
  <c r="Q63" i="45"/>
  <c r="P38" i="45"/>
  <c r="Q38" i="45"/>
  <c r="P74" i="45"/>
  <c r="Q74" i="45"/>
  <c r="P19" i="45"/>
  <c r="Q19" i="45"/>
  <c r="Q26" i="45"/>
  <c r="P26" i="45"/>
  <c r="P40" i="45"/>
  <c r="Q40" i="45"/>
  <c r="P10" i="45"/>
  <c r="Q10" i="45"/>
  <c r="P29" i="45"/>
  <c r="Q29" i="45"/>
  <c r="P46" i="45"/>
  <c r="Q46" i="45"/>
  <c r="P76" i="45"/>
  <c r="Q76" i="45"/>
  <c r="P12" i="45"/>
  <c r="Q12" i="45"/>
  <c r="P67" i="45"/>
  <c r="Q67" i="45"/>
  <c r="G8" i="53" l="1"/>
  <c r="F8" i="53"/>
  <c r="E8" i="53"/>
  <c r="E7" i="51"/>
  <c r="K15" i="51"/>
  <c r="I8" i="51" s="1"/>
  <c r="I7" i="51"/>
  <c r="F7" i="51"/>
  <c r="G8" i="51"/>
  <c r="E8" i="51"/>
  <c r="F8" i="51"/>
  <c r="G7" i="51"/>
  <c r="I7" i="46"/>
  <c r="M15" i="46"/>
  <c r="I8" i="46" s="1"/>
  <c r="F7" i="46"/>
  <c r="E7" i="46"/>
  <c r="D15" i="46"/>
  <c r="G7" i="46"/>
  <c r="P18" i="45"/>
  <c r="Q18" i="45"/>
  <c r="R14" i="45" s="1"/>
  <c r="P24" i="45"/>
  <c r="Q24" i="45"/>
  <c r="R19" i="45" s="1"/>
  <c r="P13" i="45"/>
  <c r="Q13" i="45"/>
  <c r="R9" i="45" s="1"/>
  <c r="P69" i="45"/>
  <c r="Q69" i="45"/>
  <c r="R63" i="45" s="1"/>
  <c r="P44" i="45"/>
  <c r="Q44" i="45"/>
  <c r="R34" i="45" s="1"/>
  <c r="P77" i="45"/>
  <c r="Q77" i="45"/>
  <c r="R70" i="45" s="1"/>
  <c r="P33" i="45"/>
  <c r="Q33" i="45"/>
  <c r="R25" i="45" s="1"/>
  <c r="D2" i="45"/>
  <c r="P8" i="45"/>
  <c r="Q8" i="45"/>
  <c r="R5" i="45" s="1"/>
  <c r="P55" i="45"/>
  <c r="Q55" i="45"/>
  <c r="R45" i="45" s="1"/>
  <c r="G8" i="46" l="1"/>
  <c r="E8" i="46"/>
  <c r="F8" i="46"/>
  <c r="D1" i="44"/>
  <c r="G5" i="44"/>
  <c r="K5" i="44"/>
  <c r="O5" i="44"/>
  <c r="V5" i="44"/>
  <c r="M5" i="44" s="1"/>
  <c r="G6" i="44"/>
  <c r="K6" i="44"/>
  <c r="M6" i="44"/>
  <c r="AB6" i="44" s="1"/>
  <c r="N6" i="44"/>
  <c r="P6" i="44" s="1"/>
  <c r="O6" i="44"/>
  <c r="U6" i="44"/>
  <c r="V6" i="44"/>
  <c r="G7" i="44"/>
  <c r="K7" i="44"/>
  <c r="O7" i="44"/>
  <c r="U7" i="44"/>
  <c r="V7" i="44"/>
  <c r="M7" i="44" s="1"/>
  <c r="K8" i="44"/>
  <c r="O8" i="44"/>
  <c r="G9" i="44"/>
  <c r="K9" i="44"/>
  <c r="O9" i="44"/>
  <c r="V9" i="44"/>
  <c r="M9" i="44" s="1"/>
  <c r="W9" i="44"/>
  <c r="X9" i="44"/>
  <c r="G10" i="44"/>
  <c r="K10" i="44"/>
  <c r="O10" i="44"/>
  <c r="U10" i="44"/>
  <c r="V10" i="44"/>
  <c r="M10" i="44" s="1"/>
  <c r="G11" i="44"/>
  <c r="K11" i="44"/>
  <c r="M11" i="44"/>
  <c r="N11" i="44" s="1"/>
  <c r="O11" i="44"/>
  <c r="U11" i="44"/>
  <c r="V11" i="44"/>
  <c r="W11" i="44"/>
  <c r="X11" i="44"/>
  <c r="G12" i="44"/>
  <c r="K12" i="44"/>
  <c r="O12" i="44"/>
  <c r="U12" i="44"/>
  <c r="V12" i="44"/>
  <c r="M12" i="44" s="1"/>
  <c r="K13" i="44"/>
  <c r="E13" i="43" s="1"/>
  <c r="O13" i="44"/>
  <c r="G14" i="44"/>
  <c r="K14" i="44"/>
  <c r="O14" i="44"/>
  <c r="V14" i="44"/>
  <c r="M14" i="44" s="1"/>
  <c r="G15" i="44"/>
  <c r="K15" i="44"/>
  <c r="M15" i="44"/>
  <c r="AA15" i="44" s="1"/>
  <c r="O15" i="44"/>
  <c r="U15" i="44"/>
  <c r="V15" i="44"/>
  <c r="G16" i="44"/>
  <c r="K16" i="44"/>
  <c r="O16" i="44"/>
  <c r="U16" i="44"/>
  <c r="V16" i="44"/>
  <c r="M16" i="44" s="1"/>
  <c r="G17" i="44"/>
  <c r="K17" i="44"/>
  <c r="O17" i="44"/>
  <c r="U17" i="44"/>
  <c r="V17" i="44"/>
  <c r="M17" i="44" s="1"/>
  <c r="K18" i="44"/>
  <c r="O18" i="44"/>
  <c r="G19" i="44"/>
  <c r="K19" i="44"/>
  <c r="O19" i="44"/>
  <c r="V19" i="44"/>
  <c r="M19" i="44" s="1"/>
  <c r="N19" i="44" s="1"/>
  <c r="G20" i="44"/>
  <c r="K20" i="44"/>
  <c r="M20" i="44"/>
  <c r="N20" i="44" s="1"/>
  <c r="O20" i="44"/>
  <c r="U20" i="44"/>
  <c r="V20" i="44"/>
  <c r="G21" i="44"/>
  <c r="K21" i="44"/>
  <c r="O21" i="44"/>
  <c r="U21" i="44"/>
  <c r="V21" i="44"/>
  <c r="M21" i="44" s="1"/>
  <c r="N21" i="44" s="1"/>
  <c r="G22" i="44"/>
  <c r="K22" i="44"/>
  <c r="M22" i="44"/>
  <c r="AB22" i="44" s="1"/>
  <c r="N22" i="44"/>
  <c r="P22" i="44" s="1"/>
  <c r="O22" i="44"/>
  <c r="U22" i="44"/>
  <c r="V22" i="44"/>
  <c r="G23" i="44"/>
  <c r="K23" i="44"/>
  <c r="M23" i="44"/>
  <c r="N23" i="44" s="1"/>
  <c r="O23" i="44"/>
  <c r="U23" i="44"/>
  <c r="V23" i="44"/>
  <c r="K24" i="44"/>
  <c r="O24" i="44"/>
  <c r="G25" i="44"/>
  <c r="K25" i="44"/>
  <c r="O25" i="44"/>
  <c r="V25" i="44"/>
  <c r="M25" i="44" s="1"/>
  <c r="W25" i="44"/>
  <c r="X25" i="44"/>
  <c r="G26" i="44"/>
  <c r="K26" i="44"/>
  <c r="O26" i="44"/>
  <c r="U26" i="44"/>
  <c r="V26" i="44"/>
  <c r="M26" i="44" s="1"/>
  <c r="G27" i="44"/>
  <c r="K27" i="44"/>
  <c r="O27" i="44"/>
  <c r="U27" i="44"/>
  <c r="V27" i="44"/>
  <c r="M27" i="44" s="1"/>
  <c r="G28" i="44"/>
  <c r="K28" i="44"/>
  <c r="O28" i="44"/>
  <c r="U28" i="44"/>
  <c r="V28" i="44"/>
  <c r="M28" i="44" s="1"/>
  <c r="G29" i="44"/>
  <c r="K29" i="44"/>
  <c r="O29" i="44"/>
  <c r="U29" i="44"/>
  <c r="V29" i="44"/>
  <c r="M29" i="44" s="1"/>
  <c r="W29" i="44"/>
  <c r="X29" i="44"/>
  <c r="G30" i="44"/>
  <c r="K30" i="44"/>
  <c r="O30" i="44"/>
  <c r="U30" i="44"/>
  <c r="V30" i="44"/>
  <c r="M30" i="44" s="1"/>
  <c r="G31" i="44"/>
  <c r="K31" i="44"/>
  <c r="O31" i="44"/>
  <c r="U31" i="44"/>
  <c r="V31" i="44"/>
  <c r="M31" i="44" s="1"/>
  <c r="G32" i="44"/>
  <c r="K32" i="44"/>
  <c r="O32" i="44"/>
  <c r="U32" i="44"/>
  <c r="V32" i="44"/>
  <c r="M32" i="44" s="1"/>
  <c r="K33" i="44"/>
  <c r="K13" i="43" s="1"/>
  <c r="O33" i="44"/>
  <c r="G34" i="44"/>
  <c r="K34" i="44"/>
  <c r="O34" i="44"/>
  <c r="V34" i="44"/>
  <c r="M34" i="44" s="1"/>
  <c r="N34" i="44" s="1"/>
  <c r="W34" i="44"/>
  <c r="X34" i="44"/>
  <c r="G35" i="44"/>
  <c r="K35" i="44"/>
  <c r="O35" i="44"/>
  <c r="U35" i="44"/>
  <c r="V35" i="44"/>
  <c r="M35" i="44" s="1"/>
  <c r="N35" i="44" s="1"/>
  <c r="G36" i="44"/>
  <c r="K36" i="44"/>
  <c r="O36" i="44"/>
  <c r="U36" i="44"/>
  <c r="V36" i="44"/>
  <c r="M36" i="44" s="1"/>
  <c r="G37" i="44"/>
  <c r="K37" i="44"/>
  <c r="M37" i="44"/>
  <c r="N37" i="44" s="1"/>
  <c r="O37" i="44"/>
  <c r="U37" i="44"/>
  <c r="V37" i="44"/>
  <c r="G38" i="44"/>
  <c r="K38" i="44"/>
  <c r="O38" i="44"/>
  <c r="U38" i="44"/>
  <c r="V38" i="44"/>
  <c r="M38" i="44" s="1"/>
  <c r="G39" i="44"/>
  <c r="K39" i="44"/>
  <c r="O39" i="44"/>
  <c r="U39" i="44"/>
  <c r="V39" i="44"/>
  <c r="M39" i="44" s="1"/>
  <c r="W39" i="44"/>
  <c r="X39" i="44"/>
  <c r="G40" i="44"/>
  <c r="K40" i="44"/>
  <c r="O40" i="44"/>
  <c r="U40" i="44"/>
  <c r="V40" i="44"/>
  <c r="M40" i="44" s="1"/>
  <c r="G41" i="44"/>
  <c r="K41" i="44"/>
  <c r="O41" i="44"/>
  <c r="U41" i="44"/>
  <c r="V41" i="44"/>
  <c r="M41" i="44" s="1"/>
  <c r="G42" i="44"/>
  <c r="K42" i="44"/>
  <c r="O42" i="44"/>
  <c r="U42" i="44"/>
  <c r="V42" i="44"/>
  <c r="M42" i="44" s="1"/>
  <c r="G43" i="44"/>
  <c r="K43" i="44"/>
  <c r="O43" i="44"/>
  <c r="U43" i="44"/>
  <c r="V43" i="44"/>
  <c r="M43" i="44" s="1"/>
  <c r="K44" i="44"/>
  <c r="L13" i="43" s="1"/>
  <c r="O44" i="44"/>
  <c r="G45" i="44"/>
  <c r="M45" i="44"/>
  <c r="N45" i="44" s="1"/>
  <c r="G46" i="44"/>
  <c r="M46" i="44"/>
  <c r="N46" i="44" s="1"/>
  <c r="AB46" i="44"/>
  <c r="G47" i="44"/>
  <c r="M47" i="44"/>
  <c r="N47" i="44" s="1"/>
  <c r="G48" i="44"/>
  <c r="M48" i="44"/>
  <c r="N48" i="44" s="1"/>
  <c r="G49" i="44"/>
  <c r="M49" i="44"/>
  <c r="N49" i="44" s="1"/>
  <c r="G50" i="44"/>
  <c r="M50" i="44"/>
  <c r="N50" i="44" s="1"/>
  <c r="AB50" i="44"/>
  <c r="G51" i="44"/>
  <c r="M51" i="44"/>
  <c r="N51" i="44" s="1"/>
  <c r="W51" i="44"/>
  <c r="X51" i="44"/>
  <c r="AB51" i="44"/>
  <c r="G52" i="44"/>
  <c r="M52" i="44"/>
  <c r="G53" i="44"/>
  <c r="M53" i="44"/>
  <c r="N53" i="44" s="1"/>
  <c r="G54" i="44"/>
  <c r="M54" i="44"/>
  <c r="K55" i="44"/>
  <c r="O55" i="44"/>
  <c r="G56" i="44"/>
  <c r="K56" i="44"/>
  <c r="M56" i="44"/>
  <c r="N56" i="44" s="1"/>
  <c r="O56" i="44"/>
  <c r="V56" i="44"/>
  <c r="G57" i="44"/>
  <c r="K57" i="44"/>
  <c r="O57" i="44"/>
  <c r="U57" i="44"/>
  <c r="V57" i="44"/>
  <c r="M57" i="44" s="1"/>
  <c r="N57" i="44" s="1"/>
  <c r="G58" i="44"/>
  <c r="K58" i="44"/>
  <c r="M58" i="44"/>
  <c r="N58" i="44" s="1"/>
  <c r="O58" i="44"/>
  <c r="U58" i="44"/>
  <c r="V58" i="44"/>
  <c r="G59" i="44"/>
  <c r="K59" i="44"/>
  <c r="O59" i="44"/>
  <c r="U59" i="44"/>
  <c r="V59" i="44"/>
  <c r="M59" i="44" s="1"/>
  <c r="G60" i="44"/>
  <c r="K60" i="44"/>
  <c r="O60" i="44"/>
  <c r="U60" i="44"/>
  <c r="V60" i="44"/>
  <c r="M60" i="44" s="1"/>
  <c r="G61" i="44"/>
  <c r="K61" i="44"/>
  <c r="O61" i="44"/>
  <c r="U61" i="44"/>
  <c r="V61" i="44"/>
  <c r="M61" i="44" s="1"/>
  <c r="N61" i="44" s="1"/>
  <c r="K62" i="44"/>
  <c r="O62" i="44"/>
  <c r="G63" i="44"/>
  <c r="K63" i="44"/>
  <c r="O63" i="44"/>
  <c r="V63" i="44"/>
  <c r="M63" i="44" s="1"/>
  <c r="W63" i="44"/>
  <c r="X63" i="44"/>
  <c r="G64" i="44"/>
  <c r="K64" i="44"/>
  <c r="O64" i="44"/>
  <c r="U64" i="44"/>
  <c r="V64" i="44"/>
  <c r="M64" i="44" s="1"/>
  <c r="G65" i="44"/>
  <c r="K65" i="44"/>
  <c r="M65" i="44"/>
  <c r="AA65" i="44" s="1"/>
  <c r="O65" i="44"/>
  <c r="U65" i="44"/>
  <c r="V65" i="44"/>
  <c r="G66" i="44"/>
  <c r="K66" i="44"/>
  <c r="O66" i="44"/>
  <c r="U66" i="44"/>
  <c r="V66" i="44"/>
  <c r="M66" i="44" s="1"/>
  <c r="G67" i="44"/>
  <c r="K67" i="44"/>
  <c r="O67" i="44"/>
  <c r="U67" i="44"/>
  <c r="V67" i="44"/>
  <c r="M67" i="44" s="1"/>
  <c r="G68" i="44"/>
  <c r="K68" i="44"/>
  <c r="O68" i="44"/>
  <c r="U68" i="44"/>
  <c r="V68" i="44"/>
  <c r="M68" i="44" s="1"/>
  <c r="K69" i="44"/>
  <c r="O69" i="44"/>
  <c r="G70" i="44"/>
  <c r="K70" i="44"/>
  <c r="N70" i="44"/>
  <c r="O70" i="44"/>
  <c r="V70" i="44"/>
  <c r="M70" i="44" s="1"/>
  <c r="W70" i="44"/>
  <c r="X70" i="44"/>
  <c r="G71" i="44"/>
  <c r="K71" i="44"/>
  <c r="O71" i="44"/>
  <c r="U71" i="44"/>
  <c r="V71" i="44"/>
  <c r="M71" i="44" s="1"/>
  <c r="G72" i="44"/>
  <c r="K72" i="44"/>
  <c r="M72" i="44"/>
  <c r="O72" i="44"/>
  <c r="U72" i="44"/>
  <c r="V72" i="44"/>
  <c r="G73" i="44"/>
  <c r="K73" i="44"/>
  <c r="O73" i="44"/>
  <c r="U73" i="44"/>
  <c r="V73" i="44"/>
  <c r="M73" i="44" s="1"/>
  <c r="N73" i="44" s="1"/>
  <c r="G74" i="44"/>
  <c r="K74" i="44"/>
  <c r="O74" i="44"/>
  <c r="U74" i="44"/>
  <c r="V74" i="44"/>
  <c r="M74" i="44" s="1"/>
  <c r="W74" i="44"/>
  <c r="X74" i="44"/>
  <c r="G75" i="44"/>
  <c r="K75" i="44"/>
  <c r="O75" i="44"/>
  <c r="U75" i="44"/>
  <c r="V75" i="44"/>
  <c r="M75" i="44" s="1"/>
  <c r="G76" i="44"/>
  <c r="K76" i="44"/>
  <c r="O76" i="44"/>
  <c r="U76" i="44"/>
  <c r="V76" i="44"/>
  <c r="M76" i="44" s="1"/>
  <c r="K77" i="44"/>
  <c r="O77" i="44"/>
  <c r="C3" i="43"/>
  <c r="F3" i="43"/>
  <c r="D13" i="43"/>
  <c r="F13" i="43"/>
  <c r="G13" i="43"/>
  <c r="H13" i="43"/>
  <c r="I13" i="43"/>
  <c r="J13" i="43"/>
  <c r="M13" i="43"/>
  <c r="D16" i="43"/>
  <c r="E16" i="43"/>
  <c r="F16" i="43"/>
  <c r="G16" i="43"/>
  <c r="H16" i="43"/>
  <c r="I16" i="43"/>
  <c r="J16" i="43"/>
  <c r="K16" i="43"/>
  <c r="L16" i="43"/>
  <c r="M16" i="43"/>
  <c r="D17" i="43"/>
  <c r="E17" i="43"/>
  <c r="F17" i="43"/>
  <c r="G17" i="43"/>
  <c r="H17" i="43"/>
  <c r="I17" i="43"/>
  <c r="J17" i="43"/>
  <c r="K17" i="43"/>
  <c r="L17" i="43"/>
  <c r="M17" i="43"/>
  <c r="D18" i="43"/>
  <c r="E18" i="43"/>
  <c r="F18" i="43"/>
  <c r="G18" i="43"/>
  <c r="H18" i="43"/>
  <c r="I18" i="43"/>
  <c r="J18" i="43"/>
  <c r="K18" i="43"/>
  <c r="L18" i="43"/>
  <c r="M18" i="43"/>
  <c r="N68" i="44" l="1"/>
  <c r="AB68" i="44"/>
  <c r="N32" i="44"/>
  <c r="P32" i="44" s="1"/>
  <c r="AA32" i="44"/>
  <c r="AB32" i="44"/>
  <c r="AB5" i="44"/>
  <c r="N5" i="44"/>
  <c r="P5" i="44" s="1"/>
  <c r="AA5" i="44"/>
  <c r="AB36" i="44"/>
  <c r="N36" i="44"/>
  <c r="P36" i="44" s="1"/>
  <c r="AA36" i="44"/>
  <c r="AA14" i="44"/>
  <c r="AB14" i="44"/>
  <c r="AB47" i="44"/>
  <c r="M55" i="44"/>
  <c r="AB11" i="44"/>
  <c r="AB49" i="44"/>
  <c r="AA22" i="44"/>
  <c r="AA6" i="44"/>
  <c r="AB15" i="44"/>
  <c r="AB48" i="44"/>
  <c r="P73" i="44"/>
  <c r="Q73" i="44"/>
  <c r="P61" i="44"/>
  <c r="Q61" i="44"/>
  <c r="AA66" i="44"/>
  <c r="AB66" i="44"/>
  <c r="N66" i="44"/>
  <c r="Q35" i="44"/>
  <c r="P35" i="44"/>
  <c r="AA26" i="44"/>
  <c r="AB26" i="44"/>
  <c r="N26" i="44"/>
  <c r="P20" i="44"/>
  <c r="Q20" i="44"/>
  <c r="F1" i="44"/>
  <c r="AB67" i="44"/>
  <c r="N67" i="44"/>
  <c r="M69" i="44"/>
  <c r="AA63" i="44"/>
  <c r="AB63" i="44"/>
  <c r="N63" i="44"/>
  <c r="P53" i="44"/>
  <c r="Q53" i="44"/>
  <c r="P45" i="44"/>
  <c r="Q45" i="44"/>
  <c r="P34" i="44"/>
  <c r="Q34" i="44"/>
  <c r="AA27" i="44"/>
  <c r="AB27" i="44"/>
  <c r="N27" i="44"/>
  <c r="M33" i="44"/>
  <c r="AA25" i="44"/>
  <c r="AB25" i="44"/>
  <c r="N25" i="44"/>
  <c r="AA75" i="44"/>
  <c r="AB75" i="44"/>
  <c r="N71" i="44"/>
  <c r="AA71" i="44"/>
  <c r="AB71" i="44"/>
  <c r="N52" i="44"/>
  <c r="AB52" i="44"/>
  <c r="Q58" i="44"/>
  <c r="P58" i="44"/>
  <c r="P56" i="44"/>
  <c r="Q56" i="44"/>
  <c r="P37" i="44"/>
  <c r="Q37" i="44"/>
  <c r="AA17" i="44"/>
  <c r="AB17" i="44"/>
  <c r="N17" i="44"/>
  <c r="N75" i="44"/>
  <c r="AA64" i="44"/>
  <c r="AB64" i="44"/>
  <c r="N64" i="44"/>
  <c r="N60" i="44"/>
  <c r="AA60" i="44"/>
  <c r="AB60" i="44"/>
  <c r="Q48" i="44"/>
  <c r="P48" i="44"/>
  <c r="AA43" i="44"/>
  <c r="AB43" i="44"/>
  <c r="N43" i="44"/>
  <c r="N12" i="44"/>
  <c r="AA12" i="44"/>
  <c r="AB12" i="44"/>
  <c r="N10" i="44"/>
  <c r="AA10" i="44"/>
  <c r="AB10" i="44"/>
  <c r="Q50" i="44"/>
  <c r="P50" i="44"/>
  <c r="AA61" i="44"/>
  <c r="AB61" i="44"/>
  <c r="N59" i="44"/>
  <c r="AA59" i="44"/>
  <c r="AB59" i="44"/>
  <c r="P51" i="44"/>
  <c r="Q51" i="44"/>
  <c r="P47" i="44"/>
  <c r="Q47" i="44"/>
  <c r="AA40" i="44"/>
  <c r="N40" i="44"/>
  <c r="AB40" i="44"/>
  <c r="AA38" i="44"/>
  <c r="N38" i="44"/>
  <c r="AB38" i="44"/>
  <c r="AA30" i="44"/>
  <c r="AB30" i="44"/>
  <c r="N30" i="44"/>
  <c r="AA28" i="44"/>
  <c r="AB28" i="44"/>
  <c r="N28" i="44"/>
  <c r="AA7" i="44"/>
  <c r="AB7" i="44"/>
  <c r="N7" i="44"/>
  <c r="Q46" i="44"/>
  <c r="P46" i="44"/>
  <c r="P19" i="44"/>
  <c r="Q19" i="44"/>
  <c r="AB76" i="44"/>
  <c r="AA76" i="44"/>
  <c r="N76" i="44"/>
  <c r="P68" i="44"/>
  <c r="Q68" i="44"/>
  <c r="AA16" i="44"/>
  <c r="M18" i="44"/>
  <c r="AB16" i="44"/>
  <c r="N16" i="44"/>
  <c r="AA74" i="44"/>
  <c r="AB74" i="44"/>
  <c r="N74" i="44"/>
  <c r="AA70" i="44"/>
  <c r="M77" i="44"/>
  <c r="AB70" i="44"/>
  <c r="P57" i="44"/>
  <c r="Q57" i="44"/>
  <c r="AA42" i="44"/>
  <c r="AB42" i="44"/>
  <c r="N42" i="44"/>
  <c r="P23" i="44"/>
  <c r="Q23" i="44"/>
  <c r="N72" i="44"/>
  <c r="AA72" i="44"/>
  <c r="AB72" i="44"/>
  <c r="P70" i="44"/>
  <c r="Q70" i="44"/>
  <c r="AA67" i="44"/>
  <c r="Q21" i="44"/>
  <c r="P21" i="44"/>
  <c r="P49" i="44"/>
  <c r="Q49" i="44"/>
  <c r="M13" i="44"/>
  <c r="N9" i="44"/>
  <c r="AA9" i="44"/>
  <c r="AB9" i="44"/>
  <c r="N54" i="44"/>
  <c r="AB54" i="44"/>
  <c r="AA73" i="44"/>
  <c r="AB73" i="44"/>
  <c r="AB41" i="44"/>
  <c r="AA41" i="44"/>
  <c r="N41" i="44"/>
  <c r="AA39" i="44"/>
  <c r="AB39" i="44"/>
  <c r="N39" i="44"/>
  <c r="AA31" i="44"/>
  <c r="AB31" i="44"/>
  <c r="N31" i="44"/>
  <c r="AA29" i="44"/>
  <c r="AB29" i="44"/>
  <c r="N29" i="44"/>
  <c r="Q11" i="44"/>
  <c r="P11" i="44"/>
  <c r="AA68" i="44"/>
  <c r="AB57" i="44"/>
  <c r="AB56" i="44"/>
  <c r="AA55" i="44"/>
  <c r="AB20" i="44"/>
  <c r="AB19" i="44"/>
  <c r="N15" i="44"/>
  <c r="N14" i="44"/>
  <c r="AA11" i="44"/>
  <c r="Q6" i="44"/>
  <c r="Q5" i="44"/>
  <c r="AB58" i="44"/>
  <c r="AA57" i="44"/>
  <c r="AA56" i="44"/>
  <c r="AB53" i="44"/>
  <c r="AB35" i="44"/>
  <c r="AB34" i="44"/>
  <c r="M24" i="44"/>
  <c r="AB21" i="44"/>
  <c r="AA20" i="44"/>
  <c r="AA19" i="44"/>
  <c r="M62" i="44"/>
  <c r="AA58" i="44"/>
  <c r="AA35" i="44"/>
  <c r="AA34" i="44"/>
  <c r="Q32" i="44"/>
  <c r="AA21" i="44"/>
  <c r="N65" i="44"/>
  <c r="AB37" i="44"/>
  <c r="AB23" i="44"/>
  <c r="AB45" i="44"/>
  <c r="AA37" i="44"/>
  <c r="AA23" i="44"/>
  <c r="Q36" i="44"/>
  <c r="Q22" i="44"/>
  <c r="E6" i="43"/>
  <c r="M44" i="44"/>
  <c r="M8" i="44"/>
  <c r="AB65" i="44"/>
  <c r="I6" i="43"/>
  <c r="G6" i="43"/>
  <c r="F6" i="43"/>
  <c r="N55" i="44" l="1"/>
  <c r="AB55" i="44"/>
  <c r="AC45" i="44" s="1"/>
  <c r="AA62" i="44"/>
  <c r="AB62" i="44"/>
  <c r="AC56" i="44" s="1"/>
  <c r="N62" i="44"/>
  <c r="P29" i="44"/>
  <c r="Q29" i="44"/>
  <c r="F2" i="44"/>
  <c r="I3" i="43"/>
  <c r="Q16" i="44"/>
  <c r="P16" i="44"/>
  <c r="Q42" i="44"/>
  <c r="P42" i="44"/>
  <c r="P59" i="44"/>
  <c r="Q59" i="44"/>
  <c r="P71" i="44"/>
  <c r="Q71" i="44"/>
  <c r="AB44" i="44"/>
  <c r="AC34" i="44" s="1"/>
  <c r="N44" i="44"/>
  <c r="AA44" i="44"/>
  <c r="P41" i="44"/>
  <c r="Q41" i="44"/>
  <c r="AB18" i="44"/>
  <c r="AC14" i="44" s="1"/>
  <c r="N18" i="44"/>
  <c r="AA18" i="44"/>
  <c r="P38" i="44"/>
  <c r="Q38" i="44"/>
  <c r="Q26" i="44"/>
  <c r="P26" i="44"/>
  <c r="P63" i="44"/>
  <c r="Q63" i="44"/>
  <c r="P39" i="44"/>
  <c r="Q39" i="44"/>
  <c r="P75" i="44"/>
  <c r="Q75" i="44"/>
  <c r="N13" i="44"/>
  <c r="AA13" i="44"/>
  <c r="AB13" i="44"/>
  <c r="AC9" i="44" s="1"/>
  <c r="Q17" i="44"/>
  <c r="P17" i="44"/>
  <c r="P65" i="44"/>
  <c r="Q65" i="44"/>
  <c r="P9" i="44"/>
  <c r="Q9" i="44"/>
  <c r="P12" i="44"/>
  <c r="Q12" i="44"/>
  <c r="Q43" i="44"/>
  <c r="P43" i="44"/>
  <c r="N8" i="44"/>
  <c r="AA8" i="44"/>
  <c r="AB8" i="44"/>
  <c r="AC5" i="44" s="1"/>
  <c r="P7" i="44"/>
  <c r="Q7" i="44"/>
  <c r="P25" i="44"/>
  <c r="Q25" i="44"/>
  <c r="P40" i="44"/>
  <c r="Q40" i="44"/>
  <c r="P15" i="44"/>
  <c r="Q15" i="44"/>
  <c r="P31" i="44"/>
  <c r="Q31" i="44"/>
  <c r="P10" i="44"/>
  <c r="Q10" i="44"/>
  <c r="P64" i="44"/>
  <c r="Q64" i="44"/>
  <c r="Q27" i="44"/>
  <c r="P27" i="44"/>
  <c r="AA24" i="44"/>
  <c r="AB24" i="44"/>
  <c r="AC19" i="44" s="1"/>
  <c r="N24" i="44"/>
  <c r="P74" i="44"/>
  <c r="Q74" i="44"/>
  <c r="P76" i="44"/>
  <c r="Q76" i="44"/>
  <c r="P67" i="44"/>
  <c r="Q67" i="44"/>
  <c r="P14" i="44"/>
  <c r="Q14" i="44"/>
  <c r="AA77" i="44"/>
  <c r="AB77" i="44"/>
  <c r="AC70" i="44" s="1"/>
  <c r="N77" i="44"/>
  <c r="P28" i="44"/>
  <c r="Q28" i="44"/>
  <c r="P60" i="44"/>
  <c r="Q60" i="44"/>
  <c r="N33" i="44"/>
  <c r="AA33" i="44"/>
  <c r="AB33" i="44"/>
  <c r="AC25" i="44" s="1"/>
  <c r="P66" i="44"/>
  <c r="Q66" i="44"/>
  <c r="P54" i="44"/>
  <c r="Q54" i="44"/>
  <c r="N69" i="44"/>
  <c r="AA69" i="44"/>
  <c r="AB69" i="44"/>
  <c r="AC63" i="44" s="1"/>
  <c r="P72" i="44"/>
  <c r="Q72" i="44"/>
  <c r="P30" i="44"/>
  <c r="Q30" i="44"/>
  <c r="P52" i="44"/>
  <c r="Q52" i="44"/>
  <c r="D1" i="42"/>
  <c r="G5" i="42"/>
  <c r="K5" i="42"/>
  <c r="O5" i="42"/>
  <c r="V5" i="42"/>
  <c r="M5" i="42" s="1"/>
  <c r="G6" i="42"/>
  <c r="K6" i="42"/>
  <c r="O6" i="42"/>
  <c r="U6" i="42"/>
  <c r="V6" i="42"/>
  <c r="M6" i="42" s="1"/>
  <c r="G7" i="42"/>
  <c r="K7" i="42"/>
  <c r="O7" i="42"/>
  <c r="U7" i="42"/>
  <c r="V7" i="42"/>
  <c r="M7" i="42" s="1"/>
  <c r="K8" i="42"/>
  <c r="O8" i="42"/>
  <c r="G9" i="42"/>
  <c r="F1" i="42" s="1"/>
  <c r="K9" i="42"/>
  <c r="M9" i="42"/>
  <c r="N9" i="42" s="1"/>
  <c r="O9" i="42"/>
  <c r="V9" i="42"/>
  <c r="W9" i="42"/>
  <c r="X9" i="42"/>
  <c r="AB9" i="42"/>
  <c r="G10" i="42"/>
  <c r="K10" i="42"/>
  <c r="O10" i="42"/>
  <c r="U10" i="42"/>
  <c r="V10" i="42"/>
  <c r="M10" i="42" s="1"/>
  <c r="G11" i="42"/>
  <c r="K11" i="42"/>
  <c r="O11" i="42"/>
  <c r="U11" i="42"/>
  <c r="V11" i="42"/>
  <c r="M11" i="42" s="1"/>
  <c r="W11" i="42"/>
  <c r="X11" i="42"/>
  <c r="G12" i="42"/>
  <c r="K12" i="42"/>
  <c r="O12" i="42"/>
  <c r="U12" i="42"/>
  <c r="V12" i="42"/>
  <c r="M12" i="42" s="1"/>
  <c r="K13" i="42"/>
  <c r="O13" i="42"/>
  <c r="G14" i="42"/>
  <c r="K14" i="42"/>
  <c r="O14" i="42"/>
  <c r="V14" i="42"/>
  <c r="M14" i="42" s="1"/>
  <c r="G15" i="42"/>
  <c r="K15" i="42"/>
  <c r="O15" i="42"/>
  <c r="U15" i="42"/>
  <c r="V15" i="42"/>
  <c r="M15" i="42" s="1"/>
  <c r="G16" i="42"/>
  <c r="K16" i="42"/>
  <c r="M16" i="42"/>
  <c r="AA16" i="42" s="1"/>
  <c r="O16" i="42"/>
  <c r="U16" i="42"/>
  <c r="V16" i="42"/>
  <c r="G17" i="42"/>
  <c r="K17" i="42"/>
  <c r="O17" i="42"/>
  <c r="U17" i="42"/>
  <c r="V17" i="42"/>
  <c r="M17" i="42" s="1"/>
  <c r="K18" i="42"/>
  <c r="O18" i="42"/>
  <c r="G19" i="42"/>
  <c r="K19" i="42"/>
  <c r="O19" i="42"/>
  <c r="V19" i="42"/>
  <c r="M19" i="42" s="1"/>
  <c r="G20" i="42"/>
  <c r="K20" i="42"/>
  <c r="O20" i="42"/>
  <c r="U20" i="42"/>
  <c r="V20" i="42"/>
  <c r="M20" i="42" s="1"/>
  <c r="G21" i="42"/>
  <c r="K21" i="42"/>
  <c r="M21" i="42"/>
  <c r="N21" i="42" s="1"/>
  <c r="O21" i="42"/>
  <c r="U21" i="42"/>
  <c r="V21" i="42"/>
  <c r="AA21" i="42"/>
  <c r="G22" i="42"/>
  <c r="K22" i="42"/>
  <c r="M22" i="42"/>
  <c r="AA22" i="42" s="1"/>
  <c r="N22" i="42"/>
  <c r="P22" i="42" s="1"/>
  <c r="O22" i="42"/>
  <c r="U22" i="42"/>
  <c r="V22" i="42"/>
  <c r="AB22" i="42"/>
  <c r="G23" i="42"/>
  <c r="K23" i="42"/>
  <c r="O23" i="42"/>
  <c r="U23" i="42"/>
  <c r="V23" i="42"/>
  <c r="M23" i="42" s="1"/>
  <c r="K24" i="42"/>
  <c r="O24" i="42"/>
  <c r="G25" i="42"/>
  <c r="K25" i="42"/>
  <c r="O25" i="42"/>
  <c r="V25" i="42"/>
  <c r="M25" i="42" s="1"/>
  <c r="W25" i="42"/>
  <c r="X25" i="42"/>
  <c r="G26" i="42"/>
  <c r="K26" i="42"/>
  <c r="M26" i="42"/>
  <c r="AA26" i="42" s="1"/>
  <c r="O26" i="42"/>
  <c r="U26" i="42"/>
  <c r="V26" i="42"/>
  <c r="G27" i="42"/>
  <c r="K27" i="42"/>
  <c r="O27" i="42"/>
  <c r="U27" i="42"/>
  <c r="V27" i="42"/>
  <c r="M27" i="42" s="1"/>
  <c r="G28" i="42"/>
  <c r="K28" i="42"/>
  <c r="O28" i="42"/>
  <c r="U28" i="42"/>
  <c r="V28" i="42"/>
  <c r="M28" i="42" s="1"/>
  <c r="G29" i="42"/>
  <c r="K29" i="42"/>
  <c r="M29" i="42"/>
  <c r="AA29" i="42" s="1"/>
  <c r="O29" i="42"/>
  <c r="U29" i="42"/>
  <c r="V29" i="42"/>
  <c r="W29" i="42"/>
  <c r="X29" i="42"/>
  <c r="G30" i="42"/>
  <c r="K30" i="42"/>
  <c r="O30" i="42"/>
  <c r="U30" i="42"/>
  <c r="V30" i="42"/>
  <c r="M30" i="42" s="1"/>
  <c r="G31" i="42"/>
  <c r="K31" i="42"/>
  <c r="M31" i="42"/>
  <c r="AA31" i="42" s="1"/>
  <c r="O31" i="42"/>
  <c r="U31" i="42"/>
  <c r="V31" i="42"/>
  <c r="AB31" i="42"/>
  <c r="G32" i="42"/>
  <c r="K32" i="42"/>
  <c r="O32" i="42"/>
  <c r="U32" i="42"/>
  <c r="V32" i="42"/>
  <c r="M32" i="42" s="1"/>
  <c r="K33" i="42"/>
  <c r="O33" i="42"/>
  <c r="G34" i="42"/>
  <c r="K34" i="42"/>
  <c r="O34" i="42"/>
  <c r="V34" i="42"/>
  <c r="M34" i="42" s="1"/>
  <c r="W34" i="42"/>
  <c r="X34" i="42"/>
  <c r="G35" i="42"/>
  <c r="K35" i="42"/>
  <c r="M35" i="42"/>
  <c r="AB35" i="42" s="1"/>
  <c r="N35" i="42"/>
  <c r="P35" i="42" s="1"/>
  <c r="O35" i="42"/>
  <c r="U35" i="42"/>
  <c r="V35" i="42"/>
  <c r="AA35" i="42"/>
  <c r="G36" i="42"/>
  <c r="K36" i="42"/>
  <c r="M36" i="42"/>
  <c r="AA36" i="42" s="1"/>
  <c r="N36" i="42"/>
  <c r="P36" i="42" s="1"/>
  <c r="O36" i="42"/>
  <c r="U36" i="42"/>
  <c r="V36" i="42"/>
  <c r="AB36" i="42"/>
  <c r="G37" i="42"/>
  <c r="K37" i="42"/>
  <c r="O37" i="42"/>
  <c r="U37" i="42"/>
  <c r="V37" i="42"/>
  <c r="M37" i="42" s="1"/>
  <c r="G38" i="42"/>
  <c r="K38" i="42"/>
  <c r="M38" i="42"/>
  <c r="AA38" i="42" s="1"/>
  <c r="O38" i="42"/>
  <c r="U38" i="42"/>
  <c r="V38" i="42"/>
  <c r="G39" i="42"/>
  <c r="K39" i="42"/>
  <c r="O39" i="42"/>
  <c r="U39" i="42"/>
  <c r="V39" i="42"/>
  <c r="M39" i="42" s="1"/>
  <c r="W39" i="42"/>
  <c r="X39" i="42"/>
  <c r="G40" i="42"/>
  <c r="K40" i="42"/>
  <c r="M40" i="42"/>
  <c r="AA40" i="42" s="1"/>
  <c r="O40" i="42"/>
  <c r="U40" i="42"/>
  <c r="V40" i="42"/>
  <c r="G41" i="42"/>
  <c r="K41" i="42"/>
  <c r="O41" i="42"/>
  <c r="U41" i="42"/>
  <c r="V41" i="42"/>
  <c r="M41" i="42" s="1"/>
  <c r="G42" i="42"/>
  <c r="K42" i="42"/>
  <c r="M42" i="42"/>
  <c r="AA42" i="42" s="1"/>
  <c r="O42" i="42"/>
  <c r="U42" i="42"/>
  <c r="V42" i="42"/>
  <c r="G43" i="42"/>
  <c r="K43" i="42"/>
  <c r="O43" i="42"/>
  <c r="U43" i="42"/>
  <c r="V43" i="42"/>
  <c r="M43" i="42" s="1"/>
  <c r="K44" i="42"/>
  <c r="O44" i="42"/>
  <c r="W51" i="42"/>
  <c r="X51" i="42"/>
  <c r="K55" i="42"/>
  <c r="M55" i="42"/>
  <c r="N55" i="42"/>
  <c r="P55" i="42" s="1"/>
  <c r="O55" i="42"/>
  <c r="Q55" i="42"/>
  <c r="R45" i="42" s="1"/>
  <c r="G56" i="42"/>
  <c r="K56" i="42"/>
  <c r="O56" i="42"/>
  <c r="V56" i="42"/>
  <c r="M56" i="42" s="1"/>
  <c r="G57" i="42"/>
  <c r="K57" i="42"/>
  <c r="O57" i="42"/>
  <c r="U57" i="42"/>
  <c r="V57" i="42"/>
  <c r="M57" i="42" s="1"/>
  <c r="G58" i="42"/>
  <c r="K58" i="42"/>
  <c r="M58" i="42"/>
  <c r="AA58" i="42" s="1"/>
  <c r="O58" i="42"/>
  <c r="U58" i="42"/>
  <c r="V58" i="42"/>
  <c r="G59" i="42"/>
  <c r="K59" i="42"/>
  <c r="O59" i="42"/>
  <c r="U59" i="42"/>
  <c r="V59" i="42"/>
  <c r="M59" i="42" s="1"/>
  <c r="G60" i="42"/>
  <c r="K60" i="42"/>
  <c r="M60" i="42"/>
  <c r="AA60" i="42" s="1"/>
  <c r="O60" i="42"/>
  <c r="U60" i="42"/>
  <c r="V60" i="42"/>
  <c r="G61" i="42"/>
  <c r="K61" i="42"/>
  <c r="O61" i="42"/>
  <c r="U61" i="42"/>
  <c r="V61" i="42"/>
  <c r="M61" i="42" s="1"/>
  <c r="K62" i="42"/>
  <c r="O62" i="42"/>
  <c r="G63" i="42"/>
  <c r="K63" i="42"/>
  <c r="O63" i="42"/>
  <c r="V63" i="42"/>
  <c r="M63" i="42" s="1"/>
  <c r="W63" i="42"/>
  <c r="X63" i="42"/>
  <c r="G64" i="42"/>
  <c r="K64" i="42"/>
  <c r="O64" i="42"/>
  <c r="U64" i="42"/>
  <c r="V64" i="42"/>
  <c r="M64" i="42" s="1"/>
  <c r="G65" i="42"/>
  <c r="K65" i="42"/>
  <c r="P65" i="42" s="1"/>
  <c r="M65" i="42"/>
  <c r="N65" i="42"/>
  <c r="O65" i="42"/>
  <c r="U65" i="42"/>
  <c r="V65" i="42"/>
  <c r="AA65" i="42"/>
  <c r="AB65" i="42"/>
  <c r="G66" i="42"/>
  <c r="K66" i="42"/>
  <c r="O66" i="42"/>
  <c r="U66" i="42"/>
  <c r="V66" i="42"/>
  <c r="M66" i="42" s="1"/>
  <c r="G67" i="42"/>
  <c r="K67" i="42"/>
  <c r="M67" i="42"/>
  <c r="AB67" i="42" s="1"/>
  <c r="N67" i="42"/>
  <c r="P67" i="42" s="1"/>
  <c r="O67" i="42"/>
  <c r="U67" i="42"/>
  <c r="V67" i="42"/>
  <c r="AA67" i="42"/>
  <c r="G68" i="42"/>
  <c r="K68" i="42"/>
  <c r="M68" i="42"/>
  <c r="N68" i="42" s="1"/>
  <c r="O68" i="42"/>
  <c r="U68" i="42"/>
  <c r="V68" i="42"/>
  <c r="AB68" i="42"/>
  <c r="K69" i="42"/>
  <c r="O69" i="42"/>
  <c r="G70" i="42"/>
  <c r="K70" i="42"/>
  <c r="O70" i="42"/>
  <c r="V70" i="42"/>
  <c r="M70" i="42" s="1"/>
  <c r="W70" i="42"/>
  <c r="X70" i="42"/>
  <c r="G71" i="42"/>
  <c r="K71" i="42"/>
  <c r="O71" i="42"/>
  <c r="U71" i="42"/>
  <c r="V71" i="42"/>
  <c r="M71" i="42" s="1"/>
  <c r="G72" i="42"/>
  <c r="K72" i="42"/>
  <c r="M72" i="42"/>
  <c r="AA72" i="42" s="1"/>
  <c r="O72" i="42"/>
  <c r="U72" i="42"/>
  <c r="V72" i="42"/>
  <c r="G73" i="42"/>
  <c r="K73" i="42"/>
  <c r="O73" i="42"/>
  <c r="U73" i="42"/>
  <c r="V73" i="42"/>
  <c r="M73" i="42" s="1"/>
  <c r="G74" i="42"/>
  <c r="K74" i="42"/>
  <c r="O74" i="42"/>
  <c r="U74" i="42"/>
  <c r="V74" i="42"/>
  <c r="M74" i="42" s="1"/>
  <c r="W74" i="42"/>
  <c r="X74" i="42"/>
  <c r="G75" i="42"/>
  <c r="K75" i="42"/>
  <c r="O75" i="42"/>
  <c r="U75" i="42"/>
  <c r="V75" i="42"/>
  <c r="M75" i="42" s="1"/>
  <c r="G76" i="42"/>
  <c r="K76" i="42"/>
  <c r="O76" i="42"/>
  <c r="U76" i="42"/>
  <c r="V76" i="42"/>
  <c r="M76" i="42" s="1"/>
  <c r="K77" i="42"/>
  <c r="O77" i="42"/>
  <c r="C3" i="41"/>
  <c r="F3" i="41"/>
  <c r="D13" i="41"/>
  <c r="E13" i="41"/>
  <c r="F13" i="41"/>
  <c r="G13" i="41"/>
  <c r="H13" i="41"/>
  <c r="I13" i="41"/>
  <c r="J13" i="41"/>
  <c r="K13" i="41"/>
  <c r="L13" i="41"/>
  <c r="M13" i="41"/>
  <c r="H14" i="41"/>
  <c r="D16" i="41"/>
  <c r="E16" i="41"/>
  <c r="F16" i="41"/>
  <c r="G16" i="41"/>
  <c r="H16" i="41"/>
  <c r="I16" i="41"/>
  <c r="J16" i="41"/>
  <c r="K16" i="41"/>
  <c r="L16" i="41"/>
  <c r="M16" i="41"/>
  <c r="D17" i="41"/>
  <c r="E17" i="41"/>
  <c r="F17" i="41"/>
  <c r="G17" i="41"/>
  <c r="H17" i="41"/>
  <c r="I17" i="41"/>
  <c r="J17" i="41"/>
  <c r="K17" i="41"/>
  <c r="L17" i="41"/>
  <c r="M17" i="41"/>
  <c r="D18" i="41"/>
  <c r="E18" i="41"/>
  <c r="F18" i="41"/>
  <c r="G18" i="41"/>
  <c r="H18" i="41"/>
  <c r="I18" i="41"/>
  <c r="J18" i="41"/>
  <c r="K18" i="41"/>
  <c r="L18" i="41"/>
  <c r="M18" i="41"/>
  <c r="H14" i="43" l="1"/>
  <c r="H15" i="43" s="1"/>
  <c r="P55" i="44"/>
  <c r="Q55" i="44"/>
  <c r="R45" i="44" s="1"/>
  <c r="H15" i="41"/>
  <c r="P33" i="44"/>
  <c r="Q33" i="44"/>
  <c r="R25" i="44" s="1"/>
  <c r="K14" i="43"/>
  <c r="D2" i="44"/>
  <c r="D14" i="43"/>
  <c r="P8" i="44"/>
  <c r="Q8" i="44"/>
  <c r="R5" i="44" s="1"/>
  <c r="F14" i="43"/>
  <c r="F15" i="43" s="1"/>
  <c r="P18" i="44"/>
  <c r="Q18" i="44"/>
  <c r="R14" i="44" s="1"/>
  <c r="P24" i="44"/>
  <c r="Q24" i="44"/>
  <c r="R19" i="44" s="1"/>
  <c r="G14" i="43"/>
  <c r="G15" i="43" s="1"/>
  <c r="Q69" i="44"/>
  <c r="R63" i="44" s="1"/>
  <c r="P69" i="44"/>
  <c r="J14" i="43"/>
  <c r="J15" i="43" s="1"/>
  <c r="M14" i="43"/>
  <c r="M15" i="43" s="1"/>
  <c r="P77" i="44"/>
  <c r="Q77" i="44"/>
  <c r="R70" i="44" s="1"/>
  <c r="P13" i="44"/>
  <c r="Q13" i="44"/>
  <c r="R9" i="44" s="1"/>
  <c r="E14" i="43"/>
  <c r="E15" i="43" s="1"/>
  <c r="P44" i="44"/>
  <c r="Q44" i="44"/>
  <c r="R34" i="44" s="1"/>
  <c r="L14" i="43"/>
  <c r="L15" i="43" s="1"/>
  <c r="Q62" i="44"/>
  <c r="R56" i="44" s="1"/>
  <c r="I14" i="43"/>
  <c r="I15" i="43" s="1"/>
  <c r="P62" i="44"/>
  <c r="AA70" i="42"/>
  <c r="M77" i="42"/>
  <c r="AB70" i="42"/>
  <c r="N70" i="42"/>
  <c r="AB32" i="42"/>
  <c r="N32" i="42"/>
  <c r="AA32" i="42"/>
  <c r="AA30" i="42"/>
  <c r="AB30" i="42"/>
  <c r="N30" i="42"/>
  <c r="AA14" i="42"/>
  <c r="AB14" i="42"/>
  <c r="M18" i="42"/>
  <c r="N14" i="42"/>
  <c r="AA59" i="42"/>
  <c r="AB59" i="42"/>
  <c r="N59" i="42"/>
  <c r="AA61" i="42"/>
  <c r="AB61" i="42"/>
  <c r="N61" i="42"/>
  <c r="AA71" i="42"/>
  <c r="AB71" i="42"/>
  <c r="N71" i="42"/>
  <c r="N66" i="42"/>
  <c r="AA66" i="42"/>
  <c r="AB66" i="42"/>
  <c r="AA28" i="42"/>
  <c r="AB28" i="42"/>
  <c r="N28" i="42"/>
  <c r="N23" i="42"/>
  <c r="AA23" i="42"/>
  <c r="AB23" i="42"/>
  <c r="N11" i="42"/>
  <c r="AB11" i="42"/>
  <c r="AA11" i="42"/>
  <c r="P68" i="42"/>
  <c r="Q68" i="42"/>
  <c r="N57" i="42"/>
  <c r="AA57" i="42"/>
  <c r="AB57" i="42"/>
  <c r="N19" i="42"/>
  <c r="AA19" i="42"/>
  <c r="M24" i="42"/>
  <c r="AB19" i="42"/>
  <c r="AA6" i="42"/>
  <c r="AB6" i="42"/>
  <c r="N6" i="42"/>
  <c r="P9" i="42"/>
  <c r="Q9" i="42"/>
  <c r="I3" i="41"/>
  <c r="F2" i="42"/>
  <c r="AA74" i="42"/>
  <c r="AB74" i="42"/>
  <c r="N74" i="42"/>
  <c r="N34" i="42"/>
  <c r="M44" i="42"/>
  <c r="AA34" i="42"/>
  <c r="AB34" i="42"/>
  <c r="N12" i="42"/>
  <c r="AA12" i="42"/>
  <c r="AB12" i="42"/>
  <c r="N56" i="42"/>
  <c r="M62" i="42"/>
  <c r="AA56" i="42"/>
  <c r="AB56" i="42"/>
  <c r="AA41" i="42"/>
  <c r="AB41" i="42"/>
  <c r="N41" i="42"/>
  <c r="N37" i="42"/>
  <c r="AA37" i="42"/>
  <c r="AB37" i="42"/>
  <c r="M33" i="42"/>
  <c r="AA25" i="42"/>
  <c r="AB25" i="42"/>
  <c r="N25" i="42"/>
  <c r="AA15" i="42"/>
  <c r="AB15" i="42"/>
  <c r="N15" i="42"/>
  <c r="AA5" i="42"/>
  <c r="AB5" i="42"/>
  <c r="M8" i="42"/>
  <c r="N5" i="42"/>
  <c r="AB64" i="42"/>
  <c r="N64" i="42"/>
  <c r="AA64" i="42"/>
  <c r="AA76" i="42"/>
  <c r="AB76" i="42"/>
  <c r="N76" i="42"/>
  <c r="AA27" i="42"/>
  <c r="AB27" i="42"/>
  <c r="N27" i="42"/>
  <c r="P21" i="42"/>
  <c r="Q21" i="42"/>
  <c r="M13" i="42"/>
  <c r="N10" i="42"/>
  <c r="AA10" i="42"/>
  <c r="AB10" i="42"/>
  <c r="AA43" i="42"/>
  <c r="AB43" i="42"/>
  <c r="N43" i="42"/>
  <c r="AA39" i="42"/>
  <c r="AB39" i="42"/>
  <c r="N39" i="42"/>
  <c r="AA17" i="42"/>
  <c r="AB17" i="42"/>
  <c r="N17" i="42"/>
  <c r="AA7" i="42"/>
  <c r="AB7" i="42"/>
  <c r="N7" i="42"/>
  <c r="AA75" i="42"/>
  <c r="AB75" i="42"/>
  <c r="N75" i="42"/>
  <c r="N20" i="42"/>
  <c r="AA20" i="42"/>
  <c r="AB20" i="42"/>
  <c r="AA73" i="42"/>
  <c r="AB73" i="42"/>
  <c r="N73" i="42"/>
  <c r="AB63" i="42"/>
  <c r="N63" i="42"/>
  <c r="AA63" i="42"/>
  <c r="M69" i="42"/>
  <c r="N58" i="42"/>
  <c r="N40" i="42"/>
  <c r="N38" i="42"/>
  <c r="I6" i="41"/>
  <c r="N72" i="42"/>
  <c r="N60" i="42"/>
  <c r="N42" i="42"/>
  <c r="N26" i="42"/>
  <c r="AB21" i="42"/>
  <c r="N16" i="42"/>
  <c r="AA9" i="42"/>
  <c r="AA68" i="42"/>
  <c r="Q65" i="42"/>
  <c r="AB58" i="42"/>
  <c r="AB40" i="42"/>
  <c r="AB38" i="42"/>
  <c r="N31" i="42"/>
  <c r="N29" i="42"/>
  <c r="Q67" i="42"/>
  <c r="Q35" i="42"/>
  <c r="G6" i="41"/>
  <c r="AB72" i="42"/>
  <c r="AB60" i="42"/>
  <c r="AB42" i="42"/>
  <c r="Q36" i="42"/>
  <c r="AB26" i="42"/>
  <c r="Q22" i="42"/>
  <c r="AB16" i="42"/>
  <c r="AB29" i="42"/>
  <c r="E6" i="41"/>
  <c r="F6" i="41"/>
  <c r="E7" i="43" l="1"/>
  <c r="D15" i="43"/>
  <c r="F7" i="43"/>
  <c r="G7" i="43"/>
  <c r="K15" i="43"/>
  <c r="I8" i="43" s="1"/>
  <c r="I7" i="43"/>
  <c r="Q16" i="42"/>
  <c r="P16" i="42"/>
  <c r="P63" i="42"/>
  <c r="Q63" i="42"/>
  <c r="P64" i="42"/>
  <c r="Q64" i="42"/>
  <c r="N33" i="42"/>
  <c r="AA33" i="42"/>
  <c r="AB33" i="42"/>
  <c r="AC25" i="42" s="1"/>
  <c r="P66" i="42"/>
  <c r="Q66" i="42"/>
  <c r="P10" i="42"/>
  <c r="Q10" i="42"/>
  <c r="P12" i="42"/>
  <c r="Q12" i="42"/>
  <c r="P6" i="42"/>
  <c r="Q6" i="42"/>
  <c r="P71" i="42"/>
  <c r="Q71" i="42"/>
  <c r="Q26" i="42"/>
  <c r="P26" i="42"/>
  <c r="Q17" i="42"/>
  <c r="P17" i="42"/>
  <c r="N13" i="42"/>
  <c r="AA13" i="42"/>
  <c r="AB13" i="42"/>
  <c r="AC9" i="42" s="1"/>
  <c r="P5" i="42"/>
  <c r="Q5" i="42"/>
  <c r="P30" i="42"/>
  <c r="Q30" i="42"/>
  <c r="P56" i="42"/>
  <c r="Q56" i="42"/>
  <c r="N8" i="42"/>
  <c r="AA8" i="42"/>
  <c r="AB8" i="42"/>
  <c r="AC5" i="42" s="1"/>
  <c r="P37" i="42"/>
  <c r="Q37" i="42"/>
  <c r="P11" i="42"/>
  <c r="Q11" i="42"/>
  <c r="P57" i="42"/>
  <c r="Q57" i="42"/>
  <c r="Q42" i="42"/>
  <c r="P42" i="42"/>
  <c r="P29" i="42"/>
  <c r="Q29" i="42"/>
  <c r="Q60" i="42"/>
  <c r="P60" i="42"/>
  <c r="P41" i="42"/>
  <c r="Q41" i="42"/>
  <c r="N44" i="42"/>
  <c r="AB44" i="42"/>
  <c r="AC34" i="42" s="1"/>
  <c r="AA44" i="42"/>
  <c r="Q61" i="42"/>
  <c r="P61" i="42"/>
  <c r="P14" i="42"/>
  <c r="Q14" i="42"/>
  <c r="Q73" i="42"/>
  <c r="P73" i="42"/>
  <c r="P31" i="42"/>
  <c r="Q31" i="42"/>
  <c r="Q72" i="42"/>
  <c r="P72" i="42"/>
  <c r="P39" i="42"/>
  <c r="Q39" i="42"/>
  <c r="Q27" i="42"/>
  <c r="P27" i="42"/>
  <c r="P34" i="42"/>
  <c r="Q34" i="42"/>
  <c r="AA24" i="42"/>
  <c r="AB24" i="42"/>
  <c r="AC19" i="42" s="1"/>
  <c r="N24" i="42"/>
  <c r="P15" i="42"/>
  <c r="Q15" i="42"/>
  <c r="P74" i="42"/>
  <c r="Q74" i="42"/>
  <c r="P32" i="42"/>
  <c r="Q32" i="42"/>
  <c r="P38" i="42"/>
  <c r="Q38" i="42"/>
  <c r="P20" i="42"/>
  <c r="Q20" i="42"/>
  <c r="P19" i="42"/>
  <c r="Q19" i="42"/>
  <c r="P28" i="42"/>
  <c r="Q28" i="42"/>
  <c r="P59" i="42"/>
  <c r="Q59" i="42"/>
  <c r="P40" i="42"/>
  <c r="Q40" i="42"/>
  <c r="Q75" i="42"/>
  <c r="P75" i="42"/>
  <c r="Q43" i="42"/>
  <c r="P43" i="42"/>
  <c r="P76" i="42"/>
  <c r="Q76" i="42"/>
  <c r="Q70" i="42"/>
  <c r="P70" i="42"/>
  <c r="AA69" i="42"/>
  <c r="AB69" i="42"/>
  <c r="AC63" i="42" s="1"/>
  <c r="N69" i="42"/>
  <c r="P23" i="42"/>
  <c r="Q23" i="42"/>
  <c r="P58" i="42"/>
  <c r="Q58" i="42"/>
  <c r="P25" i="42"/>
  <c r="Q25" i="42"/>
  <c r="N62" i="42"/>
  <c r="AB62" i="42"/>
  <c r="AC56" i="42" s="1"/>
  <c r="AA62" i="42"/>
  <c r="N77" i="42"/>
  <c r="AA77" i="42"/>
  <c r="AB77" i="42"/>
  <c r="AC70" i="42" s="1"/>
  <c r="P7" i="42"/>
  <c r="Q7" i="42"/>
  <c r="N18" i="42"/>
  <c r="AB18" i="42"/>
  <c r="AC14" i="42" s="1"/>
  <c r="AA18" i="42"/>
  <c r="F8" i="43" l="1"/>
  <c r="G8" i="43"/>
  <c r="E8" i="43"/>
  <c r="E14" i="41"/>
  <c r="E15" i="41" s="1"/>
  <c r="P13" i="42"/>
  <c r="Q13" i="42"/>
  <c r="R9" i="42" s="1"/>
  <c r="P24" i="42"/>
  <c r="Q24" i="42"/>
  <c r="R19" i="42" s="1"/>
  <c r="G14" i="41"/>
  <c r="G15" i="41" s="1"/>
  <c r="D14" i="41"/>
  <c r="D2" i="42"/>
  <c r="P8" i="42"/>
  <c r="Q8" i="42"/>
  <c r="R5" i="42" s="1"/>
  <c r="F14" i="41"/>
  <c r="F15" i="41" s="1"/>
  <c r="P18" i="42"/>
  <c r="Q18" i="42"/>
  <c r="R14" i="42" s="1"/>
  <c r="P33" i="42"/>
  <c r="Q33" i="42"/>
  <c r="R25" i="42" s="1"/>
  <c r="K14" i="41"/>
  <c r="I14" i="41"/>
  <c r="I15" i="41" s="1"/>
  <c r="P62" i="42"/>
  <c r="Q62" i="42"/>
  <c r="R56" i="42" s="1"/>
  <c r="P69" i="42"/>
  <c r="Q69" i="42"/>
  <c r="R63" i="42" s="1"/>
  <c r="J14" i="41"/>
  <c r="J15" i="41" s="1"/>
  <c r="P44" i="42"/>
  <c r="L14" i="41"/>
  <c r="L15" i="41" s="1"/>
  <c r="Q44" i="42"/>
  <c r="R34" i="42" s="1"/>
  <c r="P77" i="42"/>
  <c r="Q77" i="42"/>
  <c r="R70" i="42" s="1"/>
  <c r="M14" i="41"/>
  <c r="M15" i="41" s="1"/>
  <c r="D1" i="30"/>
  <c r="G5" i="30"/>
  <c r="F1" i="30" s="1"/>
  <c r="K5" i="30"/>
  <c r="M5" i="30"/>
  <c r="AA5" i="30" s="1"/>
  <c r="O5" i="30"/>
  <c r="V5" i="30"/>
  <c r="G6" i="30"/>
  <c r="K6" i="30"/>
  <c r="M6" i="30"/>
  <c r="AA6" i="30" s="1"/>
  <c r="O6" i="30"/>
  <c r="U6" i="30"/>
  <c r="V6" i="30"/>
  <c r="G7" i="30"/>
  <c r="K7" i="30"/>
  <c r="M7" i="30"/>
  <c r="AA7" i="30" s="1"/>
  <c r="O7" i="30"/>
  <c r="U7" i="30"/>
  <c r="V7" i="30"/>
  <c r="K8" i="30"/>
  <c r="M8" i="30"/>
  <c r="N8" i="30" s="1"/>
  <c r="O8" i="30"/>
  <c r="G9" i="30"/>
  <c r="K9" i="30"/>
  <c r="O9" i="30"/>
  <c r="V9" i="30"/>
  <c r="M9" i="30" s="1"/>
  <c r="W9" i="30"/>
  <c r="X9" i="30"/>
  <c r="G10" i="30"/>
  <c r="K10" i="30"/>
  <c r="O10" i="30"/>
  <c r="U10" i="30"/>
  <c r="V10" i="30"/>
  <c r="M10" i="30" s="1"/>
  <c r="G11" i="30"/>
  <c r="K11" i="30"/>
  <c r="O11" i="30"/>
  <c r="U11" i="30"/>
  <c r="V11" i="30"/>
  <c r="M11" i="30" s="1"/>
  <c r="W11" i="30"/>
  <c r="X11" i="30"/>
  <c r="G12" i="30"/>
  <c r="K12" i="30"/>
  <c r="O12" i="30"/>
  <c r="U12" i="30"/>
  <c r="V12" i="30"/>
  <c r="M12" i="30" s="1"/>
  <c r="K13" i="30"/>
  <c r="O13" i="30"/>
  <c r="G14" i="30"/>
  <c r="K14" i="30"/>
  <c r="O14" i="30"/>
  <c r="V14" i="30"/>
  <c r="M14" i="30" s="1"/>
  <c r="G15" i="30"/>
  <c r="K15" i="30"/>
  <c r="O15" i="30"/>
  <c r="U15" i="30"/>
  <c r="V15" i="30"/>
  <c r="M15" i="30" s="1"/>
  <c r="G16" i="30"/>
  <c r="K16" i="30"/>
  <c r="O16" i="30"/>
  <c r="U16" i="30"/>
  <c r="V16" i="30"/>
  <c r="M16" i="30" s="1"/>
  <c r="G17" i="30"/>
  <c r="K17" i="30"/>
  <c r="O17" i="30"/>
  <c r="U17" i="30"/>
  <c r="V17" i="30"/>
  <c r="M17" i="30" s="1"/>
  <c r="K18" i="30"/>
  <c r="O18" i="30"/>
  <c r="G19" i="30"/>
  <c r="K19" i="30"/>
  <c r="M19" i="30"/>
  <c r="AA19" i="30" s="1"/>
  <c r="N19" i="30"/>
  <c r="P19" i="30" s="1"/>
  <c r="O19" i="30"/>
  <c r="V19" i="30"/>
  <c r="AB19" i="30"/>
  <c r="G20" i="30"/>
  <c r="K20" i="30"/>
  <c r="M20" i="30"/>
  <c r="AA20" i="30" s="1"/>
  <c r="N20" i="30"/>
  <c r="P20" i="30" s="1"/>
  <c r="O20" i="30"/>
  <c r="U20" i="30"/>
  <c r="V20" i="30"/>
  <c r="AB20" i="30"/>
  <c r="G21" i="30"/>
  <c r="K21" i="30"/>
  <c r="M21" i="30"/>
  <c r="N21" i="30" s="1"/>
  <c r="O21" i="30"/>
  <c r="U21" i="30"/>
  <c r="V21" i="30"/>
  <c r="G22" i="30"/>
  <c r="K22" i="30"/>
  <c r="O22" i="30"/>
  <c r="U22" i="30"/>
  <c r="V22" i="30"/>
  <c r="M22" i="30" s="1"/>
  <c r="G23" i="30"/>
  <c r="K23" i="30"/>
  <c r="O23" i="30"/>
  <c r="U23" i="30"/>
  <c r="V23" i="30"/>
  <c r="M23" i="30" s="1"/>
  <c r="K24" i="30"/>
  <c r="O24" i="30"/>
  <c r="G25" i="30"/>
  <c r="K25" i="30"/>
  <c r="M25" i="30"/>
  <c r="AB25" i="30" s="1"/>
  <c r="O25" i="30"/>
  <c r="V25" i="30"/>
  <c r="W25" i="30"/>
  <c r="X25" i="30"/>
  <c r="AA25" i="30"/>
  <c r="G26" i="30"/>
  <c r="K26" i="30"/>
  <c r="O26" i="30"/>
  <c r="U26" i="30"/>
  <c r="V26" i="30"/>
  <c r="M26" i="30" s="1"/>
  <c r="G27" i="30"/>
  <c r="K27" i="30"/>
  <c r="O27" i="30"/>
  <c r="U27" i="30"/>
  <c r="V27" i="30"/>
  <c r="M27" i="30" s="1"/>
  <c r="G28" i="30"/>
  <c r="K28" i="30"/>
  <c r="M28" i="30"/>
  <c r="AB28" i="30" s="1"/>
  <c r="O28" i="30"/>
  <c r="U28" i="30"/>
  <c r="V28" i="30"/>
  <c r="AA28" i="30"/>
  <c r="G29" i="30"/>
  <c r="K29" i="30"/>
  <c r="M29" i="30"/>
  <c r="AA29" i="30" s="1"/>
  <c r="O29" i="30"/>
  <c r="U29" i="30"/>
  <c r="V29" i="30"/>
  <c r="W29" i="30"/>
  <c r="X29" i="30"/>
  <c r="G30" i="30"/>
  <c r="K30" i="30"/>
  <c r="M30" i="30"/>
  <c r="AB30" i="30" s="1"/>
  <c r="O30" i="30"/>
  <c r="U30" i="30"/>
  <c r="V30" i="30"/>
  <c r="AA30" i="30"/>
  <c r="G31" i="30"/>
  <c r="K31" i="30"/>
  <c r="M31" i="30"/>
  <c r="AA31" i="30" s="1"/>
  <c r="O31" i="30"/>
  <c r="U31" i="30"/>
  <c r="V31" i="30"/>
  <c r="K32" i="30"/>
  <c r="O32" i="30"/>
  <c r="G33" i="30"/>
  <c r="K33" i="30"/>
  <c r="O33" i="30"/>
  <c r="V33" i="30"/>
  <c r="M33" i="30" s="1"/>
  <c r="W33" i="30"/>
  <c r="X33" i="30"/>
  <c r="G34" i="30"/>
  <c r="K34" i="30"/>
  <c r="M34" i="30"/>
  <c r="AA34" i="30" s="1"/>
  <c r="N34" i="30"/>
  <c r="Q34" i="30" s="1"/>
  <c r="O34" i="30"/>
  <c r="P34" i="30"/>
  <c r="U34" i="30"/>
  <c r="V34" i="30"/>
  <c r="AB34" i="30"/>
  <c r="G35" i="30"/>
  <c r="K35" i="30"/>
  <c r="M35" i="30"/>
  <c r="N35" i="30" s="1"/>
  <c r="O35" i="30"/>
  <c r="U35" i="30"/>
  <c r="V35" i="30"/>
  <c r="G36" i="30"/>
  <c r="K36" i="30"/>
  <c r="O36" i="30"/>
  <c r="U36" i="30"/>
  <c r="V36" i="30"/>
  <c r="M36" i="30" s="1"/>
  <c r="G37" i="30"/>
  <c r="K37" i="30"/>
  <c r="O37" i="30"/>
  <c r="U37" i="30"/>
  <c r="V37" i="30"/>
  <c r="M37" i="30" s="1"/>
  <c r="G38" i="30"/>
  <c r="K38" i="30"/>
  <c r="M38" i="30"/>
  <c r="AA38" i="30" s="1"/>
  <c r="O38" i="30"/>
  <c r="U38" i="30"/>
  <c r="V38" i="30"/>
  <c r="W38" i="30"/>
  <c r="X38" i="30"/>
  <c r="G39" i="30"/>
  <c r="K39" i="30"/>
  <c r="O39" i="30"/>
  <c r="U39" i="30"/>
  <c r="V39" i="30"/>
  <c r="M39" i="30" s="1"/>
  <c r="G40" i="30"/>
  <c r="K40" i="30"/>
  <c r="M40" i="30"/>
  <c r="AA40" i="30" s="1"/>
  <c r="O40" i="30"/>
  <c r="U40" i="30"/>
  <c r="V40" i="30"/>
  <c r="G41" i="30"/>
  <c r="K41" i="30"/>
  <c r="O41" i="30"/>
  <c r="U41" i="30"/>
  <c r="V41" i="30"/>
  <c r="M41" i="30" s="1"/>
  <c r="K42" i="30"/>
  <c r="O42" i="30"/>
  <c r="G43" i="30"/>
  <c r="K43" i="30"/>
  <c r="O43" i="30"/>
  <c r="V43" i="30"/>
  <c r="M43" i="30" s="1"/>
  <c r="W43" i="30"/>
  <c r="X43" i="30"/>
  <c r="G44" i="30"/>
  <c r="K44" i="30"/>
  <c r="O44" i="30"/>
  <c r="U44" i="30"/>
  <c r="V44" i="30"/>
  <c r="M44" i="30" s="1"/>
  <c r="G45" i="30"/>
  <c r="K45" i="30"/>
  <c r="M45" i="30"/>
  <c r="AA45" i="30" s="1"/>
  <c r="O45" i="30"/>
  <c r="U45" i="30"/>
  <c r="V45" i="30"/>
  <c r="G46" i="30"/>
  <c r="K46" i="30"/>
  <c r="O46" i="30"/>
  <c r="U46" i="30"/>
  <c r="V46" i="30"/>
  <c r="M46" i="30" s="1"/>
  <c r="G47" i="30"/>
  <c r="K47" i="30"/>
  <c r="M47" i="30"/>
  <c r="N47" i="30" s="1"/>
  <c r="O47" i="30"/>
  <c r="U47" i="30"/>
  <c r="V47" i="30"/>
  <c r="AA47" i="30"/>
  <c r="G48" i="30"/>
  <c r="K48" i="30"/>
  <c r="O48" i="30"/>
  <c r="U48" i="30"/>
  <c r="V48" i="30"/>
  <c r="M48" i="30" s="1"/>
  <c r="G49" i="30"/>
  <c r="K49" i="30"/>
  <c r="O49" i="30"/>
  <c r="U49" i="30"/>
  <c r="V49" i="30"/>
  <c r="M49" i="30" s="1"/>
  <c r="K50" i="30"/>
  <c r="H13" i="29" s="1"/>
  <c r="O50" i="30"/>
  <c r="G51" i="30"/>
  <c r="K51" i="30"/>
  <c r="M51" i="30"/>
  <c r="AB51" i="30" s="1"/>
  <c r="O51" i="30"/>
  <c r="V51" i="30"/>
  <c r="AA51" i="30"/>
  <c r="G52" i="30"/>
  <c r="K52" i="30"/>
  <c r="M52" i="30"/>
  <c r="AB52" i="30" s="1"/>
  <c r="O52" i="30"/>
  <c r="U52" i="30"/>
  <c r="V52" i="30"/>
  <c r="AA52" i="30"/>
  <c r="G53" i="30"/>
  <c r="K53" i="30"/>
  <c r="O53" i="30"/>
  <c r="U53" i="30"/>
  <c r="V53" i="30"/>
  <c r="M53" i="30" s="1"/>
  <c r="G54" i="30"/>
  <c r="K54" i="30"/>
  <c r="O54" i="30"/>
  <c r="U54" i="30"/>
  <c r="V54" i="30"/>
  <c r="M54" i="30" s="1"/>
  <c r="G55" i="30"/>
  <c r="K55" i="30"/>
  <c r="M55" i="30"/>
  <c r="AA55" i="30" s="1"/>
  <c r="O55" i="30"/>
  <c r="U55" i="30"/>
  <c r="V55" i="30"/>
  <c r="G56" i="30"/>
  <c r="K56" i="30"/>
  <c r="O56" i="30"/>
  <c r="U56" i="30"/>
  <c r="V56" i="30"/>
  <c r="M56" i="30" s="1"/>
  <c r="K57" i="30"/>
  <c r="O57" i="30"/>
  <c r="G58" i="30"/>
  <c r="K58" i="30"/>
  <c r="O58" i="30"/>
  <c r="V58" i="30"/>
  <c r="M58" i="30" s="1"/>
  <c r="G59" i="30"/>
  <c r="K59" i="30"/>
  <c r="O59" i="30"/>
  <c r="U59" i="30"/>
  <c r="V59" i="30"/>
  <c r="M59" i="30" s="1"/>
  <c r="W59" i="30"/>
  <c r="X59" i="30"/>
  <c r="G60" i="30"/>
  <c r="K60" i="30"/>
  <c r="M60" i="30"/>
  <c r="N60" i="30" s="1"/>
  <c r="O60" i="30"/>
  <c r="U60" i="30"/>
  <c r="V60" i="30"/>
  <c r="G61" i="30"/>
  <c r="K61" i="30"/>
  <c r="O61" i="30"/>
  <c r="U61" i="30"/>
  <c r="V61" i="30"/>
  <c r="M61" i="30" s="1"/>
  <c r="G62" i="30"/>
  <c r="K62" i="30"/>
  <c r="M62" i="30"/>
  <c r="AA62" i="30" s="1"/>
  <c r="O62" i="30"/>
  <c r="U62" i="30"/>
  <c r="V62" i="30"/>
  <c r="G63" i="30"/>
  <c r="K63" i="30"/>
  <c r="O63" i="30"/>
  <c r="U63" i="30"/>
  <c r="V63" i="30"/>
  <c r="M63" i="30" s="1"/>
  <c r="K64" i="30"/>
  <c r="O64" i="30"/>
  <c r="G65" i="30"/>
  <c r="K65" i="30"/>
  <c r="O65" i="30"/>
  <c r="V65" i="30"/>
  <c r="M65" i="30" s="1"/>
  <c r="W65" i="30"/>
  <c r="X65" i="30"/>
  <c r="G66" i="30"/>
  <c r="K66" i="30"/>
  <c r="O66" i="30"/>
  <c r="U66" i="30"/>
  <c r="V66" i="30"/>
  <c r="M66" i="30" s="1"/>
  <c r="G67" i="30"/>
  <c r="K67" i="30"/>
  <c r="M67" i="30"/>
  <c r="AA67" i="30" s="1"/>
  <c r="O67" i="30"/>
  <c r="U67" i="30"/>
  <c r="V67" i="30"/>
  <c r="G68" i="30"/>
  <c r="K68" i="30"/>
  <c r="O68" i="30"/>
  <c r="U68" i="30"/>
  <c r="V68" i="30"/>
  <c r="M68" i="30" s="1"/>
  <c r="G69" i="30"/>
  <c r="K69" i="30"/>
  <c r="M69" i="30"/>
  <c r="AA69" i="30" s="1"/>
  <c r="O69" i="30"/>
  <c r="U69" i="30"/>
  <c r="V69" i="30"/>
  <c r="W69" i="30"/>
  <c r="X69" i="30"/>
  <c r="G70" i="30"/>
  <c r="K70" i="30"/>
  <c r="O70" i="30"/>
  <c r="U70" i="30"/>
  <c r="V70" i="30"/>
  <c r="M70" i="30" s="1"/>
  <c r="K71" i="30"/>
  <c r="O71" i="30"/>
  <c r="C3" i="29"/>
  <c r="F3" i="29"/>
  <c r="D13" i="29"/>
  <c r="E13" i="29"/>
  <c r="F13" i="29"/>
  <c r="G13" i="29"/>
  <c r="I13" i="29"/>
  <c r="J13" i="29"/>
  <c r="K13" i="29"/>
  <c r="L13" i="29"/>
  <c r="M13" i="29"/>
  <c r="D16" i="29"/>
  <c r="E16" i="29"/>
  <c r="F16" i="29"/>
  <c r="G16" i="29"/>
  <c r="H16" i="29"/>
  <c r="I16" i="29"/>
  <c r="J16" i="29"/>
  <c r="K16" i="29"/>
  <c r="L16" i="29"/>
  <c r="M16" i="29"/>
  <c r="D17" i="29"/>
  <c r="E17" i="29"/>
  <c r="F17" i="29"/>
  <c r="G17" i="29"/>
  <c r="H17" i="29"/>
  <c r="I17" i="29"/>
  <c r="J17" i="29"/>
  <c r="K17" i="29"/>
  <c r="L17" i="29"/>
  <c r="M17" i="29"/>
  <c r="D18" i="29"/>
  <c r="E18" i="29"/>
  <c r="F18" i="29"/>
  <c r="G18" i="29"/>
  <c r="H18" i="29"/>
  <c r="I18" i="29"/>
  <c r="J18" i="29"/>
  <c r="K18" i="29"/>
  <c r="L18" i="29"/>
  <c r="M18" i="29"/>
  <c r="E7" i="41" l="1"/>
  <c r="G7" i="41"/>
  <c r="D15" i="41"/>
  <c r="F7" i="41"/>
  <c r="I7" i="41"/>
  <c r="K15" i="41"/>
  <c r="I8" i="41" s="1"/>
  <c r="N11" i="30"/>
  <c r="AA11" i="30"/>
  <c r="AB11" i="30"/>
  <c r="AA44" i="30"/>
  <c r="AB44" i="30"/>
  <c r="N44" i="30"/>
  <c r="N48" i="30"/>
  <c r="AB48" i="30"/>
  <c r="AA48" i="30"/>
  <c r="AB46" i="30"/>
  <c r="N46" i="30"/>
  <c r="AA46" i="30"/>
  <c r="AA41" i="30"/>
  <c r="AB41" i="30"/>
  <c r="N41" i="30"/>
  <c r="N37" i="30"/>
  <c r="AA37" i="30"/>
  <c r="AB37" i="30"/>
  <c r="P21" i="30"/>
  <c r="Q21" i="30"/>
  <c r="N39" i="30"/>
  <c r="AA39" i="30"/>
  <c r="AB39" i="30"/>
  <c r="AA16" i="30"/>
  <c r="AB16" i="30"/>
  <c r="N16" i="30"/>
  <c r="N58" i="30"/>
  <c r="AA58" i="30"/>
  <c r="AB58" i="30"/>
  <c r="M64" i="30"/>
  <c r="P35" i="30"/>
  <c r="Q35" i="30"/>
  <c r="AA27" i="30"/>
  <c r="AB27" i="30"/>
  <c r="N27" i="30"/>
  <c r="AA65" i="30"/>
  <c r="AB65" i="30"/>
  <c r="M71" i="30"/>
  <c r="N65" i="30"/>
  <c r="N22" i="30"/>
  <c r="AA22" i="30"/>
  <c r="AB22" i="30"/>
  <c r="AA53" i="30"/>
  <c r="M57" i="30"/>
  <c r="AB53" i="30"/>
  <c r="N53" i="30"/>
  <c r="P60" i="30"/>
  <c r="Q60" i="30"/>
  <c r="N33" i="30"/>
  <c r="M42" i="30"/>
  <c r="AB33" i="30"/>
  <c r="AA33" i="30"/>
  <c r="N12" i="30"/>
  <c r="AB12" i="30"/>
  <c r="AA12" i="30"/>
  <c r="N10" i="30"/>
  <c r="AB10" i="30"/>
  <c r="AA10" i="30"/>
  <c r="P8" i="30"/>
  <c r="Q8" i="30"/>
  <c r="R5" i="30" s="1"/>
  <c r="D14" i="29"/>
  <c r="AA15" i="30"/>
  <c r="AB15" i="30"/>
  <c r="N15" i="30"/>
  <c r="N36" i="30"/>
  <c r="AA36" i="30"/>
  <c r="AB36" i="30"/>
  <c r="AA43" i="30"/>
  <c r="AB43" i="30"/>
  <c r="N43" i="30"/>
  <c r="M50" i="30"/>
  <c r="AA26" i="30"/>
  <c r="M32" i="30"/>
  <c r="AB26" i="30"/>
  <c r="N26" i="30"/>
  <c r="AA17" i="30"/>
  <c r="AB17" i="30"/>
  <c r="N17" i="30"/>
  <c r="AA54" i="30"/>
  <c r="AB54" i="30"/>
  <c r="N54" i="30"/>
  <c r="AB70" i="30"/>
  <c r="N70" i="30"/>
  <c r="AA70" i="30"/>
  <c r="AA66" i="30"/>
  <c r="AB66" i="30"/>
  <c r="N66" i="30"/>
  <c r="N61" i="30"/>
  <c r="AA61" i="30"/>
  <c r="AB61" i="30"/>
  <c r="AB56" i="30"/>
  <c r="N56" i="30"/>
  <c r="AA56" i="30"/>
  <c r="N49" i="30"/>
  <c r="AA49" i="30"/>
  <c r="AB49" i="30"/>
  <c r="AB68" i="30"/>
  <c r="N68" i="30"/>
  <c r="AA68" i="30"/>
  <c r="AA63" i="30"/>
  <c r="AB63" i="30"/>
  <c r="N63" i="30"/>
  <c r="N59" i="30"/>
  <c r="AA59" i="30"/>
  <c r="AB59" i="30"/>
  <c r="P47" i="30"/>
  <c r="Q47" i="30"/>
  <c r="N23" i="30"/>
  <c r="AA23" i="30"/>
  <c r="AB23" i="30"/>
  <c r="AA14" i="30"/>
  <c r="AB14" i="30"/>
  <c r="M18" i="30"/>
  <c r="N14" i="30"/>
  <c r="F2" i="30"/>
  <c r="I3" i="29"/>
  <c r="M13" i="30"/>
  <c r="N9" i="30"/>
  <c r="AB9" i="30"/>
  <c r="AA9" i="30"/>
  <c r="N62" i="30"/>
  <c r="AB47" i="30"/>
  <c r="N40" i="30"/>
  <c r="N38" i="30"/>
  <c r="N52" i="30"/>
  <c r="N51" i="30"/>
  <c r="AB35" i="30"/>
  <c r="M24" i="30"/>
  <c r="AB21" i="30"/>
  <c r="AB8" i="30"/>
  <c r="AC5" i="30" s="1"/>
  <c r="AB60" i="30"/>
  <c r="AB38" i="30"/>
  <c r="AA35" i="30"/>
  <c r="AA21" i="30"/>
  <c r="AA8" i="30"/>
  <c r="I6" i="29"/>
  <c r="AA60" i="30"/>
  <c r="N30" i="30"/>
  <c r="N28" i="30"/>
  <c r="N25" i="30"/>
  <c r="N6" i="30"/>
  <c r="N5" i="30"/>
  <c r="N67" i="30"/>
  <c r="AB62" i="30"/>
  <c r="N55" i="30"/>
  <c r="N45" i="30"/>
  <c r="AB40" i="30"/>
  <c r="N31" i="30"/>
  <c r="N29" i="30"/>
  <c r="Q20" i="30"/>
  <c r="Q19" i="30"/>
  <c r="N7" i="30"/>
  <c r="N69" i="30"/>
  <c r="AB29" i="30"/>
  <c r="AB6" i="30"/>
  <c r="AB5" i="30"/>
  <c r="AB69" i="30"/>
  <c r="AB67" i="30"/>
  <c r="AB55" i="30"/>
  <c r="AB45" i="30"/>
  <c r="AB31" i="30"/>
  <c r="AB7" i="30"/>
  <c r="E6" i="29"/>
  <c r="G6" i="29"/>
  <c r="F6" i="29"/>
  <c r="C3" i="28"/>
  <c r="F3" i="28"/>
  <c r="I3" i="28"/>
  <c r="D13" i="28"/>
  <c r="E13" i="28"/>
  <c r="F13" i="28"/>
  <c r="G13" i="28"/>
  <c r="H13" i="28"/>
  <c r="I13" i="28"/>
  <c r="J13" i="28"/>
  <c r="K13" i="28"/>
  <c r="L13" i="28"/>
  <c r="M13" i="28"/>
  <c r="M15" i="28" s="1"/>
  <c r="D14" i="28"/>
  <c r="D15" i="28" s="1"/>
  <c r="E14" i="28"/>
  <c r="E15" i="28" s="1"/>
  <c r="F14" i="28"/>
  <c r="G14" i="28"/>
  <c r="G15" i="28" s="1"/>
  <c r="H14" i="28"/>
  <c r="I14" i="28"/>
  <c r="J14" i="28"/>
  <c r="K14" i="28"/>
  <c r="L14" i="28"/>
  <c r="M14" i="28"/>
  <c r="D16" i="28"/>
  <c r="E16" i="28"/>
  <c r="F16" i="28"/>
  <c r="G16" i="28"/>
  <c r="H16" i="28"/>
  <c r="I16" i="28"/>
  <c r="J16" i="28"/>
  <c r="K16" i="28"/>
  <c r="L16" i="28"/>
  <c r="M16" i="28"/>
  <c r="D17" i="28"/>
  <c r="E17" i="28"/>
  <c r="F17" i="28"/>
  <c r="G17" i="28"/>
  <c r="H17" i="28"/>
  <c r="I17" i="28"/>
  <c r="J17" i="28"/>
  <c r="K17" i="28"/>
  <c r="L17" i="28"/>
  <c r="M17" i="28"/>
  <c r="D18" i="28"/>
  <c r="E18" i="28"/>
  <c r="F18" i="28"/>
  <c r="G18" i="28"/>
  <c r="H18" i="28"/>
  <c r="I18" i="28"/>
  <c r="J18" i="28"/>
  <c r="K18" i="28"/>
  <c r="L18" i="28"/>
  <c r="M18" i="28"/>
  <c r="D1" i="27"/>
  <c r="H1" i="27"/>
  <c r="H2" i="27"/>
  <c r="G5" i="27"/>
  <c r="F1" i="27" s="1"/>
  <c r="F2" i="27" s="1"/>
  <c r="K5" i="27"/>
  <c r="M5" i="27"/>
  <c r="AA5" i="27" s="1"/>
  <c r="O5" i="27"/>
  <c r="V5" i="27"/>
  <c r="G6" i="27"/>
  <c r="K6" i="27"/>
  <c r="M6" i="27"/>
  <c r="AA6" i="27" s="1"/>
  <c r="O6" i="27"/>
  <c r="U6" i="27"/>
  <c r="V6" i="27"/>
  <c r="G7" i="27"/>
  <c r="K7" i="27"/>
  <c r="M7" i="27"/>
  <c r="AA7" i="27" s="1"/>
  <c r="N7" i="27"/>
  <c r="Q7" i="27" s="1"/>
  <c r="O7" i="27"/>
  <c r="P7" i="27"/>
  <c r="U7" i="27"/>
  <c r="V7" i="27"/>
  <c r="K8" i="27"/>
  <c r="O8" i="27"/>
  <c r="G9" i="27"/>
  <c r="K9" i="27"/>
  <c r="O9" i="27"/>
  <c r="V9" i="27"/>
  <c r="M9" i="27" s="1"/>
  <c r="W9" i="27"/>
  <c r="X9" i="27"/>
  <c r="G10" i="27"/>
  <c r="K10" i="27"/>
  <c r="O10" i="27"/>
  <c r="U10" i="27"/>
  <c r="V10" i="27"/>
  <c r="M10" i="27" s="1"/>
  <c r="G11" i="27"/>
  <c r="K11" i="27"/>
  <c r="O11" i="27"/>
  <c r="U11" i="27"/>
  <c r="V11" i="27"/>
  <c r="M11" i="27" s="1"/>
  <c r="W11" i="27"/>
  <c r="X11" i="27"/>
  <c r="G12" i="27"/>
  <c r="K12" i="27"/>
  <c r="O12" i="27"/>
  <c r="U12" i="27"/>
  <c r="V12" i="27"/>
  <c r="M12" i="27" s="1"/>
  <c r="K13" i="27"/>
  <c r="O13" i="27"/>
  <c r="G14" i="27"/>
  <c r="K14" i="27"/>
  <c r="M14" i="27"/>
  <c r="N14" i="27" s="1"/>
  <c r="O14" i="27"/>
  <c r="V14" i="27"/>
  <c r="G15" i="27"/>
  <c r="K15" i="27"/>
  <c r="M15" i="27"/>
  <c r="N15" i="27" s="1"/>
  <c r="O15" i="27"/>
  <c r="U15" i="27"/>
  <c r="V15" i="27"/>
  <c r="G16" i="27"/>
  <c r="K16" i="27"/>
  <c r="M16" i="27"/>
  <c r="AA16" i="27" s="1"/>
  <c r="O16" i="27"/>
  <c r="U16" i="27"/>
  <c r="V16" i="27"/>
  <c r="G17" i="27"/>
  <c r="K17" i="27"/>
  <c r="O17" i="27"/>
  <c r="U17" i="27"/>
  <c r="V17" i="27"/>
  <c r="M17" i="27" s="1"/>
  <c r="K18" i="27"/>
  <c r="O18" i="27"/>
  <c r="G19" i="27"/>
  <c r="K19" i="27"/>
  <c r="O19" i="27"/>
  <c r="V19" i="27"/>
  <c r="M19" i="27" s="1"/>
  <c r="G20" i="27"/>
  <c r="K20" i="27"/>
  <c r="O20" i="27"/>
  <c r="U20" i="27"/>
  <c r="V20" i="27"/>
  <c r="M20" i="27" s="1"/>
  <c r="G21" i="27"/>
  <c r="K21" i="27"/>
  <c r="O21" i="27"/>
  <c r="U21" i="27"/>
  <c r="V21" i="27"/>
  <c r="M21" i="27" s="1"/>
  <c r="G22" i="27"/>
  <c r="K22" i="27"/>
  <c r="O22" i="27"/>
  <c r="U22" i="27"/>
  <c r="V22" i="27"/>
  <c r="M22" i="27" s="1"/>
  <c r="G23" i="27"/>
  <c r="K23" i="27"/>
  <c r="O23" i="27"/>
  <c r="U23" i="27"/>
  <c r="V23" i="27"/>
  <c r="M23" i="27" s="1"/>
  <c r="K24" i="27"/>
  <c r="O24" i="27"/>
  <c r="G25" i="27"/>
  <c r="K25" i="27"/>
  <c r="M25" i="27"/>
  <c r="AA25" i="27" s="1"/>
  <c r="O25" i="27"/>
  <c r="V25" i="27"/>
  <c r="W25" i="27"/>
  <c r="X25" i="27"/>
  <c r="G26" i="27"/>
  <c r="K26" i="27"/>
  <c r="M26" i="27"/>
  <c r="AA26" i="27" s="1"/>
  <c r="O26" i="27"/>
  <c r="U26" i="27"/>
  <c r="V26" i="27"/>
  <c r="G27" i="27"/>
  <c r="K27" i="27"/>
  <c r="M27" i="27"/>
  <c r="AA27" i="27" s="1"/>
  <c r="N27" i="27"/>
  <c r="P27" i="27" s="1"/>
  <c r="O27" i="27"/>
  <c r="U27" i="27"/>
  <c r="V27" i="27"/>
  <c r="G28" i="27"/>
  <c r="K28" i="27"/>
  <c r="M28" i="27"/>
  <c r="AA28" i="27" s="1"/>
  <c r="O28" i="27"/>
  <c r="U28" i="27"/>
  <c r="V28" i="27"/>
  <c r="G29" i="27"/>
  <c r="K29" i="27"/>
  <c r="M29" i="27"/>
  <c r="AA29" i="27" s="1"/>
  <c r="N29" i="27"/>
  <c r="Q29" i="27" s="1"/>
  <c r="O29" i="27"/>
  <c r="P29" i="27"/>
  <c r="U29" i="27"/>
  <c r="V29" i="27"/>
  <c r="W29" i="27"/>
  <c r="X29" i="27"/>
  <c r="G30" i="27"/>
  <c r="K30" i="27"/>
  <c r="M30" i="27"/>
  <c r="AA30" i="27" s="1"/>
  <c r="O30" i="27"/>
  <c r="U30" i="27"/>
  <c r="V30" i="27"/>
  <c r="G31" i="27"/>
  <c r="K31" i="27"/>
  <c r="M31" i="27"/>
  <c r="AA31" i="27" s="1"/>
  <c r="N31" i="27"/>
  <c r="Q31" i="27" s="1"/>
  <c r="O31" i="27"/>
  <c r="P31" i="27"/>
  <c r="U31" i="27"/>
  <c r="V31" i="27"/>
  <c r="K32" i="27"/>
  <c r="O32" i="27"/>
  <c r="G33" i="27"/>
  <c r="K33" i="27"/>
  <c r="O33" i="27"/>
  <c r="V33" i="27"/>
  <c r="M33" i="27" s="1"/>
  <c r="W33" i="27"/>
  <c r="X33" i="27"/>
  <c r="G34" i="27"/>
  <c r="K34" i="27"/>
  <c r="O34" i="27"/>
  <c r="U34" i="27"/>
  <c r="V34" i="27"/>
  <c r="M34" i="27" s="1"/>
  <c r="G35" i="27"/>
  <c r="K35" i="27"/>
  <c r="O35" i="27"/>
  <c r="U35" i="27"/>
  <c r="V35" i="27"/>
  <c r="M35" i="27" s="1"/>
  <c r="G36" i="27"/>
  <c r="K36" i="27"/>
  <c r="O36" i="27"/>
  <c r="U36" i="27"/>
  <c r="V36" i="27"/>
  <c r="M36" i="27" s="1"/>
  <c r="G37" i="27"/>
  <c r="K37" i="27"/>
  <c r="O37" i="27"/>
  <c r="U37" i="27"/>
  <c r="V37" i="27"/>
  <c r="M37" i="27" s="1"/>
  <c r="G38" i="27"/>
  <c r="K38" i="27"/>
  <c r="O38" i="27"/>
  <c r="U38" i="27"/>
  <c r="V38" i="27"/>
  <c r="M38" i="27" s="1"/>
  <c r="W38" i="27"/>
  <c r="X38" i="27"/>
  <c r="G39" i="27"/>
  <c r="K39" i="27"/>
  <c r="O39" i="27"/>
  <c r="U39" i="27"/>
  <c r="V39" i="27"/>
  <c r="M39" i="27" s="1"/>
  <c r="G40" i="27"/>
  <c r="K40" i="27"/>
  <c r="O40" i="27"/>
  <c r="U40" i="27"/>
  <c r="V40" i="27"/>
  <c r="M40" i="27" s="1"/>
  <c r="G41" i="27"/>
  <c r="K41" i="27"/>
  <c r="M41" i="27"/>
  <c r="N41" i="27" s="1"/>
  <c r="O41" i="27"/>
  <c r="U41" i="27"/>
  <c r="V41" i="27"/>
  <c r="AA41" i="27"/>
  <c r="AB41" i="27"/>
  <c r="K42" i="27"/>
  <c r="O42" i="27"/>
  <c r="G43" i="27"/>
  <c r="K43" i="27"/>
  <c r="M43" i="27"/>
  <c r="N43" i="27"/>
  <c r="O43" i="27"/>
  <c r="P43" i="27"/>
  <c r="Q43" i="27"/>
  <c r="V43" i="27"/>
  <c r="W43" i="27"/>
  <c r="X43" i="27"/>
  <c r="AA43" i="27"/>
  <c r="AB43" i="27"/>
  <c r="G44" i="27"/>
  <c r="K44" i="27"/>
  <c r="M44" i="27"/>
  <c r="O44" i="27"/>
  <c r="U44" i="27"/>
  <c r="V44" i="27"/>
  <c r="G45" i="27"/>
  <c r="K45" i="27"/>
  <c r="M45" i="27"/>
  <c r="AA45" i="27" s="1"/>
  <c r="N45" i="27"/>
  <c r="Q45" i="27" s="1"/>
  <c r="O45" i="27"/>
  <c r="P45" i="27"/>
  <c r="U45" i="27"/>
  <c r="V45" i="27"/>
  <c r="G46" i="27"/>
  <c r="K46" i="27"/>
  <c r="M46" i="27"/>
  <c r="AA46" i="27" s="1"/>
  <c r="N46" i="27"/>
  <c r="O46" i="27"/>
  <c r="P46" i="27"/>
  <c r="Q46" i="27"/>
  <c r="U46" i="27"/>
  <c r="V46" i="27"/>
  <c r="G47" i="27"/>
  <c r="K47" i="27"/>
  <c r="O47" i="27"/>
  <c r="U47" i="27"/>
  <c r="V47" i="27"/>
  <c r="M47" i="27" s="1"/>
  <c r="G48" i="27"/>
  <c r="K48" i="27"/>
  <c r="O48" i="27"/>
  <c r="U48" i="27"/>
  <c r="V48" i="27"/>
  <c r="M48" i="27" s="1"/>
  <c r="G49" i="27"/>
  <c r="K49" i="27"/>
  <c r="O49" i="27"/>
  <c r="U49" i="27"/>
  <c r="V49" i="27"/>
  <c r="M49" i="27" s="1"/>
  <c r="K50" i="27"/>
  <c r="O50" i="27"/>
  <c r="G51" i="27"/>
  <c r="K51" i="27"/>
  <c r="M51" i="27"/>
  <c r="O51" i="27"/>
  <c r="V51" i="27"/>
  <c r="G52" i="27"/>
  <c r="K52" i="27"/>
  <c r="M52" i="27"/>
  <c r="AA52" i="27" s="1"/>
  <c r="O52" i="27"/>
  <c r="U52" i="27"/>
  <c r="V52" i="27"/>
  <c r="G53" i="27"/>
  <c r="K53" i="27"/>
  <c r="M53" i="27"/>
  <c r="AA53" i="27" s="1"/>
  <c r="N53" i="27"/>
  <c r="P53" i="27" s="1"/>
  <c r="O53" i="27"/>
  <c r="U53" i="27"/>
  <c r="V53" i="27"/>
  <c r="G54" i="27"/>
  <c r="K54" i="27"/>
  <c r="M54" i="27"/>
  <c r="AA54" i="27" s="1"/>
  <c r="O54" i="27"/>
  <c r="U54" i="27"/>
  <c r="V54" i="27"/>
  <c r="G55" i="27"/>
  <c r="K55" i="27"/>
  <c r="O55" i="27"/>
  <c r="U55" i="27"/>
  <c r="V55" i="27"/>
  <c r="M55" i="27" s="1"/>
  <c r="G56" i="27"/>
  <c r="K56" i="27"/>
  <c r="O56" i="27"/>
  <c r="U56" i="27"/>
  <c r="V56" i="27"/>
  <c r="M56" i="27" s="1"/>
  <c r="K57" i="27"/>
  <c r="O57" i="27"/>
  <c r="G58" i="27"/>
  <c r="K58" i="27"/>
  <c r="M58" i="27"/>
  <c r="N58" i="27" s="1"/>
  <c r="O58" i="27"/>
  <c r="V58" i="27"/>
  <c r="AA58" i="27"/>
  <c r="G59" i="27"/>
  <c r="K59" i="27"/>
  <c r="M59" i="27"/>
  <c r="N59" i="27" s="1"/>
  <c r="O59" i="27"/>
  <c r="U59" i="27"/>
  <c r="V59" i="27"/>
  <c r="W59" i="27"/>
  <c r="X59" i="27"/>
  <c r="AA59" i="27"/>
  <c r="AB59" i="27"/>
  <c r="G60" i="27"/>
  <c r="K60" i="27"/>
  <c r="O60" i="27"/>
  <c r="U60" i="27"/>
  <c r="V60" i="27"/>
  <c r="M60" i="27" s="1"/>
  <c r="G61" i="27"/>
  <c r="K61" i="27"/>
  <c r="M61" i="27"/>
  <c r="N61" i="27" s="1"/>
  <c r="O61" i="27"/>
  <c r="U61" i="27"/>
  <c r="V61" i="27"/>
  <c r="AA61" i="27"/>
  <c r="G62" i="27"/>
  <c r="K62" i="27"/>
  <c r="M62" i="27"/>
  <c r="AA62" i="27" s="1"/>
  <c r="N62" i="27"/>
  <c r="P62" i="27" s="1"/>
  <c r="O62" i="27"/>
  <c r="U62" i="27"/>
  <c r="V62" i="27"/>
  <c r="AB62" i="27"/>
  <c r="G63" i="27"/>
  <c r="K63" i="27"/>
  <c r="M63" i="27"/>
  <c r="N63" i="27" s="1"/>
  <c r="O63" i="27"/>
  <c r="U63" i="27"/>
  <c r="V63" i="27"/>
  <c r="K64" i="27"/>
  <c r="O64" i="27"/>
  <c r="G65" i="27"/>
  <c r="K65" i="27"/>
  <c r="O65" i="27"/>
  <c r="V65" i="27"/>
  <c r="M65" i="27" s="1"/>
  <c r="W65" i="27"/>
  <c r="X65" i="27"/>
  <c r="G66" i="27"/>
  <c r="K66" i="27"/>
  <c r="M66" i="27"/>
  <c r="AA66" i="27" s="1"/>
  <c r="O66" i="27"/>
  <c r="U66" i="27"/>
  <c r="V66" i="27"/>
  <c r="G67" i="27"/>
  <c r="K67" i="27"/>
  <c r="O67" i="27"/>
  <c r="U67" i="27"/>
  <c r="V67" i="27"/>
  <c r="M67" i="27" s="1"/>
  <c r="G68" i="27"/>
  <c r="K68" i="27"/>
  <c r="O68" i="27"/>
  <c r="U68" i="27"/>
  <c r="V68" i="27"/>
  <c r="M68" i="27" s="1"/>
  <c r="G69" i="27"/>
  <c r="K69" i="27"/>
  <c r="O69" i="27"/>
  <c r="U69" i="27"/>
  <c r="V69" i="27"/>
  <c r="M69" i="27" s="1"/>
  <c r="W69" i="27"/>
  <c r="X69" i="27"/>
  <c r="G70" i="27"/>
  <c r="K70" i="27"/>
  <c r="O70" i="27"/>
  <c r="U70" i="27"/>
  <c r="V70" i="27"/>
  <c r="M70" i="27" s="1"/>
  <c r="K71" i="27"/>
  <c r="O71" i="27"/>
  <c r="F8" i="41" l="1"/>
  <c r="E8" i="41"/>
  <c r="G8" i="41"/>
  <c r="I15" i="28"/>
  <c r="H15" i="28"/>
  <c r="K15" i="28"/>
  <c r="J15" i="28"/>
  <c r="P23" i="30"/>
  <c r="Q23" i="30"/>
  <c r="P7" i="30"/>
  <c r="Q7" i="30"/>
  <c r="Q25" i="30"/>
  <c r="P25" i="30"/>
  <c r="P9" i="30"/>
  <c r="Q9" i="30"/>
  <c r="P49" i="30"/>
  <c r="Q49" i="30"/>
  <c r="P43" i="30"/>
  <c r="Q43" i="30"/>
  <c r="AA24" i="30"/>
  <c r="AB24" i="30"/>
  <c r="AC19" i="30" s="1"/>
  <c r="N24" i="30"/>
  <c r="P46" i="30"/>
  <c r="Q46" i="30"/>
  <c r="Q30" i="30"/>
  <c r="P30" i="30"/>
  <c r="P56" i="30"/>
  <c r="Q56" i="30"/>
  <c r="P53" i="30"/>
  <c r="Q53" i="30"/>
  <c r="P29" i="30"/>
  <c r="Q29" i="30"/>
  <c r="Q51" i="30"/>
  <c r="P51" i="30"/>
  <c r="P59" i="30"/>
  <c r="Q59" i="30"/>
  <c r="P39" i="30"/>
  <c r="Q39" i="30"/>
  <c r="P31" i="30"/>
  <c r="Q31" i="30"/>
  <c r="Q52" i="30"/>
  <c r="P52" i="30"/>
  <c r="P14" i="30"/>
  <c r="Q14" i="30"/>
  <c r="P63" i="30"/>
  <c r="Q63" i="30"/>
  <c r="P17" i="30"/>
  <c r="Q17" i="30"/>
  <c r="P10" i="30"/>
  <c r="Q10" i="30"/>
  <c r="N57" i="30"/>
  <c r="AA57" i="30"/>
  <c r="AB57" i="30"/>
  <c r="AC51" i="30" s="1"/>
  <c r="N13" i="30"/>
  <c r="AA13" i="30"/>
  <c r="AB13" i="30"/>
  <c r="AC9" i="30" s="1"/>
  <c r="N18" i="30"/>
  <c r="AA18" i="30"/>
  <c r="AB18" i="30"/>
  <c r="AC14" i="30" s="1"/>
  <c r="P48" i="30"/>
  <c r="Q48" i="30"/>
  <c r="P45" i="30"/>
  <c r="Q45" i="30"/>
  <c r="P38" i="30"/>
  <c r="Q38" i="30"/>
  <c r="P61" i="30"/>
  <c r="Q61" i="30"/>
  <c r="P36" i="30"/>
  <c r="Q36" i="30"/>
  <c r="AA64" i="30"/>
  <c r="AB64" i="30"/>
  <c r="AC58" i="30" s="1"/>
  <c r="N64" i="30"/>
  <c r="Q44" i="30"/>
  <c r="P44" i="30"/>
  <c r="Q54" i="30"/>
  <c r="P54" i="30"/>
  <c r="P55" i="30"/>
  <c r="Q55" i="30"/>
  <c r="P40" i="30"/>
  <c r="Q40" i="30"/>
  <c r="P66" i="30"/>
  <c r="Q66" i="30"/>
  <c r="Q26" i="30"/>
  <c r="P26" i="30"/>
  <c r="P15" i="30"/>
  <c r="Q15" i="30"/>
  <c r="P12" i="30"/>
  <c r="Q12" i="30"/>
  <c r="P27" i="30"/>
  <c r="Q27" i="30"/>
  <c r="P68" i="30"/>
  <c r="Q68" i="30"/>
  <c r="P22" i="30"/>
  <c r="Q22" i="30"/>
  <c r="P37" i="30"/>
  <c r="Q37" i="30"/>
  <c r="Q28" i="30"/>
  <c r="P28" i="30"/>
  <c r="P67" i="30"/>
  <c r="Q67" i="30"/>
  <c r="P62" i="30"/>
  <c r="Q62" i="30"/>
  <c r="N32" i="30"/>
  <c r="AA32" i="30"/>
  <c r="AB32" i="30"/>
  <c r="AC25" i="30" s="1"/>
  <c r="P65" i="30"/>
  <c r="Q65" i="30"/>
  <c r="P58" i="30"/>
  <c r="Q58" i="30"/>
  <c r="P41" i="30"/>
  <c r="Q41" i="30"/>
  <c r="D15" i="29"/>
  <c r="AA42" i="30"/>
  <c r="AB42" i="30"/>
  <c r="AC33" i="30" s="1"/>
  <c r="N42" i="30"/>
  <c r="N71" i="30"/>
  <c r="AA71" i="30"/>
  <c r="AB71" i="30"/>
  <c r="AC65" i="30" s="1"/>
  <c r="Q16" i="30"/>
  <c r="P16" i="30"/>
  <c r="Q5" i="30"/>
  <c r="P5" i="30"/>
  <c r="P69" i="30"/>
  <c r="Q69" i="30"/>
  <c r="Q6" i="30"/>
  <c r="P6" i="30"/>
  <c r="P70" i="30"/>
  <c r="Q70" i="30"/>
  <c r="N50" i="30"/>
  <c r="AA50" i="30"/>
  <c r="AB50" i="30"/>
  <c r="AC43" i="30" s="1"/>
  <c r="P33" i="30"/>
  <c r="Q33" i="30"/>
  <c r="P11" i="30"/>
  <c r="Q11" i="30"/>
  <c r="I6" i="28"/>
  <c r="L15" i="28"/>
  <c r="F15" i="28"/>
  <c r="G8" i="28" s="1"/>
  <c r="E6" i="28"/>
  <c r="E7" i="28"/>
  <c r="I8" i="28"/>
  <c r="I7" i="28"/>
  <c r="G7" i="28"/>
  <c r="F7" i="28"/>
  <c r="G6" i="28"/>
  <c r="F6" i="28"/>
  <c r="AA17" i="27"/>
  <c r="AB17" i="27"/>
  <c r="N17" i="27"/>
  <c r="AB12" i="27"/>
  <c r="N12" i="27"/>
  <c r="AA12" i="27"/>
  <c r="AB10" i="27"/>
  <c r="N10" i="27"/>
  <c r="AA10" i="27"/>
  <c r="AA68" i="27"/>
  <c r="AB68" i="27"/>
  <c r="N68" i="27"/>
  <c r="AB20" i="27"/>
  <c r="N20" i="27"/>
  <c r="AA20" i="27"/>
  <c r="N39" i="27"/>
  <c r="AA39" i="27"/>
  <c r="AB39" i="27"/>
  <c r="N37" i="27"/>
  <c r="AA37" i="27"/>
  <c r="AB37" i="27"/>
  <c r="P15" i="27"/>
  <c r="Q15" i="27"/>
  <c r="AB48" i="27"/>
  <c r="N48" i="27"/>
  <c r="AA48" i="27"/>
  <c r="AB22" i="27"/>
  <c r="N22" i="27"/>
  <c r="AA22" i="27"/>
  <c r="N35" i="27"/>
  <c r="AA35" i="27"/>
  <c r="AB35" i="27"/>
  <c r="P58" i="27"/>
  <c r="Q58" i="27"/>
  <c r="M57" i="27"/>
  <c r="AA70" i="27"/>
  <c r="AB70" i="27"/>
  <c r="N70" i="27"/>
  <c r="AB34" i="27"/>
  <c r="N34" i="27"/>
  <c r="AA34" i="27"/>
  <c r="N67" i="27"/>
  <c r="AA67" i="27"/>
  <c r="AB67" i="27"/>
  <c r="P41" i="27"/>
  <c r="Q41" i="27"/>
  <c r="AB19" i="27"/>
  <c r="N19" i="27"/>
  <c r="AA19" i="27"/>
  <c r="M24" i="27"/>
  <c r="AB33" i="27"/>
  <c r="N33" i="27"/>
  <c r="M42" i="27"/>
  <c r="AA33" i="27"/>
  <c r="AA65" i="27"/>
  <c r="AB65" i="27"/>
  <c r="M71" i="27"/>
  <c r="N65" i="27"/>
  <c r="P61" i="27"/>
  <c r="Q61" i="27"/>
  <c r="AA47" i="27"/>
  <c r="AB47" i="27"/>
  <c r="N47" i="27"/>
  <c r="N36" i="27"/>
  <c r="AB36" i="27"/>
  <c r="AA36" i="27"/>
  <c r="P14" i="27"/>
  <c r="Q14" i="27"/>
  <c r="AA11" i="27"/>
  <c r="AB11" i="27"/>
  <c r="N11" i="27"/>
  <c r="AB9" i="27"/>
  <c r="M13" i="27"/>
  <c r="N9" i="27"/>
  <c r="AA9" i="27"/>
  <c r="AA55" i="27"/>
  <c r="AB55" i="27"/>
  <c r="N55" i="27"/>
  <c r="AA69" i="27"/>
  <c r="AB69" i="27"/>
  <c r="N69" i="27"/>
  <c r="M50" i="27"/>
  <c r="N21" i="27"/>
  <c r="AA21" i="27"/>
  <c r="AB21" i="27"/>
  <c r="P63" i="27"/>
  <c r="Q63" i="27"/>
  <c r="AA56" i="27"/>
  <c r="AB56" i="27"/>
  <c r="N56" i="27"/>
  <c r="AA49" i="27"/>
  <c r="N49" i="27"/>
  <c r="AB49" i="27"/>
  <c r="N40" i="27"/>
  <c r="AA40" i="27"/>
  <c r="AB40" i="27"/>
  <c r="N38" i="27"/>
  <c r="AB38" i="27"/>
  <c r="AA38" i="27"/>
  <c r="N60" i="27"/>
  <c r="AB60" i="27"/>
  <c r="AA60" i="27"/>
  <c r="P59" i="27"/>
  <c r="Q59" i="27"/>
  <c r="N23" i="27"/>
  <c r="AA23" i="27"/>
  <c r="AB23" i="27"/>
  <c r="N52" i="27"/>
  <c r="N51" i="27"/>
  <c r="N26" i="27"/>
  <c r="N16" i="27"/>
  <c r="N66" i="27"/>
  <c r="M64" i="27"/>
  <c r="AB61" i="27"/>
  <c r="AB58" i="27"/>
  <c r="N54" i="27"/>
  <c r="N44" i="27"/>
  <c r="N30" i="27"/>
  <c r="N28" i="27"/>
  <c r="N25" i="27"/>
  <c r="N6" i="27"/>
  <c r="N5" i="27"/>
  <c r="AB63" i="27"/>
  <c r="M18" i="27"/>
  <c r="AB15" i="27"/>
  <c r="AB14" i="27"/>
  <c r="AA63" i="27"/>
  <c r="AB52" i="27"/>
  <c r="AB51" i="27"/>
  <c r="AB26" i="27"/>
  <c r="AB25" i="27"/>
  <c r="AB16" i="27"/>
  <c r="AA15" i="27"/>
  <c r="AA14" i="27"/>
  <c r="AB53" i="27"/>
  <c r="AA51" i="27"/>
  <c r="M32" i="27"/>
  <c r="AB29" i="27"/>
  <c r="AB27" i="27"/>
  <c r="M8" i="27"/>
  <c r="AB66" i="27"/>
  <c r="Q62" i="27"/>
  <c r="AB54" i="27"/>
  <c r="AB44" i="27"/>
  <c r="AB30" i="27"/>
  <c r="AB28" i="27"/>
  <c r="AB6" i="27"/>
  <c r="AB5" i="27"/>
  <c r="AB45" i="27"/>
  <c r="AA44" i="27"/>
  <c r="AB31" i="27"/>
  <c r="AB7" i="27"/>
  <c r="AB46" i="27"/>
  <c r="Q53" i="27"/>
  <c r="Q27" i="27"/>
  <c r="E8" i="28" l="1"/>
  <c r="P13" i="30"/>
  <c r="Q13" i="30"/>
  <c r="R9" i="30" s="1"/>
  <c r="E14" i="29"/>
  <c r="D2" i="30"/>
  <c r="I14" i="29"/>
  <c r="I15" i="29" s="1"/>
  <c r="P57" i="30"/>
  <c r="Q57" i="30"/>
  <c r="R51" i="30" s="1"/>
  <c r="J14" i="29"/>
  <c r="J15" i="29" s="1"/>
  <c r="P64" i="30"/>
  <c r="Q64" i="30"/>
  <c r="R58" i="30" s="1"/>
  <c r="P50" i="30"/>
  <c r="H14" i="29"/>
  <c r="H15" i="29" s="1"/>
  <c r="Q50" i="30"/>
  <c r="R43" i="30" s="1"/>
  <c r="P24" i="30"/>
  <c r="Q24" i="30"/>
  <c r="R19" i="30" s="1"/>
  <c r="G14" i="29"/>
  <c r="G15" i="29" s="1"/>
  <c r="P71" i="30"/>
  <c r="Q71" i="30"/>
  <c r="R65" i="30" s="1"/>
  <c r="M14" i="29"/>
  <c r="M15" i="29" s="1"/>
  <c r="F14" i="29"/>
  <c r="F15" i="29" s="1"/>
  <c r="P18" i="30"/>
  <c r="Q18" i="30"/>
  <c r="R14" i="30" s="1"/>
  <c r="L14" i="29"/>
  <c r="L15" i="29" s="1"/>
  <c r="P42" i="30"/>
  <c r="Q42" i="30"/>
  <c r="R33" i="30" s="1"/>
  <c r="K14" i="29"/>
  <c r="P32" i="30"/>
  <c r="Q32" i="30"/>
  <c r="R25" i="30" s="1"/>
  <c r="F8" i="28"/>
  <c r="Q25" i="27"/>
  <c r="P25" i="27"/>
  <c r="P52" i="27"/>
  <c r="Q52" i="27"/>
  <c r="P19" i="27"/>
  <c r="Q19" i="27"/>
  <c r="Q68" i="27"/>
  <c r="P68" i="27"/>
  <c r="Q28" i="27"/>
  <c r="P28" i="27"/>
  <c r="P21" i="27"/>
  <c r="Q21" i="27"/>
  <c r="P11" i="27"/>
  <c r="Q11" i="27"/>
  <c r="N57" i="27"/>
  <c r="AB57" i="27"/>
  <c r="AC51" i="27" s="1"/>
  <c r="AA57" i="27"/>
  <c r="Q30" i="27"/>
  <c r="P30" i="27"/>
  <c r="P40" i="27"/>
  <c r="Q40" i="27"/>
  <c r="N50" i="27"/>
  <c r="AA50" i="27"/>
  <c r="AB50" i="27"/>
  <c r="AC43" i="27" s="1"/>
  <c r="Q65" i="27"/>
  <c r="P65" i="27"/>
  <c r="Q44" i="27"/>
  <c r="P44" i="27"/>
  <c r="P23" i="27"/>
  <c r="Q23" i="27"/>
  <c r="P69" i="27"/>
  <c r="Q69" i="27"/>
  <c r="AB71" i="27"/>
  <c r="AC65" i="27" s="1"/>
  <c r="N71" i="27"/>
  <c r="AA71" i="27"/>
  <c r="AA8" i="27"/>
  <c r="N8" i="27"/>
  <c r="AB8" i="27"/>
  <c r="AC5" i="27" s="1"/>
  <c r="Q54" i="27"/>
  <c r="P54" i="27"/>
  <c r="P49" i="27"/>
  <c r="Q49" i="27"/>
  <c r="P10" i="27"/>
  <c r="Q10" i="27"/>
  <c r="P37" i="27"/>
  <c r="Q37" i="27"/>
  <c r="Q56" i="27"/>
  <c r="P56" i="27"/>
  <c r="P55" i="27"/>
  <c r="Q55" i="27"/>
  <c r="P67" i="27"/>
  <c r="Q67" i="27"/>
  <c r="P35" i="27"/>
  <c r="Q35" i="27"/>
  <c r="N32" i="27"/>
  <c r="AA32" i="27"/>
  <c r="AB32" i="27"/>
  <c r="AC25" i="27" s="1"/>
  <c r="AA64" i="27"/>
  <c r="AB64" i="27"/>
  <c r="AC58" i="27" s="1"/>
  <c r="N64" i="27"/>
  <c r="AA42" i="27"/>
  <c r="AB42" i="27"/>
  <c r="AC33" i="27" s="1"/>
  <c r="N42" i="27"/>
  <c r="P12" i="27"/>
  <c r="Q12" i="27"/>
  <c r="AA18" i="27"/>
  <c r="AB18" i="27"/>
  <c r="AC14" i="27" s="1"/>
  <c r="N18" i="27"/>
  <c r="Q66" i="27"/>
  <c r="P66" i="27"/>
  <c r="P60" i="27"/>
  <c r="Q60" i="27"/>
  <c r="P36" i="27"/>
  <c r="Q36" i="27"/>
  <c r="P33" i="27"/>
  <c r="Q33" i="27"/>
  <c r="P34" i="27"/>
  <c r="Q34" i="27"/>
  <c r="P22" i="27"/>
  <c r="Q22" i="27"/>
  <c r="P39" i="27"/>
  <c r="Q39" i="27"/>
  <c r="P16" i="27"/>
  <c r="Q16" i="27"/>
  <c r="P47" i="27"/>
  <c r="Q47" i="27"/>
  <c r="P17" i="27"/>
  <c r="Q17" i="27"/>
  <c r="Q5" i="27"/>
  <c r="P5" i="27"/>
  <c r="P26" i="27"/>
  <c r="Q26" i="27"/>
  <c r="P9" i="27"/>
  <c r="Q9" i="27"/>
  <c r="N24" i="27"/>
  <c r="AA24" i="27"/>
  <c r="AB24" i="27"/>
  <c r="AC19" i="27" s="1"/>
  <c r="Q70" i="27"/>
  <c r="P70" i="27"/>
  <c r="P20" i="27"/>
  <c r="Q20" i="27"/>
  <c r="Q6" i="27"/>
  <c r="P6" i="27"/>
  <c r="P51" i="27"/>
  <c r="Q51" i="27"/>
  <c r="P38" i="27"/>
  <c r="Q38" i="27"/>
  <c r="N13" i="27"/>
  <c r="AA13" i="27"/>
  <c r="AB13" i="27"/>
  <c r="AC9" i="27" s="1"/>
  <c r="P48" i="27"/>
  <c r="Q48" i="27"/>
  <c r="I7" i="29" l="1"/>
  <c r="K15" i="29"/>
  <c r="I8" i="29" s="1"/>
  <c r="E15" i="29"/>
  <c r="E7" i="29"/>
  <c r="F7" i="29"/>
  <c r="G7" i="29"/>
  <c r="P24" i="27"/>
  <c r="Q24" i="27"/>
  <c r="R19" i="27" s="1"/>
  <c r="P50" i="27"/>
  <c r="Q50" i="27"/>
  <c r="R43" i="27" s="1"/>
  <c r="P18" i="27"/>
  <c r="Q18" i="27"/>
  <c r="R14" i="27" s="1"/>
  <c r="P32" i="27"/>
  <c r="Q32" i="27"/>
  <c r="R25" i="27" s="1"/>
  <c r="P71" i="27"/>
  <c r="Q71" i="27"/>
  <c r="R65" i="27" s="1"/>
  <c r="P42" i="27"/>
  <c r="Q42" i="27"/>
  <c r="R33" i="27" s="1"/>
  <c r="P57" i="27"/>
  <c r="Q57" i="27"/>
  <c r="R51" i="27" s="1"/>
  <c r="D2" i="27"/>
  <c r="P8" i="27"/>
  <c r="Q8" i="27"/>
  <c r="R5" i="27" s="1"/>
  <c r="P13" i="27"/>
  <c r="Q13" i="27"/>
  <c r="R9" i="27" s="1"/>
  <c r="P64" i="27"/>
  <c r="Q64" i="27"/>
  <c r="R58" i="27" s="1"/>
  <c r="F8" i="29" l="1"/>
  <c r="E8" i="29"/>
  <c r="G8" i="29"/>
  <c r="O65" i="24"/>
  <c r="K65" i="24"/>
  <c r="V64" i="24"/>
  <c r="U64" i="24"/>
  <c r="O64" i="24"/>
  <c r="M64" i="24"/>
  <c r="K64" i="24"/>
  <c r="G64" i="24"/>
  <c r="AB63" i="24"/>
  <c r="AA63" i="24"/>
  <c r="V63" i="24"/>
  <c r="U63" i="24"/>
  <c r="O63" i="24"/>
  <c r="N63" i="24"/>
  <c r="P63" i="24" s="1"/>
  <c r="M63" i="24"/>
  <c r="K63" i="24"/>
  <c r="G63" i="24"/>
  <c r="V62" i="24"/>
  <c r="U62" i="24"/>
  <c r="O62" i="24"/>
  <c r="M62" i="24"/>
  <c r="K62" i="24"/>
  <c r="G62" i="24"/>
  <c r="AB61" i="24"/>
  <c r="AA61" i="24"/>
  <c r="V61" i="24"/>
  <c r="U61" i="24"/>
  <c r="Q61" i="24"/>
  <c r="P61" i="24"/>
  <c r="O61" i="24"/>
  <c r="N61" i="24"/>
  <c r="M61" i="24"/>
  <c r="K61" i="24"/>
  <c r="G61" i="24"/>
  <c r="AB60" i="24"/>
  <c r="AA60" i="24"/>
  <c r="X60" i="24"/>
  <c r="W60" i="24"/>
  <c r="V60" i="24"/>
  <c r="O60" i="24"/>
  <c r="M60" i="24"/>
  <c r="N60" i="24" s="1"/>
  <c r="P60" i="24" s="1"/>
  <c r="K60" i="24"/>
  <c r="G60" i="24"/>
  <c r="O59" i="24"/>
  <c r="K59" i="24"/>
  <c r="V58" i="24"/>
  <c r="M58" i="24" s="1"/>
  <c r="N58" i="24" s="1"/>
  <c r="U58" i="24"/>
  <c r="Q58" i="24"/>
  <c r="P58" i="24"/>
  <c r="O58" i="24"/>
  <c r="K58" i="24"/>
  <c r="G58" i="24"/>
  <c r="AB57" i="24"/>
  <c r="AA57" i="24"/>
  <c r="V57" i="24"/>
  <c r="U57" i="24"/>
  <c r="O57" i="24"/>
  <c r="N57" i="24"/>
  <c r="M57" i="24"/>
  <c r="K57" i="24"/>
  <c r="G57" i="24"/>
  <c r="AB56" i="24"/>
  <c r="AA56" i="24"/>
  <c r="V56" i="24"/>
  <c r="U56" i="24"/>
  <c r="O56" i="24"/>
  <c r="M56" i="24"/>
  <c r="N56" i="24" s="1"/>
  <c r="K56" i="24"/>
  <c r="G56" i="24"/>
  <c r="V55" i="24"/>
  <c r="U55" i="24"/>
  <c r="O55" i="24"/>
  <c r="M55" i="24"/>
  <c r="K55" i="24"/>
  <c r="G55" i="24"/>
  <c r="AB54" i="24"/>
  <c r="AA54" i="24"/>
  <c r="X54" i="24"/>
  <c r="W54" i="24"/>
  <c r="V54" i="24"/>
  <c r="U54" i="24"/>
  <c r="O54" i="24"/>
  <c r="N54" i="24"/>
  <c r="Q54" i="24" s="1"/>
  <c r="M54" i="24"/>
  <c r="K54" i="24"/>
  <c r="G54" i="24"/>
  <c r="V53" i="24"/>
  <c r="M53" i="24" s="1"/>
  <c r="O53" i="24"/>
  <c r="K53" i="24"/>
  <c r="G53" i="24"/>
  <c r="O52" i="24"/>
  <c r="K52" i="24"/>
  <c r="V51" i="24"/>
  <c r="U51" i="24"/>
  <c r="O51" i="24"/>
  <c r="M51" i="24"/>
  <c r="K51" i="24"/>
  <c r="G51" i="24"/>
  <c r="AB50" i="24"/>
  <c r="AA50" i="24"/>
  <c r="V50" i="24"/>
  <c r="U50" i="24"/>
  <c r="Q50" i="24"/>
  <c r="P50" i="24"/>
  <c r="O50" i="24"/>
  <c r="N50" i="24"/>
  <c r="M50" i="24"/>
  <c r="K50" i="24"/>
  <c r="G50" i="24"/>
  <c r="V49" i="24"/>
  <c r="M49" i="24" s="1"/>
  <c r="N49" i="24" s="1"/>
  <c r="U49" i="24"/>
  <c r="Q49" i="24"/>
  <c r="P49" i="24"/>
  <c r="O49" i="24"/>
  <c r="K49" i="24"/>
  <c r="G49" i="24"/>
  <c r="V48" i="24"/>
  <c r="M48" i="24" s="1"/>
  <c r="U48" i="24"/>
  <c r="O48" i="24"/>
  <c r="K48" i="24"/>
  <c r="G48" i="24"/>
  <c r="AB47" i="24"/>
  <c r="AA47" i="24"/>
  <c r="V47" i="24"/>
  <c r="U47" i="24"/>
  <c r="O47" i="24"/>
  <c r="M47" i="24"/>
  <c r="N47" i="24" s="1"/>
  <c r="P47" i="24" s="1"/>
  <c r="K47" i="24"/>
  <c r="G47" i="24"/>
  <c r="V46" i="24"/>
  <c r="O46" i="24"/>
  <c r="M46" i="24"/>
  <c r="K46" i="24"/>
  <c r="G46" i="24"/>
  <c r="O45" i="24"/>
  <c r="K45" i="24"/>
  <c r="V44" i="24"/>
  <c r="U44" i="24"/>
  <c r="O44" i="24"/>
  <c r="M44" i="24"/>
  <c r="K44" i="24"/>
  <c r="G44" i="24"/>
  <c r="AB43" i="24"/>
  <c r="AA43" i="24"/>
  <c r="V43" i="24"/>
  <c r="U43" i="24"/>
  <c r="O43" i="24"/>
  <c r="M43" i="24"/>
  <c r="N43" i="24" s="1"/>
  <c r="K43" i="24"/>
  <c r="G43" i="24"/>
  <c r="V42" i="24"/>
  <c r="U42" i="24"/>
  <c r="O42" i="24"/>
  <c r="M42" i="24"/>
  <c r="K42" i="24"/>
  <c r="G42" i="24"/>
  <c r="AB41" i="24"/>
  <c r="AA41" i="24"/>
  <c r="V41" i="24"/>
  <c r="U41" i="24"/>
  <c r="O41" i="24"/>
  <c r="N41" i="24"/>
  <c r="P41" i="24" s="1"/>
  <c r="M41" i="24"/>
  <c r="K41" i="24"/>
  <c r="G41" i="24"/>
  <c r="V40" i="24"/>
  <c r="U40" i="24"/>
  <c r="O40" i="24"/>
  <c r="M40" i="24"/>
  <c r="K40" i="24"/>
  <c r="G40" i="24"/>
  <c r="AB39" i="24"/>
  <c r="AA39" i="24"/>
  <c r="V39" i="24"/>
  <c r="U39" i="24"/>
  <c r="Q39" i="24"/>
  <c r="P39" i="24"/>
  <c r="O39" i="24"/>
  <c r="N39" i="24"/>
  <c r="M39" i="24"/>
  <c r="K39" i="24"/>
  <c r="G39" i="24"/>
  <c r="AB38" i="24"/>
  <c r="AA38" i="24"/>
  <c r="X38" i="24"/>
  <c r="W38" i="24"/>
  <c r="V38" i="24"/>
  <c r="O38" i="24"/>
  <c r="M38" i="24"/>
  <c r="N38" i="24" s="1"/>
  <c r="P38" i="24" s="1"/>
  <c r="K38" i="24"/>
  <c r="G38" i="24"/>
  <c r="O37" i="24"/>
  <c r="K37" i="24"/>
  <c r="V36" i="24"/>
  <c r="M36" i="24" s="1"/>
  <c r="N36" i="24" s="1"/>
  <c r="U36" i="24"/>
  <c r="Q36" i="24"/>
  <c r="P36" i="24"/>
  <c r="O36" i="24"/>
  <c r="K36" i="24"/>
  <c r="G36" i="24"/>
  <c r="X35" i="24"/>
  <c r="W35" i="24"/>
  <c r="V35" i="24"/>
  <c r="U35" i="24"/>
  <c r="O35" i="24"/>
  <c r="M35" i="24"/>
  <c r="K35" i="24"/>
  <c r="G35" i="24"/>
  <c r="AB34" i="24"/>
  <c r="AA34" i="24"/>
  <c r="V34" i="24"/>
  <c r="U34" i="24"/>
  <c r="O34" i="24"/>
  <c r="N34" i="24"/>
  <c r="Q34" i="24" s="1"/>
  <c r="M34" i="24"/>
  <c r="K34" i="24"/>
  <c r="G34" i="24"/>
  <c r="V33" i="24"/>
  <c r="U33" i="24"/>
  <c r="O33" i="24"/>
  <c r="M33" i="24"/>
  <c r="K33" i="24"/>
  <c r="G33" i="24"/>
  <c r="AB32" i="24"/>
  <c r="AA32" i="24"/>
  <c r="V32" i="24"/>
  <c r="U32" i="24"/>
  <c r="O32" i="24"/>
  <c r="N32" i="24"/>
  <c r="Q32" i="24" s="1"/>
  <c r="M32" i="24"/>
  <c r="K32" i="24"/>
  <c r="G32" i="24"/>
  <c r="V31" i="24"/>
  <c r="U31" i="24"/>
  <c r="O31" i="24"/>
  <c r="N31" i="24"/>
  <c r="P31" i="24" s="1"/>
  <c r="M31" i="24"/>
  <c r="K31" i="24"/>
  <c r="G31" i="24"/>
  <c r="AB30" i="24"/>
  <c r="AA30" i="24"/>
  <c r="X30" i="24"/>
  <c r="W30" i="24"/>
  <c r="V30" i="24"/>
  <c r="O30" i="24"/>
  <c r="N30" i="24"/>
  <c r="M30" i="24"/>
  <c r="K30" i="24"/>
  <c r="G30" i="24"/>
  <c r="O29" i="24"/>
  <c r="K29" i="24"/>
  <c r="AB28" i="24"/>
  <c r="AA28" i="24"/>
  <c r="V28" i="24"/>
  <c r="U28" i="24"/>
  <c r="O28" i="24"/>
  <c r="N28" i="24"/>
  <c r="Q28" i="24" s="1"/>
  <c r="M28" i="24"/>
  <c r="K28" i="24"/>
  <c r="G28" i="24"/>
  <c r="AB27" i="24"/>
  <c r="AA27" i="24"/>
  <c r="V27" i="24"/>
  <c r="U27" i="24"/>
  <c r="O27" i="24"/>
  <c r="M27" i="24"/>
  <c r="N27" i="24" s="1"/>
  <c r="P27" i="24" s="1"/>
  <c r="K27" i="24"/>
  <c r="G27" i="24"/>
  <c r="V26" i="24"/>
  <c r="U26" i="24"/>
  <c r="O26" i="24"/>
  <c r="M26" i="24"/>
  <c r="K26" i="24"/>
  <c r="G26" i="24"/>
  <c r="AB25" i="24"/>
  <c r="AA25" i="24"/>
  <c r="V25" i="24"/>
  <c r="U25" i="24"/>
  <c r="O25" i="24"/>
  <c r="M25" i="24"/>
  <c r="N25" i="24" s="1"/>
  <c r="K25" i="24"/>
  <c r="G25" i="24"/>
  <c r="X24" i="24"/>
  <c r="W24" i="24"/>
  <c r="V24" i="24"/>
  <c r="O24" i="24"/>
  <c r="N24" i="24"/>
  <c r="Q24" i="24" s="1"/>
  <c r="M24" i="24"/>
  <c r="K24" i="24"/>
  <c r="G24" i="24"/>
  <c r="O23" i="24"/>
  <c r="K23" i="24"/>
  <c r="V22" i="24"/>
  <c r="U22" i="24"/>
  <c r="O22" i="24"/>
  <c r="M22" i="24"/>
  <c r="N22" i="24" s="1"/>
  <c r="K22" i="24"/>
  <c r="G22" i="24"/>
  <c r="AB21" i="24"/>
  <c r="AA21" i="24"/>
  <c r="V21" i="24"/>
  <c r="U21" i="24"/>
  <c r="Q21" i="24"/>
  <c r="P21" i="24"/>
  <c r="O21" i="24"/>
  <c r="N21" i="24"/>
  <c r="M21" i="24"/>
  <c r="K21" i="24"/>
  <c r="G21" i="24"/>
  <c r="V20" i="24"/>
  <c r="M20" i="24" s="1"/>
  <c r="AB20" i="24" s="1"/>
  <c r="U20" i="24"/>
  <c r="O20" i="24"/>
  <c r="N20" i="24"/>
  <c r="Q20" i="24" s="1"/>
  <c r="K20" i="24"/>
  <c r="G20" i="24"/>
  <c r="AB19" i="24"/>
  <c r="AA19" i="24"/>
  <c r="V19" i="24"/>
  <c r="U19" i="24"/>
  <c r="Q19" i="24"/>
  <c r="O19" i="24"/>
  <c r="N19" i="24"/>
  <c r="P19" i="24" s="1"/>
  <c r="M19" i="24"/>
  <c r="K19" i="24"/>
  <c r="G19" i="24"/>
  <c r="AB18" i="24"/>
  <c r="AA18" i="24"/>
  <c r="V18" i="24"/>
  <c r="O18" i="24"/>
  <c r="M18" i="24"/>
  <c r="N18" i="24" s="1"/>
  <c r="P18" i="24" s="1"/>
  <c r="K18" i="24"/>
  <c r="G18" i="24"/>
  <c r="O17" i="24"/>
  <c r="M17" i="24"/>
  <c r="K17" i="24"/>
  <c r="F13" i="23" s="1"/>
  <c r="AB16" i="24"/>
  <c r="AA16" i="24"/>
  <c r="V16" i="24"/>
  <c r="M16" i="24" s="1"/>
  <c r="N16" i="24" s="1"/>
  <c r="U16" i="24"/>
  <c r="Q16" i="24"/>
  <c r="P16" i="24"/>
  <c r="O16" i="24"/>
  <c r="K16" i="24"/>
  <c r="G16" i="24"/>
  <c r="V15" i="24"/>
  <c r="U15" i="24"/>
  <c r="O15" i="24"/>
  <c r="M15" i="24"/>
  <c r="N15" i="24" s="1"/>
  <c r="K15" i="24"/>
  <c r="G15" i="24"/>
  <c r="F1" i="24" s="1"/>
  <c r="AB14" i="24"/>
  <c r="AA14" i="24"/>
  <c r="V14" i="24"/>
  <c r="U14" i="24"/>
  <c r="O14" i="24"/>
  <c r="M14" i="24"/>
  <c r="N14" i="24" s="1"/>
  <c r="K14" i="24"/>
  <c r="G14" i="24"/>
  <c r="V13" i="24"/>
  <c r="O13" i="24"/>
  <c r="M13" i="24"/>
  <c r="K13" i="24"/>
  <c r="G13" i="24"/>
  <c r="O12" i="24"/>
  <c r="K12" i="24"/>
  <c r="V11" i="24"/>
  <c r="U11" i="24"/>
  <c r="O11" i="24"/>
  <c r="M11" i="24"/>
  <c r="K11" i="24"/>
  <c r="G11" i="24"/>
  <c r="AB10" i="24"/>
  <c r="AA10" i="24"/>
  <c r="V10" i="24"/>
  <c r="U10" i="24"/>
  <c r="O10" i="24"/>
  <c r="N10" i="24"/>
  <c r="Q10" i="24" s="1"/>
  <c r="M10" i="24"/>
  <c r="K10" i="24"/>
  <c r="G10" i="24"/>
  <c r="X9" i="24"/>
  <c r="W9" i="24"/>
  <c r="V9" i="24"/>
  <c r="M9" i="24" s="1"/>
  <c r="O9" i="24"/>
  <c r="N9" i="24"/>
  <c r="P9" i="24" s="1"/>
  <c r="K9" i="24"/>
  <c r="G9" i="24"/>
  <c r="O8" i="24"/>
  <c r="K8" i="24"/>
  <c r="V7" i="24"/>
  <c r="U7" i="24"/>
  <c r="O7" i="24"/>
  <c r="M7" i="24"/>
  <c r="AB7" i="24" s="1"/>
  <c r="K7" i="24"/>
  <c r="G7" i="24"/>
  <c r="AB6" i="24"/>
  <c r="AA6" i="24"/>
  <c r="V6" i="24"/>
  <c r="U6" i="24"/>
  <c r="Q6" i="24"/>
  <c r="P6" i="24"/>
  <c r="O6" i="24"/>
  <c r="N6" i="24"/>
  <c r="M6" i="24"/>
  <c r="K6" i="24"/>
  <c r="G6" i="24"/>
  <c r="V5" i="24"/>
  <c r="M5" i="24" s="1"/>
  <c r="O5" i="24"/>
  <c r="K5" i="24"/>
  <c r="G5" i="24"/>
  <c r="H2" i="24"/>
  <c r="H1" i="24"/>
  <c r="D1" i="24"/>
  <c r="M18" i="23"/>
  <c r="L18" i="23"/>
  <c r="K18" i="23"/>
  <c r="J18" i="23"/>
  <c r="I18" i="23"/>
  <c r="H18" i="23"/>
  <c r="G18" i="23"/>
  <c r="F18" i="23"/>
  <c r="E18" i="23"/>
  <c r="D18" i="23"/>
  <c r="M17" i="23"/>
  <c r="L17" i="23"/>
  <c r="K17" i="23"/>
  <c r="J17" i="23"/>
  <c r="I17" i="23"/>
  <c r="H17" i="23"/>
  <c r="G17" i="23"/>
  <c r="F17" i="23"/>
  <c r="E17" i="23"/>
  <c r="D17" i="23"/>
  <c r="M16" i="23"/>
  <c r="L16" i="23"/>
  <c r="K16" i="23"/>
  <c r="J16" i="23"/>
  <c r="I16" i="23"/>
  <c r="H16" i="23"/>
  <c r="G16" i="23"/>
  <c r="F16" i="23"/>
  <c r="E16" i="23"/>
  <c r="D16" i="23"/>
  <c r="M13" i="23"/>
  <c r="L13" i="23"/>
  <c r="K13" i="23"/>
  <c r="J13" i="23"/>
  <c r="I13" i="23"/>
  <c r="H13" i="23"/>
  <c r="G13" i="23"/>
  <c r="E13" i="23"/>
  <c r="D13" i="23"/>
  <c r="I6" i="23"/>
  <c r="F3" i="23"/>
  <c r="C3" i="23"/>
  <c r="N48" i="24" l="1"/>
  <c r="Q48" i="24" s="1"/>
  <c r="AB48" i="24"/>
  <c r="AA48" i="24"/>
  <c r="Q22" i="24"/>
  <c r="P22" i="24"/>
  <c r="Q15" i="24"/>
  <c r="P15" i="24"/>
  <c r="AB46" i="24"/>
  <c r="AA46" i="24"/>
  <c r="M52" i="24"/>
  <c r="Q31" i="24"/>
  <c r="N7" i="24"/>
  <c r="AB44" i="24"/>
  <c r="AA44" i="24"/>
  <c r="AA49" i="24"/>
  <c r="G6" i="23"/>
  <c r="F6" i="23"/>
  <c r="E6" i="23"/>
  <c r="P24" i="24"/>
  <c r="Q18" i="24"/>
  <c r="P20" i="24"/>
  <c r="AA36" i="24"/>
  <c r="Q14" i="24"/>
  <c r="P14" i="24"/>
  <c r="AB11" i="24"/>
  <c r="AA11" i="24"/>
  <c r="N11" i="24"/>
  <c r="M59" i="24"/>
  <c r="AB53" i="24"/>
  <c r="AB17" i="24"/>
  <c r="AC13" i="24" s="1"/>
  <c r="AA17" i="24"/>
  <c r="N17" i="24"/>
  <c r="Q43" i="24"/>
  <c r="P43" i="24"/>
  <c r="N46" i="24"/>
  <c r="AA53" i="24"/>
  <c r="Q56" i="24"/>
  <c r="P56" i="24"/>
  <c r="Q9" i="24"/>
  <c r="AB15" i="24"/>
  <c r="AA15" i="24"/>
  <c r="AB22" i="24"/>
  <c r="AA22" i="24"/>
  <c r="Q30" i="24"/>
  <c r="P30" i="24"/>
  <c r="AB36" i="24"/>
  <c r="Q47" i="24"/>
  <c r="M65" i="24"/>
  <c r="AB62" i="24"/>
  <c r="AA62" i="24"/>
  <c r="N62" i="24"/>
  <c r="I3" i="23"/>
  <c r="F2" i="24"/>
  <c r="AA51" i="24"/>
  <c r="AB51" i="24"/>
  <c r="AA58" i="24"/>
  <c r="M12" i="24"/>
  <c r="AB9" i="24"/>
  <c r="AA9" i="24"/>
  <c r="Q27" i="24"/>
  <c r="N51" i="24"/>
  <c r="AB58" i="24"/>
  <c r="Q25" i="24"/>
  <c r="P25" i="24"/>
  <c r="AB13" i="24"/>
  <c r="AA13" i="24"/>
  <c r="N44" i="24"/>
  <c r="AB49" i="24"/>
  <c r="AB64" i="24"/>
  <c r="AA64" i="24"/>
  <c r="N5" i="24"/>
  <c r="M8" i="24"/>
  <c r="N13" i="24"/>
  <c r="AA20" i="24"/>
  <c r="Q57" i="24"/>
  <c r="N64" i="24"/>
  <c r="AA5" i="24"/>
  <c r="Q60" i="24"/>
  <c r="AB5" i="24"/>
  <c r="AB35" i="24"/>
  <c r="AA35" i="24"/>
  <c r="AB42" i="24"/>
  <c r="AA42" i="24"/>
  <c r="N35" i="24"/>
  <c r="N42" i="24"/>
  <c r="AA7" i="24"/>
  <c r="AB33" i="24"/>
  <c r="AA33" i="24"/>
  <c r="Q38" i="24"/>
  <c r="M45" i="24"/>
  <c r="AB40" i="24"/>
  <c r="AA40" i="24"/>
  <c r="N53" i="24"/>
  <c r="AB55" i="24"/>
  <c r="AA55" i="24"/>
  <c r="AB26" i="24"/>
  <c r="AA26" i="24"/>
  <c r="N33" i="24"/>
  <c r="N40" i="24"/>
  <c r="N55" i="24"/>
  <c r="M29" i="24"/>
  <c r="AB24" i="24"/>
  <c r="AA24" i="24"/>
  <c r="N26" i="24"/>
  <c r="M37" i="24"/>
  <c r="AA31" i="24"/>
  <c r="AB31" i="24"/>
  <c r="P57" i="24"/>
  <c r="P28" i="24"/>
  <c r="M23" i="24"/>
  <c r="P10" i="24"/>
  <c r="P34" i="24"/>
  <c r="Q41" i="24"/>
  <c r="Q63" i="24"/>
  <c r="P32" i="24"/>
  <c r="P54" i="24"/>
  <c r="D1" i="22"/>
  <c r="G5" i="22"/>
  <c r="F1" i="22" s="1"/>
  <c r="K5" i="22"/>
  <c r="M5" i="22"/>
  <c r="AA5" i="22" s="1"/>
  <c r="N5" i="22"/>
  <c r="P5" i="22" s="1"/>
  <c r="O5" i="22"/>
  <c r="V5" i="22"/>
  <c r="G6" i="22"/>
  <c r="K6" i="22"/>
  <c r="M6" i="22"/>
  <c r="AA6" i="22" s="1"/>
  <c r="N6" i="22"/>
  <c r="P6" i="22" s="1"/>
  <c r="O6" i="22"/>
  <c r="U6" i="22"/>
  <c r="V6" i="22"/>
  <c r="G7" i="22"/>
  <c r="K7" i="22"/>
  <c r="O7" i="22"/>
  <c r="U7" i="22"/>
  <c r="V7" i="22"/>
  <c r="M7" i="22" s="1"/>
  <c r="K8" i="22"/>
  <c r="O8" i="22"/>
  <c r="G9" i="22"/>
  <c r="K9" i="22"/>
  <c r="O9" i="22"/>
  <c r="V9" i="22"/>
  <c r="M9" i="22" s="1"/>
  <c r="W9" i="22"/>
  <c r="X9" i="22"/>
  <c r="G10" i="22"/>
  <c r="K10" i="22"/>
  <c r="O10" i="22"/>
  <c r="U10" i="22"/>
  <c r="V10" i="22"/>
  <c r="M10" i="22" s="1"/>
  <c r="G11" i="22"/>
  <c r="K11" i="22"/>
  <c r="O11" i="22"/>
  <c r="U11" i="22"/>
  <c r="V11" i="22"/>
  <c r="M11" i="22" s="1"/>
  <c r="K12" i="22"/>
  <c r="O12" i="22"/>
  <c r="G13" i="22"/>
  <c r="K13" i="22"/>
  <c r="M13" i="22"/>
  <c r="AA13" i="22" s="1"/>
  <c r="O13" i="22"/>
  <c r="V13" i="22"/>
  <c r="G14" i="22"/>
  <c r="K14" i="22"/>
  <c r="M14" i="22"/>
  <c r="AA14" i="22" s="1"/>
  <c r="O14" i="22"/>
  <c r="U14" i="22"/>
  <c r="V14" i="22"/>
  <c r="G15" i="22"/>
  <c r="K15" i="22"/>
  <c r="O15" i="22"/>
  <c r="U15" i="22"/>
  <c r="V15" i="22"/>
  <c r="M15" i="22" s="1"/>
  <c r="G16" i="22"/>
  <c r="K16" i="22"/>
  <c r="O16" i="22"/>
  <c r="U16" i="22"/>
  <c r="V16" i="22"/>
  <c r="M16" i="22" s="1"/>
  <c r="K17" i="22"/>
  <c r="O17" i="22"/>
  <c r="G18" i="22"/>
  <c r="K18" i="22"/>
  <c r="M18" i="22"/>
  <c r="N18" i="22" s="1"/>
  <c r="O18" i="22"/>
  <c r="V18" i="22"/>
  <c r="AA18" i="22"/>
  <c r="G19" i="22"/>
  <c r="K19" i="22"/>
  <c r="M19" i="22"/>
  <c r="N19" i="22" s="1"/>
  <c r="O19" i="22"/>
  <c r="U19" i="22"/>
  <c r="V19" i="22"/>
  <c r="AA19" i="22"/>
  <c r="G20" i="22"/>
  <c r="K20" i="22"/>
  <c r="M20" i="22"/>
  <c r="N20" i="22" s="1"/>
  <c r="O20" i="22"/>
  <c r="U20" i="22"/>
  <c r="V20" i="22"/>
  <c r="AB20" i="22"/>
  <c r="G21" i="22"/>
  <c r="K21" i="22"/>
  <c r="M21" i="22"/>
  <c r="N21" i="22" s="1"/>
  <c r="O21" i="22"/>
  <c r="U21" i="22"/>
  <c r="V21" i="22"/>
  <c r="G22" i="22"/>
  <c r="K22" i="22"/>
  <c r="O22" i="22"/>
  <c r="U22" i="22"/>
  <c r="V22" i="22"/>
  <c r="M22" i="22" s="1"/>
  <c r="K23" i="22"/>
  <c r="O23" i="22"/>
  <c r="G24" i="22"/>
  <c r="K24" i="22"/>
  <c r="O24" i="22"/>
  <c r="V24" i="22"/>
  <c r="M24" i="22" s="1"/>
  <c r="W24" i="22"/>
  <c r="X24" i="22"/>
  <c r="G25" i="22"/>
  <c r="K25" i="22"/>
  <c r="O25" i="22"/>
  <c r="U25" i="22"/>
  <c r="V25" i="22"/>
  <c r="M25" i="22" s="1"/>
  <c r="G26" i="22"/>
  <c r="K26" i="22"/>
  <c r="O26" i="22"/>
  <c r="U26" i="22"/>
  <c r="V26" i="22"/>
  <c r="M26" i="22" s="1"/>
  <c r="G27" i="22"/>
  <c r="K27" i="22"/>
  <c r="O27" i="22"/>
  <c r="U27" i="22"/>
  <c r="V27" i="22"/>
  <c r="M27" i="22" s="1"/>
  <c r="G28" i="22"/>
  <c r="K28" i="22"/>
  <c r="M28" i="22"/>
  <c r="N28" i="22" s="1"/>
  <c r="O28" i="22"/>
  <c r="U28" i="22"/>
  <c r="V28" i="22"/>
  <c r="AA28" i="22"/>
  <c r="AB28" i="22"/>
  <c r="K29" i="22"/>
  <c r="O29" i="22"/>
  <c r="G30" i="22"/>
  <c r="K30" i="22"/>
  <c r="M30" i="22"/>
  <c r="N30" i="22" s="1"/>
  <c r="O30" i="22"/>
  <c r="V30" i="22"/>
  <c r="W30" i="22"/>
  <c r="X30" i="22"/>
  <c r="G31" i="22"/>
  <c r="K31" i="22"/>
  <c r="M31" i="22"/>
  <c r="N31" i="22" s="1"/>
  <c r="O31" i="22"/>
  <c r="U31" i="22"/>
  <c r="V31" i="22"/>
  <c r="AA31" i="22"/>
  <c r="G32" i="22"/>
  <c r="K32" i="22"/>
  <c r="M32" i="22"/>
  <c r="N32" i="22" s="1"/>
  <c r="O32" i="22"/>
  <c r="U32" i="22"/>
  <c r="V32" i="22"/>
  <c r="AB32" i="22"/>
  <c r="G33" i="22"/>
  <c r="K33" i="22"/>
  <c r="M33" i="22"/>
  <c r="N33" i="22" s="1"/>
  <c r="O33" i="22"/>
  <c r="U33" i="22"/>
  <c r="V33" i="22"/>
  <c r="G34" i="22"/>
  <c r="K34" i="22"/>
  <c r="O34" i="22"/>
  <c r="U34" i="22"/>
  <c r="V34" i="22"/>
  <c r="M34" i="22" s="1"/>
  <c r="G35" i="22"/>
  <c r="K35" i="22"/>
  <c r="O35" i="22"/>
  <c r="U35" i="22"/>
  <c r="V35" i="22"/>
  <c r="M35" i="22" s="1"/>
  <c r="W35" i="22"/>
  <c r="X35" i="22"/>
  <c r="G36" i="22"/>
  <c r="K36" i="22"/>
  <c r="O36" i="22"/>
  <c r="U36" i="22"/>
  <c r="V36" i="22"/>
  <c r="M36" i="22" s="1"/>
  <c r="K37" i="22"/>
  <c r="O37" i="22"/>
  <c r="G38" i="22"/>
  <c r="K38" i="22"/>
  <c r="O38" i="22"/>
  <c r="V38" i="22"/>
  <c r="M38" i="22" s="1"/>
  <c r="W38" i="22"/>
  <c r="X38" i="22"/>
  <c r="G39" i="22"/>
  <c r="K39" i="22"/>
  <c r="O39" i="22"/>
  <c r="U39" i="22"/>
  <c r="V39" i="22"/>
  <c r="M39" i="22" s="1"/>
  <c r="G40" i="22"/>
  <c r="K40" i="22"/>
  <c r="O40" i="22"/>
  <c r="U40" i="22"/>
  <c r="V40" i="22"/>
  <c r="M40" i="22" s="1"/>
  <c r="G41" i="22"/>
  <c r="K41" i="22"/>
  <c r="O41" i="22"/>
  <c r="U41" i="22"/>
  <c r="V41" i="22"/>
  <c r="M41" i="22" s="1"/>
  <c r="G42" i="22"/>
  <c r="K42" i="22"/>
  <c r="M42" i="22"/>
  <c r="N42" i="22" s="1"/>
  <c r="O42" i="22"/>
  <c r="U42" i="22"/>
  <c r="V42" i="22"/>
  <c r="AA42" i="22"/>
  <c r="AB42" i="22"/>
  <c r="G43" i="22"/>
  <c r="K43" i="22"/>
  <c r="M43" i="22"/>
  <c r="AA43" i="22" s="1"/>
  <c r="N43" i="22"/>
  <c r="P43" i="22" s="1"/>
  <c r="O43" i="22"/>
  <c r="U43" i="22"/>
  <c r="V43" i="22"/>
  <c r="AB43" i="22"/>
  <c r="G44" i="22"/>
  <c r="K44" i="22"/>
  <c r="O44" i="22"/>
  <c r="U44" i="22"/>
  <c r="V44" i="22"/>
  <c r="M44" i="22" s="1"/>
  <c r="K45" i="22"/>
  <c r="H13" i="21" s="1"/>
  <c r="O45" i="22"/>
  <c r="G46" i="22"/>
  <c r="K46" i="22"/>
  <c r="O46" i="22"/>
  <c r="V46" i="22"/>
  <c r="M46" i="22" s="1"/>
  <c r="G47" i="22"/>
  <c r="K47" i="22"/>
  <c r="O47" i="22"/>
  <c r="U47" i="22"/>
  <c r="V47" i="22"/>
  <c r="M47" i="22" s="1"/>
  <c r="G48" i="22"/>
  <c r="K48" i="22"/>
  <c r="M48" i="22"/>
  <c r="AA48" i="22" s="1"/>
  <c r="O48" i="22"/>
  <c r="U48" i="22"/>
  <c r="V48" i="22"/>
  <c r="G49" i="22"/>
  <c r="K49" i="22"/>
  <c r="O49" i="22"/>
  <c r="U49" i="22"/>
  <c r="V49" i="22"/>
  <c r="M49" i="22" s="1"/>
  <c r="G50" i="22"/>
  <c r="K50" i="22"/>
  <c r="O50" i="22"/>
  <c r="U50" i="22"/>
  <c r="V50" i="22"/>
  <c r="M50" i="22" s="1"/>
  <c r="G51" i="22"/>
  <c r="K51" i="22"/>
  <c r="O51" i="22"/>
  <c r="U51" i="22"/>
  <c r="V51" i="22"/>
  <c r="M51" i="22" s="1"/>
  <c r="K52" i="22"/>
  <c r="O52" i="22"/>
  <c r="G53" i="22"/>
  <c r="K53" i="22"/>
  <c r="M53" i="22"/>
  <c r="N53" i="22" s="1"/>
  <c r="O53" i="22"/>
  <c r="V53" i="22"/>
  <c r="AB53" i="22"/>
  <c r="G54" i="22"/>
  <c r="K54" i="22"/>
  <c r="M54" i="22"/>
  <c r="N54" i="22" s="1"/>
  <c r="O54" i="22"/>
  <c r="U54" i="22"/>
  <c r="V54" i="22"/>
  <c r="W54" i="22"/>
  <c r="X54" i="22"/>
  <c r="G55" i="22"/>
  <c r="K55" i="22"/>
  <c r="M55" i="22"/>
  <c r="N55" i="22" s="1"/>
  <c r="O55" i="22"/>
  <c r="U55" i="22"/>
  <c r="V55" i="22"/>
  <c r="AA55" i="22"/>
  <c r="G56" i="22"/>
  <c r="K56" i="22"/>
  <c r="M56" i="22"/>
  <c r="N56" i="22" s="1"/>
  <c r="O56" i="22"/>
  <c r="U56" i="22"/>
  <c r="V56" i="22"/>
  <c r="AB56" i="22"/>
  <c r="G57" i="22"/>
  <c r="K57" i="22"/>
  <c r="M57" i="22"/>
  <c r="N57" i="22" s="1"/>
  <c r="O57" i="22"/>
  <c r="U57" i="22"/>
  <c r="V57" i="22"/>
  <c r="G58" i="22"/>
  <c r="K58" i="22"/>
  <c r="O58" i="22"/>
  <c r="U58" i="22"/>
  <c r="V58" i="22"/>
  <c r="M58" i="22" s="1"/>
  <c r="K59" i="22"/>
  <c r="O59" i="22"/>
  <c r="G60" i="22"/>
  <c r="K60" i="22"/>
  <c r="O60" i="22"/>
  <c r="V60" i="22"/>
  <c r="M60" i="22" s="1"/>
  <c r="W60" i="22"/>
  <c r="X60" i="22"/>
  <c r="G61" i="22"/>
  <c r="K61" i="22"/>
  <c r="O61" i="22"/>
  <c r="U61" i="22"/>
  <c r="V61" i="22"/>
  <c r="M61" i="22" s="1"/>
  <c r="G62" i="22"/>
  <c r="K62" i="22"/>
  <c r="O62" i="22"/>
  <c r="U62" i="22"/>
  <c r="V62" i="22"/>
  <c r="M62" i="22" s="1"/>
  <c r="G63" i="22"/>
  <c r="K63" i="22"/>
  <c r="O63" i="22"/>
  <c r="U63" i="22"/>
  <c r="V63" i="22"/>
  <c r="M63" i="22" s="1"/>
  <c r="G64" i="22"/>
  <c r="K64" i="22"/>
  <c r="M64" i="22"/>
  <c r="N64" i="22" s="1"/>
  <c r="O64" i="22"/>
  <c r="U64" i="22"/>
  <c r="V64" i="22"/>
  <c r="AA64" i="22"/>
  <c r="AB64" i="22"/>
  <c r="K65" i="22"/>
  <c r="O65" i="22"/>
  <c r="C3" i="21"/>
  <c r="F3" i="21"/>
  <c r="D13" i="21"/>
  <c r="E13" i="21"/>
  <c r="F13" i="21"/>
  <c r="G13" i="21"/>
  <c r="I13" i="21"/>
  <c r="J13" i="21"/>
  <c r="K13" i="21"/>
  <c r="L13" i="21"/>
  <c r="M13" i="21"/>
  <c r="D16" i="21"/>
  <c r="E16" i="21"/>
  <c r="F16" i="21"/>
  <c r="G16" i="21"/>
  <c r="H16" i="21"/>
  <c r="I16" i="21"/>
  <c r="J16" i="21"/>
  <c r="K16" i="21"/>
  <c r="L16" i="21"/>
  <c r="M16" i="21"/>
  <c r="D17" i="21"/>
  <c r="E17" i="21"/>
  <c r="F17" i="21"/>
  <c r="G17" i="21"/>
  <c r="H17" i="21"/>
  <c r="I17" i="21"/>
  <c r="J17" i="21"/>
  <c r="K17" i="21"/>
  <c r="L17" i="21"/>
  <c r="M17" i="21"/>
  <c r="D18" i="21"/>
  <c r="E18" i="21"/>
  <c r="F18" i="21"/>
  <c r="G18" i="21"/>
  <c r="H18" i="21"/>
  <c r="I18" i="21"/>
  <c r="J18" i="21"/>
  <c r="K18" i="21"/>
  <c r="L18" i="21"/>
  <c r="M18" i="21"/>
  <c r="P48" i="24" l="1"/>
  <c r="N29" i="24"/>
  <c r="AB29" i="24"/>
  <c r="AC24" i="24" s="1"/>
  <c r="AA29" i="24"/>
  <c r="Q51" i="24"/>
  <c r="P51" i="24"/>
  <c r="P55" i="24"/>
  <c r="Q55" i="24"/>
  <c r="Q40" i="24"/>
  <c r="P40" i="24"/>
  <c r="Q33" i="24"/>
  <c r="P33" i="24"/>
  <c r="AA12" i="24"/>
  <c r="N12" i="24"/>
  <c r="AB12" i="24"/>
  <c r="AC9" i="24" s="1"/>
  <c r="Q64" i="24"/>
  <c r="P64" i="24"/>
  <c r="P46" i="24"/>
  <c r="Q46" i="24"/>
  <c r="P53" i="24"/>
  <c r="Q53" i="24"/>
  <c r="Q13" i="24"/>
  <c r="P13" i="24"/>
  <c r="AA8" i="24"/>
  <c r="AB8" i="24"/>
  <c r="AC5" i="24" s="1"/>
  <c r="N8" i="24"/>
  <c r="Q17" i="24"/>
  <c r="R13" i="24" s="1"/>
  <c r="P17" i="24"/>
  <c r="F14" i="23"/>
  <c r="F15" i="23" s="1"/>
  <c r="Q7" i="24"/>
  <c r="P7" i="24"/>
  <c r="N23" i="24"/>
  <c r="AB23" i="24"/>
  <c r="AC18" i="24" s="1"/>
  <c r="AA23" i="24"/>
  <c r="P5" i="24"/>
  <c r="Q5" i="24"/>
  <c r="Q62" i="24"/>
  <c r="P62" i="24"/>
  <c r="N45" i="24"/>
  <c r="AB45" i="24"/>
  <c r="AC38" i="24" s="1"/>
  <c r="AA45" i="24"/>
  <c r="AB52" i="24"/>
  <c r="AC46" i="24" s="1"/>
  <c r="AA52" i="24"/>
  <c r="N52" i="24"/>
  <c r="AB65" i="24"/>
  <c r="AC60" i="24" s="1"/>
  <c r="AA65" i="24"/>
  <c r="N65" i="24"/>
  <c r="AB59" i="24"/>
  <c r="AC53" i="24" s="1"/>
  <c r="AA59" i="24"/>
  <c r="N59" i="24"/>
  <c r="Q44" i="24"/>
  <c r="P44" i="24"/>
  <c r="Q11" i="24"/>
  <c r="P11" i="24"/>
  <c r="AB37" i="24"/>
  <c r="AC30" i="24" s="1"/>
  <c r="AA37" i="24"/>
  <c r="N37" i="24"/>
  <c r="Q42" i="24"/>
  <c r="P42" i="24"/>
  <c r="Q26" i="24"/>
  <c r="P26" i="24"/>
  <c r="P35" i="24"/>
  <c r="Q35" i="24"/>
  <c r="AA26" i="22"/>
  <c r="AB26" i="22"/>
  <c r="N26" i="22"/>
  <c r="AA36" i="22"/>
  <c r="AB36" i="22"/>
  <c r="N36" i="22"/>
  <c r="AA34" i="22"/>
  <c r="AB34" i="22"/>
  <c r="N34" i="22"/>
  <c r="P64" i="22"/>
  <c r="Q64" i="22"/>
  <c r="P55" i="22"/>
  <c r="Q55" i="22"/>
  <c r="AA50" i="22"/>
  <c r="AB50" i="22"/>
  <c r="N50" i="22"/>
  <c r="AA41" i="22"/>
  <c r="AB41" i="22"/>
  <c r="N41" i="22"/>
  <c r="P21" i="22"/>
  <c r="Q21" i="22"/>
  <c r="N11" i="22"/>
  <c r="AA11" i="22"/>
  <c r="AB11" i="22"/>
  <c r="AA61" i="22"/>
  <c r="AB61" i="22"/>
  <c r="N61" i="22"/>
  <c r="AA16" i="22"/>
  <c r="AB16" i="22"/>
  <c r="N16" i="22"/>
  <c r="P32" i="22"/>
  <c r="Q32" i="22"/>
  <c r="P28" i="22"/>
  <c r="Q28" i="22"/>
  <c r="P19" i="22"/>
  <c r="Q19" i="22"/>
  <c r="AA63" i="22"/>
  <c r="AB63" i="22"/>
  <c r="N63" i="22"/>
  <c r="N44" i="22"/>
  <c r="AA44" i="22"/>
  <c r="AB44" i="22"/>
  <c r="AA25" i="22"/>
  <c r="AB25" i="22"/>
  <c r="N25" i="22"/>
  <c r="AA22" i="22"/>
  <c r="AB22" i="22"/>
  <c r="N22" i="22"/>
  <c r="N10" i="22"/>
  <c r="AA10" i="22"/>
  <c r="AB10" i="22"/>
  <c r="AA7" i="22"/>
  <c r="AB7" i="22"/>
  <c r="N7" i="22"/>
  <c r="P57" i="22"/>
  <c r="Q57" i="22"/>
  <c r="AA39" i="22"/>
  <c r="AB39" i="22"/>
  <c r="N39" i="22"/>
  <c r="P53" i="22"/>
  <c r="Q53" i="22"/>
  <c r="P30" i="22"/>
  <c r="Q30" i="22"/>
  <c r="AA49" i="22"/>
  <c r="AB49" i="22"/>
  <c r="N49" i="22"/>
  <c r="M45" i="22"/>
  <c r="AA38" i="22"/>
  <c r="AB38" i="22"/>
  <c r="N38" i="22"/>
  <c r="AA35" i="22"/>
  <c r="AB35" i="22"/>
  <c r="N35" i="22"/>
  <c r="AA15" i="22"/>
  <c r="AB15" i="22"/>
  <c r="N15" i="22"/>
  <c r="AA62" i="22"/>
  <c r="AB62" i="22"/>
  <c r="N62" i="22"/>
  <c r="P54" i="22"/>
  <c r="Q54" i="22"/>
  <c r="P18" i="22"/>
  <c r="Q18" i="22"/>
  <c r="AA58" i="22"/>
  <c r="AB58" i="22"/>
  <c r="N58" i="22"/>
  <c r="AA47" i="22"/>
  <c r="AB47" i="22"/>
  <c r="N47" i="22"/>
  <c r="P56" i="22"/>
  <c r="Q56" i="22"/>
  <c r="AA40" i="22"/>
  <c r="AB40" i="22"/>
  <c r="N40" i="22"/>
  <c r="AA27" i="22"/>
  <c r="AB27" i="22"/>
  <c r="N27" i="22"/>
  <c r="AA51" i="22"/>
  <c r="AB51" i="22"/>
  <c r="N51" i="22"/>
  <c r="P33" i="22"/>
  <c r="Q33" i="22"/>
  <c r="P20" i="22"/>
  <c r="Q20" i="22"/>
  <c r="AA60" i="22"/>
  <c r="M65" i="22"/>
  <c r="AB60" i="22"/>
  <c r="N60" i="22"/>
  <c r="M52" i="22"/>
  <c r="AA46" i="22"/>
  <c r="AB46" i="22"/>
  <c r="N46" i="22"/>
  <c r="P42" i="22"/>
  <c r="Q42" i="22"/>
  <c r="P31" i="22"/>
  <c r="Q31" i="22"/>
  <c r="AA24" i="22"/>
  <c r="M29" i="22"/>
  <c r="AB24" i="22"/>
  <c r="N24" i="22"/>
  <c r="F2" i="22"/>
  <c r="I3" i="21"/>
  <c r="N9" i="22"/>
  <c r="M12" i="22"/>
  <c r="AA9" i="22"/>
  <c r="AB9" i="22"/>
  <c r="AB54" i="22"/>
  <c r="Q6" i="22"/>
  <c r="Q5" i="22"/>
  <c r="AB55" i="22"/>
  <c r="AA54" i="22"/>
  <c r="N48" i="22"/>
  <c r="AB31" i="22"/>
  <c r="AB30" i="22"/>
  <c r="AB19" i="22"/>
  <c r="AB18" i="22"/>
  <c r="N14" i="22"/>
  <c r="N13" i="22"/>
  <c r="M59" i="22"/>
  <c r="M37" i="22"/>
  <c r="AA30" i="22"/>
  <c r="M23" i="22"/>
  <c r="I6" i="21"/>
  <c r="AB57" i="22"/>
  <c r="AA56" i="22"/>
  <c r="AA53" i="22"/>
  <c r="Q43" i="22"/>
  <c r="AB33" i="22"/>
  <c r="AA32" i="22"/>
  <c r="AB21" i="22"/>
  <c r="AA20" i="22"/>
  <c r="AA57" i="22"/>
  <c r="AA33" i="22"/>
  <c r="AA21" i="22"/>
  <c r="AB48" i="22"/>
  <c r="M17" i="22"/>
  <c r="AB14" i="22"/>
  <c r="AB13" i="22"/>
  <c r="M8" i="22"/>
  <c r="AB6" i="22"/>
  <c r="AB5" i="22"/>
  <c r="E6" i="21"/>
  <c r="G6" i="21"/>
  <c r="F6" i="21"/>
  <c r="Q45" i="24" l="1"/>
  <c r="R38" i="24" s="1"/>
  <c r="P45" i="24"/>
  <c r="H14" i="23"/>
  <c r="H15" i="23" s="1"/>
  <c r="Q37" i="24"/>
  <c r="R30" i="24" s="1"/>
  <c r="P37" i="24"/>
  <c r="L14" i="23"/>
  <c r="L15" i="23" s="1"/>
  <c r="Q12" i="24"/>
  <c r="R9" i="24" s="1"/>
  <c r="P12" i="24"/>
  <c r="E14" i="23"/>
  <c r="E15" i="23" s="1"/>
  <c r="P23" i="24"/>
  <c r="Q23" i="24"/>
  <c r="R18" i="24" s="1"/>
  <c r="G14" i="23"/>
  <c r="G15" i="23" s="1"/>
  <c r="Q59" i="24"/>
  <c r="R53" i="24" s="1"/>
  <c r="P59" i="24"/>
  <c r="J14" i="23"/>
  <c r="J15" i="23" s="1"/>
  <c r="Q65" i="24"/>
  <c r="R60" i="24" s="1"/>
  <c r="P65" i="24"/>
  <c r="M14" i="23"/>
  <c r="M15" i="23" s="1"/>
  <c r="D14" i="23"/>
  <c r="Q8" i="24"/>
  <c r="R5" i="24" s="1"/>
  <c r="P8" i="24"/>
  <c r="D2" i="24"/>
  <c r="Q52" i="24"/>
  <c r="R46" i="24" s="1"/>
  <c r="P52" i="24"/>
  <c r="I14" i="23"/>
  <c r="I15" i="23" s="1"/>
  <c r="K14" i="23"/>
  <c r="Q29" i="24"/>
  <c r="R24" i="24" s="1"/>
  <c r="P29" i="24"/>
  <c r="Q39" i="22"/>
  <c r="P39" i="22"/>
  <c r="Q25" i="22"/>
  <c r="P25" i="22"/>
  <c r="P11" i="22"/>
  <c r="Q11" i="22"/>
  <c r="AA37" i="22"/>
  <c r="AB37" i="22"/>
  <c r="AC30" i="22" s="1"/>
  <c r="N37" i="22"/>
  <c r="P34" i="22"/>
  <c r="Q34" i="22"/>
  <c r="P62" i="22"/>
  <c r="Q62" i="22"/>
  <c r="N45" i="22"/>
  <c r="AA45" i="22"/>
  <c r="AB45" i="22"/>
  <c r="AC38" i="22" s="1"/>
  <c r="Q13" i="22"/>
  <c r="P13" i="22"/>
  <c r="Q49" i="22"/>
  <c r="P49" i="22"/>
  <c r="P7" i="22"/>
  <c r="Q7" i="22"/>
  <c r="P41" i="22"/>
  <c r="Q41" i="22"/>
  <c r="N29" i="22"/>
  <c r="AA29" i="22"/>
  <c r="AB29" i="22"/>
  <c r="AC24" i="22" s="1"/>
  <c r="Q14" i="22"/>
  <c r="P14" i="22"/>
  <c r="P47" i="22"/>
  <c r="Q47" i="22"/>
  <c r="P16" i="22"/>
  <c r="Q16" i="22"/>
  <c r="P36" i="22"/>
  <c r="Q36" i="22"/>
  <c r="AA23" i="22"/>
  <c r="AB23" i="22"/>
  <c r="AC18" i="22" s="1"/>
  <c r="N23" i="22"/>
  <c r="P40" i="22"/>
  <c r="Q40" i="22"/>
  <c r="P38" i="22"/>
  <c r="Q38" i="22"/>
  <c r="N12" i="22"/>
  <c r="AA12" i="22"/>
  <c r="AB12" i="22"/>
  <c r="AC9" i="22" s="1"/>
  <c r="P46" i="22"/>
  <c r="Q46" i="22"/>
  <c r="P51" i="22"/>
  <c r="Q51" i="22"/>
  <c r="Q15" i="22"/>
  <c r="P15" i="22"/>
  <c r="P44" i="22"/>
  <c r="Q44" i="22"/>
  <c r="N8" i="22"/>
  <c r="AA8" i="22"/>
  <c r="AB8" i="22"/>
  <c r="AC5" i="22" s="1"/>
  <c r="P9" i="22"/>
  <c r="Q9" i="22"/>
  <c r="P63" i="22"/>
  <c r="Q63" i="22"/>
  <c r="P50" i="22"/>
  <c r="Q50" i="22"/>
  <c r="AA59" i="22"/>
  <c r="AB59" i="22"/>
  <c r="AC53" i="22" s="1"/>
  <c r="N59" i="22"/>
  <c r="P58" i="22"/>
  <c r="Q58" i="22"/>
  <c r="Q61" i="22"/>
  <c r="P61" i="22"/>
  <c r="P26" i="22"/>
  <c r="Q26" i="22"/>
  <c r="N52" i="22"/>
  <c r="AA52" i="22"/>
  <c r="AB52" i="22"/>
  <c r="AC46" i="22" s="1"/>
  <c r="P27" i="22"/>
  <c r="Q27" i="22"/>
  <c r="P35" i="22"/>
  <c r="Q35" i="22"/>
  <c r="P10" i="22"/>
  <c r="Q10" i="22"/>
  <c r="N65" i="22"/>
  <c r="AA65" i="22"/>
  <c r="AB65" i="22"/>
  <c r="AC60" i="22" s="1"/>
  <c r="N17" i="22"/>
  <c r="AA17" i="22"/>
  <c r="AB17" i="22"/>
  <c r="AC13" i="22" s="1"/>
  <c r="Q48" i="22"/>
  <c r="P48" i="22"/>
  <c r="P24" i="22"/>
  <c r="Q24" i="22"/>
  <c r="P60" i="22"/>
  <c r="Q60" i="22"/>
  <c r="P22" i="22"/>
  <c r="Q22" i="22"/>
  <c r="K15" i="23" l="1"/>
  <c r="I8" i="23" s="1"/>
  <c r="I7" i="23"/>
  <c r="D15" i="23"/>
  <c r="F7" i="23"/>
  <c r="E7" i="23"/>
  <c r="G7" i="23"/>
  <c r="Q37" i="22"/>
  <c r="R30" i="22" s="1"/>
  <c r="L14" i="21"/>
  <c r="L15" i="21" s="1"/>
  <c r="P37" i="22"/>
  <c r="P65" i="22"/>
  <c r="Q65" i="22"/>
  <c r="R60" i="22" s="1"/>
  <c r="M14" i="21"/>
  <c r="M15" i="21" s="1"/>
  <c r="F14" i="21"/>
  <c r="F15" i="21" s="1"/>
  <c r="P17" i="22"/>
  <c r="Q17" i="22"/>
  <c r="R13" i="22" s="1"/>
  <c r="D2" i="22"/>
  <c r="P8" i="22"/>
  <c r="Q8" i="22"/>
  <c r="R5" i="22" s="1"/>
  <c r="D14" i="21"/>
  <c r="I14" i="21"/>
  <c r="I15" i="21" s="1"/>
  <c r="P52" i="22"/>
  <c r="Q52" i="22"/>
  <c r="R46" i="22" s="1"/>
  <c r="P12" i="22"/>
  <c r="Q12" i="22"/>
  <c r="R9" i="22" s="1"/>
  <c r="E14" i="21"/>
  <c r="E15" i="21" s="1"/>
  <c r="Q59" i="22"/>
  <c r="R53" i="22" s="1"/>
  <c r="J14" i="21"/>
  <c r="J15" i="21" s="1"/>
  <c r="P59" i="22"/>
  <c r="Q23" i="22"/>
  <c r="R18" i="22" s="1"/>
  <c r="G14" i="21"/>
  <c r="G15" i="21" s="1"/>
  <c r="P23" i="22"/>
  <c r="H14" i="21"/>
  <c r="H15" i="21" s="1"/>
  <c r="P45" i="22"/>
  <c r="Q45" i="22"/>
  <c r="R38" i="22" s="1"/>
  <c r="P29" i="22"/>
  <c r="K14" i="21"/>
  <c r="Q29" i="22"/>
  <c r="R24" i="22" s="1"/>
  <c r="M18" i="19"/>
  <c r="L18" i="19"/>
  <c r="K18" i="19"/>
  <c r="J18" i="19"/>
  <c r="I18" i="19"/>
  <c r="H18" i="19"/>
  <c r="G18" i="19"/>
  <c r="F18" i="19"/>
  <c r="E18" i="19"/>
  <c r="D18" i="19"/>
  <c r="M17" i="19"/>
  <c r="L17" i="19"/>
  <c r="K17" i="19"/>
  <c r="J17" i="19"/>
  <c r="I17" i="19"/>
  <c r="H17" i="19"/>
  <c r="G17" i="19"/>
  <c r="F17" i="19"/>
  <c r="E17" i="19"/>
  <c r="D17" i="19"/>
  <c r="M16" i="19"/>
  <c r="L16" i="19"/>
  <c r="K16" i="19"/>
  <c r="J16" i="19"/>
  <c r="I16" i="19"/>
  <c r="H16" i="19"/>
  <c r="G16" i="19"/>
  <c r="F16" i="19"/>
  <c r="E16" i="19"/>
  <c r="D16" i="19"/>
  <c r="M14" i="19"/>
  <c r="L14" i="19"/>
  <c r="K14" i="19"/>
  <c r="J14" i="19"/>
  <c r="I14" i="19"/>
  <c r="H14" i="19"/>
  <c r="H15" i="19" s="1"/>
  <c r="G14" i="19"/>
  <c r="F14" i="19"/>
  <c r="F15" i="19" s="1"/>
  <c r="E14" i="19"/>
  <c r="E15" i="19" s="1"/>
  <c r="D14" i="19"/>
  <c r="M13" i="19"/>
  <c r="L13" i="19"/>
  <c r="K13" i="19"/>
  <c r="K15" i="19" s="1"/>
  <c r="J13" i="19"/>
  <c r="I13" i="19"/>
  <c r="H13" i="19"/>
  <c r="G13" i="19"/>
  <c r="F13" i="19"/>
  <c r="E13" i="19"/>
  <c r="D13" i="19"/>
  <c r="I3" i="19"/>
  <c r="F3" i="19"/>
  <c r="C3" i="19"/>
  <c r="G15" i="19"/>
  <c r="M18" i="20"/>
  <c r="L18" i="20"/>
  <c r="K18" i="20"/>
  <c r="J18" i="20"/>
  <c r="I18" i="20"/>
  <c r="H18" i="20"/>
  <c r="G18" i="20"/>
  <c r="F18" i="20"/>
  <c r="E18" i="20"/>
  <c r="D18" i="20"/>
  <c r="M17" i="20"/>
  <c r="L17" i="20"/>
  <c r="K17" i="20"/>
  <c r="J17" i="20"/>
  <c r="I17" i="20"/>
  <c r="H17" i="20"/>
  <c r="G17" i="20"/>
  <c r="F17" i="20"/>
  <c r="E17" i="20"/>
  <c r="D17" i="20"/>
  <c r="M16" i="20"/>
  <c r="L16" i="20"/>
  <c r="K16" i="20"/>
  <c r="J16" i="20"/>
  <c r="I16" i="20"/>
  <c r="H16" i="20"/>
  <c r="G16" i="20"/>
  <c r="F16" i="20"/>
  <c r="E16" i="20"/>
  <c r="D16" i="20"/>
  <c r="M14" i="20"/>
  <c r="L14" i="20"/>
  <c r="K14" i="20"/>
  <c r="J14" i="20"/>
  <c r="I14" i="20"/>
  <c r="I15" i="20" s="1"/>
  <c r="H14" i="20"/>
  <c r="H15" i="20" s="1"/>
  <c r="G14" i="20"/>
  <c r="G15" i="20" s="1"/>
  <c r="F14" i="20"/>
  <c r="F15" i="20" s="1"/>
  <c r="E14" i="20"/>
  <c r="D14" i="20"/>
  <c r="E7" i="20" s="1"/>
  <c r="M13" i="20"/>
  <c r="L13" i="20"/>
  <c r="K13" i="20"/>
  <c r="K15" i="20" s="1"/>
  <c r="J13" i="20"/>
  <c r="J15" i="20" s="1"/>
  <c r="I13" i="20"/>
  <c r="H13" i="20"/>
  <c r="G13" i="20"/>
  <c r="F13" i="20"/>
  <c r="E13" i="20"/>
  <c r="D13" i="20"/>
  <c r="I3" i="20"/>
  <c r="F3" i="20"/>
  <c r="C3" i="20"/>
  <c r="I15" i="19"/>
  <c r="I6" i="20" l="1"/>
  <c r="L15" i="20"/>
  <c r="E15" i="20"/>
  <c r="M15" i="20"/>
  <c r="G6" i="20"/>
  <c r="E7" i="19"/>
  <c r="M15" i="19"/>
  <c r="J15" i="19"/>
  <c r="G8" i="23"/>
  <c r="E8" i="23"/>
  <c r="F8" i="23"/>
  <c r="I7" i="21"/>
  <c r="K15" i="21"/>
  <c r="I8" i="21" s="1"/>
  <c r="E7" i="21"/>
  <c r="F7" i="21"/>
  <c r="G7" i="21"/>
  <c r="D15" i="21"/>
  <c r="D15" i="19"/>
  <c r="F8" i="19" s="1"/>
  <c r="I8" i="20"/>
  <c r="D15" i="20"/>
  <c r="F8" i="20" s="1"/>
  <c r="L15" i="19"/>
  <c r="I8" i="19" s="1"/>
  <c r="F6" i="19"/>
  <c r="I6" i="19"/>
  <c r="F7" i="20"/>
  <c r="G7" i="20"/>
  <c r="I7" i="20"/>
  <c r="E6" i="20"/>
  <c r="F6" i="20"/>
  <c r="F7" i="19"/>
  <c r="G7" i="19"/>
  <c r="I7" i="19"/>
  <c r="G6" i="19"/>
  <c r="E6" i="19"/>
  <c r="X70" i="18"/>
  <c r="W70" i="18"/>
  <c r="D1" i="18"/>
  <c r="G5" i="18"/>
  <c r="F1" i="18" s="1"/>
  <c r="F2" i="18" s="1"/>
  <c r="K5" i="18"/>
  <c r="O5" i="18"/>
  <c r="V5" i="18"/>
  <c r="M5" i="18" s="1"/>
  <c r="G6" i="18"/>
  <c r="K6" i="18"/>
  <c r="O6" i="18"/>
  <c r="U6" i="18"/>
  <c r="V6" i="18"/>
  <c r="M6" i="18" s="1"/>
  <c r="G7" i="18"/>
  <c r="K7" i="18"/>
  <c r="O7" i="18"/>
  <c r="U7" i="18"/>
  <c r="V7" i="18"/>
  <c r="M7" i="18" s="1"/>
  <c r="K8" i="18"/>
  <c r="O8" i="18"/>
  <c r="G9" i="18"/>
  <c r="K9" i="18"/>
  <c r="M9" i="18"/>
  <c r="N9" i="18" s="1"/>
  <c r="O9" i="18"/>
  <c r="V9" i="18"/>
  <c r="W9" i="18"/>
  <c r="X9" i="18"/>
  <c r="AA9" i="18"/>
  <c r="AB9" i="18"/>
  <c r="G10" i="18"/>
  <c r="K10" i="18"/>
  <c r="O10" i="18"/>
  <c r="U10" i="18"/>
  <c r="V10" i="18"/>
  <c r="M10" i="18" s="1"/>
  <c r="G11" i="18"/>
  <c r="K11" i="18"/>
  <c r="O11" i="18"/>
  <c r="U11" i="18"/>
  <c r="V11" i="18"/>
  <c r="M11" i="18" s="1"/>
  <c r="W11" i="18"/>
  <c r="X11" i="18"/>
  <c r="G12" i="18"/>
  <c r="K12" i="18"/>
  <c r="O12" i="18"/>
  <c r="U12" i="18"/>
  <c r="V12" i="18"/>
  <c r="M12" i="18" s="1"/>
  <c r="K13" i="18"/>
  <c r="O13" i="18"/>
  <c r="G14" i="18"/>
  <c r="K14" i="18"/>
  <c r="M14" i="18"/>
  <c r="AB14" i="18" s="1"/>
  <c r="O14" i="18"/>
  <c r="V14" i="18"/>
  <c r="AA14" i="18"/>
  <c r="G15" i="18"/>
  <c r="K15" i="18"/>
  <c r="M15" i="18"/>
  <c r="AB15" i="18" s="1"/>
  <c r="O15" i="18"/>
  <c r="U15" i="18"/>
  <c r="V15" i="18"/>
  <c r="AA15" i="18"/>
  <c r="G16" i="18"/>
  <c r="K16" i="18"/>
  <c r="M16" i="18"/>
  <c r="AA16" i="18" s="1"/>
  <c r="N16" i="18"/>
  <c r="Q16" i="18" s="1"/>
  <c r="O16" i="18"/>
  <c r="U16" i="18"/>
  <c r="V16" i="18"/>
  <c r="AB16" i="18"/>
  <c r="G17" i="18"/>
  <c r="K17" i="18"/>
  <c r="M17" i="18"/>
  <c r="AA17" i="18" s="1"/>
  <c r="O17" i="18"/>
  <c r="U17" i="18"/>
  <c r="V17" i="18"/>
  <c r="K18" i="18"/>
  <c r="O18" i="18"/>
  <c r="G19" i="18"/>
  <c r="K19" i="18"/>
  <c r="O19" i="18"/>
  <c r="V19" i="18"/>
  <c r="M19" i="18" s="1"/>
  <c r="G20" i="18"/>
  <c r="K20" i="18"/>
  <c r="O20" i="18"/>
  <c r="U20" i="18"/>
  <c r="V20" i="18"/>
  <c r="M20" i="18" s="1"/>
  <c r="G21" i="18"/>
  <c r="K21" i="18"/>
  <c r="O21" i="18"/>
  <c r="U21" i="18"/>
  <c r="V21" i="18"/>
  <c r="M21" i="18" s="1"/>
  <c r="G22" i="18"/>
  <c r="K22" i="18"/>
  <c r="M22" i="18"/>
  <c r="N22" i="18" s="1"/>
  <c r="O22" i="18"/>
  <c r="U22" i="18"/>
  <c r="V22" i="18"/>
  <c r="AA22" i="18"/>
  <c r="AB22" i="18"/>
  <c r="G23" i="18"/>
  <c r="K23" i="18"/>
  <c r="M23" i="18"/>
  <c r="N23" i="18" s="1"/>
  <c r="O23" i="18"/>
  <c r="U23" i="18"/>
  <c r="V23" i="18"/>
  <c r="K24" i="18"/>
  <c r="O24" i="18"/>
  <c r="G25" i="18"/>
  <c r="K25" i="18"/>
  <c r="O25" i="18"/>
  <c r="V25" i="18"/>
  <c r="M25" i="18" s="1"/>
  <c r="W25" i="18"/>
  <c r="X25" i="18"/>
  <c r="G26" i="18"/>
  <c r="K26" i="18"/>
  <c r="M26" i="18"/>
  <c r="AA26" i="18" s="1"/>
  <c r="N26" i="18"/>
  <c r="Q26" i="18" s="1"/>
  <c r="O26" i="18"/>
  <c r="U26" i="18"/>
  <c r="V26" i="18"/>
  <c r="AB26" i="18"/>
  <c r="G27" i="18"/>
  <c r="K27" i="18"/>
  <c r="M27" i="18"/>
  <c r="AA27" i="18" s="1"/>
  <c r="O27" i="18"/>
  <c r="U27" i="18"/>
  <c r="V27" i="18"/>
  <c r="G28" i="18"/>
  <c r="K28" i="18"/>
  <c r="O28" i="18"/>
  <c r="U28" i="18"/>
  <c r="V28" i="18"/>
  <c r="M28" i="18" s="1"/>
  <c r="G29" i="18"/>
  <c r="K29" i="18"/>
  <c r="O29" i="18"/>
  <c r="U29" i="18"/>
  <c r="V29" i="18"/>
  <c r="M29" i="18" s="1"/>
  <c r="W29" i="18"/>
  <c r="X29" i="18"/>
  <c r="G30" i="18"/>
  <c r="K30" i="18"/>
  <c r="O30" i="18"/>
  <c r="U30" i="18"/>
  <c r="V30" i="18"/>
  <c r="M30" i="18" s="1"/>
  <c r="G31" i="18"/>
  <c r="K31" i="18"/>
  <c r="O31" i="18"/>
  <c r="U31" i="18"/>
  <c r="V31" i="18"/>
  <c r="M31" i="18" s="1"/>
  <c r="K32" i="18"/>
  <c r="O32" i="18"/>
  <c r="G33" i="18"/>
  <c r="K33" i="18"/>
  <c r="M33" i="18"/>
  <c r="N33" i="18" s="1"/>
  <c r="O33" i="18"/>
  <c r="V33" i="18"/>
  <c r="W33" i="18"/>
  <c r="X33" i="18"/>
  <c r="AA33" i="18"/>
  <c r="AB33" i="18"/>
  <c r="G34" i="18"/>
  <c r="K34" i="18"/>
  <c r="O34" i="18"/>
  <c r="U34" i="18"/>
  <c r="V34" i="18"/>
  <c r="M34" i="18" s="1"/>
  <c r="G35" i="18"/>
  <c r="K35" i="18"/>
  <c r="O35" i="18"/>
  <c r="U35" i="18"/>
  <c r="V35" i="18"/>
  <c r="M35" i="18" s="1"/>
  <c r="G36" i="18"/>
  <c r="K36" i="18"/>
  <c r="M36" i="18"/>
  <c r="N36" i="18" s="1"/>
  <c r="O36" i="18"/>
  <c r="U36" i="18"/>
  <c r="V36" i="18"/>
  <c r="AA36" i="18"/>
  <c r="AB36" i="18"/>
  <c r="G37" i="18"/>
  <c r="K37" i="18"/>
  <c r="M37" i="18"/>
  <c r="N37" i="18" s="1"/>
  <c r="O37" i="18"/>
  <c r="U37" i="18"/>
  <c r="V37" i="18"/>
  <c r="G38" i="18"/>
  <c r="K38" i="18"/>
  <c r="O38" i="18"/>
  <c r="U38" i="18"/>
  <c r="V38" i="18"/>
  <c r="M38" i="18" s="1"/>
  <c r="W38" i="18"/>
  <c r="X38" i="18"/>
  <c r="G39" i="18"/>
  <c r="K39" i="18"/>
  <c r="M39" i="18"/>
  <c r="N39" i="18" s="1"/>
  <c r="O39" i="18"/>
  <c r="U39" i="18"/>
  <c r="V39" i="18"/>
  <c r="G40" i="18"/>
  <c r="K40" i="18"/>
  <c r="O40" i="18"/>
  <c r="U40" i="18"/>
  <c r="V40" i="18"/>
  <c r="M40" i="18" s="1"/>
  <c r="G41" i="18"/>
  <c r="K41" i="18"/>
  <c r="M41" i="18"/>
  <c r="AB41" i="18" s="1"/>
  <c r="O41" i="18"/>
  <c r="U41" i="18"/>
  <c r="V41" i="18"/>
  <c r="AA41" i="18"/>
  <c r="G42" i="18"/>
  <c r="K42" i="18"/>
  <c r="M42" i="18"/>
  <c r="AA42" i="18" s="1"/>
  <c r="N42" i="18"/>
  <c r="Q42" i="18" s="1"/>
  <c r="O42" i="18"/>
  <c r="U42" i="18"/>
  <c r="V42" i="18"/>
  <c r="AB42" i="18"/>
  <c r="K43" i="18"/>
  <c r="O43" i="18"/>
  <c r="G44" i="18"/>
  <c r="K44" i="18"/>
  <c r="O44" i="18"/>
  <c r="V44" i="18"/>
  <c r="M44" i="18" s="1"/>
  <c r="W44" i="18"/>
  <c r="X44" i="18"/>
  <c r="G45" i="18"/>
  <c r="K45" i="18"/>
  <c r="O45" i="18"/>
  <c r="U45" i="18"/>
  <c r="V45" i="18"/>
  <c r="M45" i="18" s="1"/>
  <c r="G46" i="18"/>
  <c r="K46" i="18"/>
  <c r="M46" i="18"/>
  <c r="AB46" i="18" s="1"/>
  <c r="O46" i="18"/>
  <c r="U46" i="18"/>
  <c r="V46" i="18"/>
  <c r="G47" i="18"/>
  <c r="K47" i="18"/>
  <c r="O47" i="18"/>
  <c r="U47" i="18"/>
  <c r="V47" i="18"/>
  <c r="M47" i="18" s="1"/>
  <c r="G48" i="18"/>
  <c r="K48" i="18"/>
  <c r="O48" i="18"/>
  <c r="U48" i="18"/>
  <c r="V48" i="18"/>
  <c r="M48" i="18" s="1"/>
  <c r="G49" i="18"/>
  <c r="K49" i="18"/>
  <c r="O49" i="18"/>
  <c r="U49" i="18"/>
  <c r="V49" i="18"/>
  <c r="M49" i="18" s="1"/>
  <c r="G50" i="18"/>
  <c r="K50" i="18"/>
  <c r="M50" i="18"/>
  <c r="N50" i="18" s="1"/>
  <c r="O50" i="18"/>
  <c r="U50" i="18"/>
  <c r="V50" i="18"/>
  <c r="AA50" i="18"/>
  <c r="AB50" i="18"/>
  <c r="K51" i="18"/>
  <c r="O51" i="18"/>
  <c r="G52" i="18"/>
  <c r="K52" i="18"/>
  <c r="M52" i="18"/>
  <c r="O52" i="18"/>
  <c r="V52" i="18"/>
  <c r="AA52" i="18"/>
  <c r="G53" i="18"/>
  <c r="K53" i="18"/>
  <c r="M53" i="18"/>
  <c r="AB53" i="18" s="1"/>
  <c r="O53" i="18"/>
  <c r="U53" i="18"/>
  <c r="V53" i="18"/>
  <c r="AA53" i="18"/>
  <c r="G54" i="18"/>
  <c r="K54" i="18"/>
  <c r="M54" i="18"/>
  <c r="AA54" i="18" s="1"/>
  <c r="N54" i="18"/>
  <c r="Q54" i="18" s="1"/>
  <c r="O54" i="18"/>
  <c r="U54" i="18"/>
  <c r="V54" i="18"/>
  <c r="AB54" i="18"/>
  <c r="G55" i="18"/>
  <c r="K55" i="18"/>
  <c r="M55" i="18"/>
  <c r="AA55" i="18" s="1"/>
  <c r="O55" i="18"/>
  <c r="U55" i="18"/>
  <c r="V55" i="18"/>
  <c r="G56" i="18"/>
  <c r="K56" i="18"/>
  <c r="O56" i="18"/>
  <c r="U56" i="18"/>
  <c r="V56" i="18"/>
  <c r="M56" i="18" s="1"/>
  <c r="G57" i="18"/>
  <c r="K57" i="18"/>
  <c r="O57" i="18"/>
  <c r="U57" i="18"/>
  <c r="V57" i="18"/>
  <c r="M57" i="18" s="1"/>
  <c r="K58" i="18"/>
  <c r="O58" i="18"/>
  <c r="G59" i="18"/>
  <c r="K59" i="18"/>
  <c r="M59" i="18"/>
  <c r="N59" i="18" s="1"/>
  <c r="O59" i="18"/>
  <c r="V59" i="18"/>
  <c r="AA59" i="18"/>
  <c r="AB59" i="18"/>
  <c r="G60" i="18"/>
  <c r="K60" i="18"/>
  <c r="M60" i="18"/>
  <c r="N60" i="18" s="1"/>
  <c r="O60" i="18"/>
  <c r="U60" i="18"/>
  <c r="V60" i="18"/>
  <c r="AA60" i="18"/>
  <c r="AB60" i="18"/>
  <c r="G61" i="18"/>
  <c r="K61" i="18"/>
  <c r="M61" i="18"/>
  <c r="N61" i="18" s="1"/>
  <c r="O61" i="18"/>
  <c r="U61" i="18"/>
  <c r="V61" i="18"/>
  <c r="G62" i="18"/>
  <c r="K62" i="18"/>
  <c r="O62" i="18"/>
  <c r="U62" i="18"/>
  <c r="V62" i="18"/>
  <c r="M62" i="18" s="1"/>
  <c r="G63" i="18"/>
  <c r="K63" i="18"/>
  <c r="M63" i="18"/>
  <c r="AB63" i="18" s="1"/>
  <c r="O63" i="18"/>
  <c r="U63" i="18"/>
  <c r="V63" i="18"/>
  <c r="AA63" i="18"/>
  <c r="G64" i="18"/>
  <c r="K64" i="18"/>
  <c r="M64" i="18"/>
  <c r="AA64" i="18" s="1"/>
  <c r="N64" i="18"/>
  <c r="Q64" i="18" s="1"/>
  <c r="O64" i="18"/>
  <c r="U64" i="18"/>
  <c r="V64" i="18"/>
  <c r="AB64" i="18"/>
  <c r="K65" i="18"/>
  <c r="O65" i="18"/>
  <c r="G66" i="18"/>
  <c r="K66" i="18"/>
  <c r="O66" i="18"/>
  <c r="V66" i="18"/>
  <c r="M66" i="18" s="1"/>
  <c r="W66" i="18"/>
  <c r="X66" i="18"/>
  <c r="G67" i="18"/>
  <c r="K67" i="18"/>
  <c r="O67" i="18"/>
  <c r="U67" i="18"/>
  <c r="V67" i="18"/>
  <c r="M67" i="18" s="1"/>
  <c r="G68" i="18"/>
  <c r="K68" i="18"/>
  <c r="M68" i="18"/>
  <c r="AB68" i="18" s="1"/>
  <c r="O68" i="18"/>
  <c r="U68" i="18"/>
  <c r="V68" i="18"/>
  <c r="G69" i="18"/>
  <c r="K69" i="18"/>
  <c r="O69" i="18"/>
  <c r="U69" i="18"/>
  <c r="V69" i="18"/>
  <c r="M69" i="18" s="1"/>
  <c r="G70" i="18"/>
  <c r="K70" i="18"/>
  <c r="O70" i="18"/>
  <c r="U70" i="18"/>
  <c r="V70" i="18"/>
  <c r="M70" i="18" s="1"/>
  <c r="G71" i="18"/>
  <c r="K71" i="18"/>
  <c r="O71" i="18"/>
  <c r="U71" i="18"/>
  <c r="V71" i="18"/>
  <c r="M71" i="18" s="1"/>
  <c r="K72" i="18"/>
  <c r="O72" i="18"/>
  <c r="G8" i="20" l="1"/>
  <c r="E8" i="20"/>
  <c r="E8" i="21"/>
  <c r="F8" i="21"/>
  <c r="G8" i="21"/>
  <c r="G8" i="19"/>
  <c r="E8" i="19"/>
  <c r="N69" i="18"/>
  <c r="AA69" i="18"/>
  <c r="AB69" i="18"/>
  <c r="N48" i="18"/>
  <c r="AA48" i="18"/>
  <c r="AB48" i="18"/>
  <c r="AA62" i="18"/>
  <c r="AB62" i="18"/>
  <c r="N62" i="18"/>
  <c r="AA25" i="18"/>
  <c r="M32" i="18"/>
  <c r="N25" i="18"/>
  <c r="AB25" i="18"/>
  <c r="N11" i="18"/>
  <c r="AA11" i="18"/>
  <c r="AB11" i="18"/>
  <c r="P61" i="18"/>
  <c r="Q61" i="18"/>
  <c r="AA44" i="18"/>
  <c r="M51" i="18"/>
  <c r="AB44" i="18"/>
  <c r="N44" i="18"/>
  <c r="M58" i="18"/>
  <c r="AA6" i="18"/>
  <c r="AB6" i="18"/>
  <c r="N6" i="18"/>
  <c r="AA67" i="18"/>
  <c r="AB67" i="18"/>
  <c r="N67" i="18"/>
  <c r="N71" i="18"/>
  <c r="AA71" i="18"/>
  <c r="AB71" i="18"/>
  <c r="P36" i="18"/>
  <c r="Q36" i="18"/>
  <c r="AA29" i="18"/>
  <c r="AB29" i="18"/>
  <c r="N29" i="18"/>
  <c r="P50" i="18"/>
  <c r="Q50" i="18"/>
  <c r="AA45" i="18"/>
  <c r="AB45" i="18"/>
  <c r="N45" i="18"/>
  <c r="P39" i="18"/>
  <c r="Q39" i="18"/>
  <c r="N35" i="18"/>
  <c r="AA35" i="18"/>
  <c r="AB35" i="18"/>
  <c r="N20" i="18"/>
  <c r="AA20" i="18"/>
  <c r="AB20" i="18"/>
  <c r="AA66" i="18"/>
  <c r="AB66" i="18"/>
  <c r="M72" i="18"/>
  <c r="N66" i="18"/>
  <c r="N47" i="18"/>
  <c r="AA47" i="18"/>
  <c r="AB47" i="18"/>
  <c r="P37" i="18"/>
  <c r="Q37" i="18"/>
  <c r="N70" i="18"/>
  <c r="AA70" i="18"/>
  <c r="AB70" i="18"/>
  <c r="P60" i="18"/>
  <c r="Q60" i="18"/>
  <c r="AA57" i="18"/>
  <c r="AB57" i="18"/>
  <c r="N57" i="18"/>
  <c r="AA30" i="18"/>
  <c r="AB30" i="18"/>
  <c r="N30" i="18"/>
  <c r="AA28" i="18"/>
  <c r="AB28" i="18"/>
  <c r="N28" i="18"/>
  <c r="P9" i="18"/>
  <c r="Q9" i="18"/>
  <c r="AA5" i="18"/>
  <c r="AB5" i="18"/>
  <c r="M8" i="18"/>
  <c r="N5" i="18"/>
  <c r="AA56" i="18"/>
  <c r="AB56" i="18"/>
  <c r="N56" i="18"/>
  <c r="P23" i="18"/>
  <c r="Q23" i="18"/>
  <c r="P59" i="18"/>
  <c r="Q59" i="18"/>
  <c r="AA31" i="18"/>
  <c r="AB31" i="18"/>
  <c r="N31" i="18"/>
  <c r="N49" i="18"/>
  <c r="AA49" i="18"/>
  <c r="AB49" i="18"/>
  <c r="AA40" i="18"/>
  <c r="AB40" i="18"/>
  <c r="N40" i="18"/>
  <c r="P33" i="18"/>
  <c r="Q33" i="18"/>
  <c r="P22" i="18"/>
  <c r="Q22" i="18"/>
  <c r="N12" i="18"/>
  <c r="AA12" i="18"/>
  <c r="AB12" i="18"/>
  <c r="M13" i="18"/>
  <c r="N10" i="18"/>
  <c r="AA10" i="18"/>
  <c r="AB10" i="18"/>
  <c r="AA38" i="18"/>
  <c r="AB38" i="18"/>
  <c r="N38" i="18"/>
  <c r="N34" i="18"/>
  <c r="AA34" i="18"/>
  <c r="AB34" i="18"/>
  <c r="N19" i="18"/>
  <c r="AA19" i="18"/>
  <c r="M24" i="18"/>
  <c r="AB19" i="18"/>
  <c r="N21" i="18"/>
  <c r="AA21" i="18"/>
  <c r="AB21" i="18"/>
  <c r="AA7" i="18"/>
  <c r="AB7" i="18"/>
  <c r="N7" i="18"/>
  <c r="AA68" i="18"/>
  <c r="P64" i="18"/>
  <c r="P54" i="18"/>
  <c r="AA46" i="18"/>
  <c r="P42" i="18"/>
  <c r="P26" i="18"/>
  <c r="P16" i="18"/>
  <c r="N63" i="18"/>
  <c r="N53" i="18"/>
  <c r="N52" i="18"/>
  <c r="N41" i="18"/>
  <c r="N15" i="18"/>
  <c r="N14" i="18"/>
  <c r="N55" i="18"/>
  <c r="N27" i="18"/>
  <c r="N17" i="18"/>
  <c r="AB61" i="18"/>
  <c r="AB39" i="18"/>
  <c r="AB37" i="18"/>
  <c r="AB23" i="18"/>
  <c r="M65" i="18"/>
  <c r="AA61" i="18"/>
  <c r="M43" i="18"/>
  <c r="AA39" i="18"/>
  <c r="AA37" i="18"/>
  <c r="AA23" i="18"/>
  <c r="N68" i="18"/>
  <c r="AB52" i="18"/>
  <c r="N46" i="18"/>
  <c r="M18" i="18"/>
  <c r="AB55" i="18"/>
  <c r="AB27" i="18"/>
  <c r="AB17" i="18"/>
  <c r="O73" i="16"/>
  <c r="K73" i="16"/>
  <c r="V72" i="16"/>
  <c r="U72" i="16"/>
  <c r="O72" i="16"/>
  <c r="N72" i="16"/>
  <c r="M72" i="16"/>
  <c r="K72" i="16"/>
  <c r="G72" i="16"/>
  <c r="AB71" i="16"/>
  <c r="X71" i="16"/>
  <c r="W71" i="16"/>
  <c r="V71" i="16"/>
  <c r="M71" i="16" s="1"/>
  <c r="U71" i="16"/>
  <c r="O71" i="16"/>
  <c r="K71" i="16"/>
  <c r="G71" i="16"/>
  <c r="V70" i="16"/>
  <c r="M70" i="16" s="1"/>
  <c r="U70" i="16"/>
  <c r="O70" i="16"/>
  <c r="N70" i="16"/>
  <c r="Q70" i="16" s="1"/>
  <c r="K70" i="16"/>
  <c r="G70" i="16"/>
  <c r="AB69" i="16"/>
  <c r="AA69" i="16"/>
  <c r="V69" i="16"/>
  <c r="M69" i="16" s="1"/>
  <c r="N69" i="16" s="1"/>
  <c r="U69" i="16"/>
  <c r="O69" i="16"/>
  <c r="K69" i="16"/>
  <c r="G69" i="16"/>
  <c r="AB68" i="16"/>
  <c r="AA68" i="16"/>
  <c r="V68" i="16"/>
  <c r="M68" i="16" s="1"/>
  <c r="N68" i="16" s="1"/>
  <c r="U68" i="16"/>
  <c r="Q68" i="16"/>
  <c r="P68" i="16"/>
  <c r="O68" i="16"/>
  <c r="K68" i="16"/>
  <c r="G68" i="16"/>
  <c r="AB67" i="16"/>
  <c r="X67" i="16"/>
  <c r="W67" i="16"/>
  <c r="V67" i="16"/>
  <c r="O67" i="16"/>
  <c r="N67" i="16"/>
  <c r="M67" i="16"/>
  <c r="K67" i="16"/>
  <c r="G67" i="16"/>
  <c r="O66" i="16"/>
  <c r="M66" i="16"/>
  <c r="AA66" i="16" s="1"/>
  <c r="K66" i="16"/>
  <c r="V65" i="16"/>
  <c r="U65" i="16"/>
  <c r="O65" i="16"/>
  <c r="N65" i="16"/>
  <c r="M65" i="16"/>
  <c r="K65" i="16"/>
  <c r="G65" i="16"/>
  <c r="AB64" i="16"/>
  <c r="AA64" i="16"/>
  <c r="V64" i="16"/>
  <c r="U64" i="16"/>
  <c r="P64" i="16"/>
  <c r="O64" i="16"/>
  <c r="N64" i="16"/>
  <c r="Q64" i="16" s="1"/>
  <c r="M64" i="16"/>
  <c r="K64" i="16"/>
  <c r="G64" i="16"/>
  <c r="V63" i="16"/>
  <c r="U63" i="16"/>
  <c r="P63" i="16"/>
  <c r="O63" i="16"/>
  <c r="N63" i="16"/>
  <c r="Q63" i="16" s="1"/>
  <c r="M63" i="16"/>
  <c r="K63" i="16"/>
  <c r="G63" i="16"/>
  <c r="V62" i="16"/>
  <c r="U62" i="16"/>
  <c r="O62" i="16"/>
  <c r="M62" i="16"/>
  <c r="AB62" i="16" s="1"/>
  <c r="K62" i="16"/>
  <c r="G62" i="16"/>
  <c r="V61" i="16"/>
  <c r="U61" i="16"/>
  <c r="O61" i="16"/>
  <c r="N61" i="16"/>
  <c r="Q61" i="16" s="1"/>
  <c r="M61" i="16"/>
  <c r="K61" i="16"/>
  <c r="G61" i="16"/>
  <c r="AB60" i="16"/>
  <c r="AA60" i="16"/>
  <c r="V60" i="16"/>
  <c r="M60" i="16" s="1"/>
  <c r="N60" i="16" s="1"/>
  <c r="O60" i="16"/>
  <c r="K60" i="16"/>
  <c r="G60" i="16"/>
  <c r="O59" i="16"/>
  <c r="K59" i="16"/>
  <c r="AA58" i="16"/>
  <c r="V58" i="16"/>
  <c r="M58" i="16" s="1"/>
  <c r="U58" i="16"/>
  <c r="O58" i="16"/>
  <c r="K58" i="16"/>
  <c r="G58" i="16"/>
  <c r="AA57" i="16"/>
  <c r="V57" i="16"/>
  <c r="M57" i="16" s="1"/>
  <c r="U57" i="16"/>
  <c r="O57" i="16"/>
  <c r="K57" i="16"/>
  <c r="G57" i="16"/>
  <c r="AB56" i="16"/>
  <c r="AA56" i="16"/>
  <c r="V56" i="16"/>
  <c r="M56" i="16" s="1"/>
  <c r="N56" i="16" s="1"/>
  <c r="U56" i="16"/>
  <c r="O56" i="16"/>
  <c r="K56" i="16"/>
  <c r="G56" i="16"/>
  <c r="AB55" i="16"/>
  <c r="AA55" i="16"/>
  <c r="V55" i="16"/>
  <c r="U55" i="16"/>
  <c r="Q55" i="16"/>
  <c r="O55" i="16"/>
  <c r="M55" i="16"/>
  <c r="N55" i="16" s="1"/>
  <c r="P55" i="16" s="1"/>
  <c r="K55" i="16"/>
  <c r="G55" i="16"/>
  <c r="AB54" i="16"/>
  <c r="V54" i="16"/>
  <c r="U54" i="16"/>
  <c r="O54" i="16"/>
  <c r="M54" i="16"/>
  <c r="K54" i="16"/>
  <c r="G54" i="16"/>
  <c r="AB53" i="16"/>
  <c r="AA53" i="16"/>
  <c r="V53" i="16"/>
  <c r="O53" i="16"/>
  <c r="N53" i="16"/>
  <c r="Q53" i="16" s="1"/>
  <c r="M53" i="16"/>
  <c r="M59" i="16" s="1"/>
  <c r="K53" i="16"/>
  <c r="G53" i="16"/>
  <c r="O52" i="16"/>
  <c r="M52" i="16"/>
  <c r="N52" i="16" s="1"/>
  <c r="K52" i="16"/>
  <c r="AB51" i="16"/>
  <c r="AA51" i="16"/>
  <c r="V51" i="16"/>
  <c r="U51" i="16"/>
  <c r="O51" i="16"/>
  <c r="N51" i="16"/>
  <c r="M51" i="16"/>
  <c r="K51" i="16"/>
  <c r="G51" i="16"/>
  <c r="V50" i="16"/>
  <c r="U50" i="16"/>
  <c r="O50" i="16"/>
  <c r="N50" i="16"/>
  <c r="M50" i="16"/>
  <c r="K50" i="16"/>
  <c r="G50" i="16"/>
  <c r="AB49" i="16"/>
  <c r="V49" i="16"/>
  <c r="U49" i="16"/>
  <c r="Q49" i="16"/>
  <c r="P49" i="16"/>
  <c r="O49" i="16"/>
  <c r="N49" i="16"/>
  <c r="M49" i="16"/>
  <c r="AA49" i="16" s="1"/>
  <c r="K49" i="16"/>
  <c r="G49" i="16"/>
  <c r="V48" i="16"/>
  <c r="U48" i="16"/>
  <c r="Q48" i="16"/>
  <c r="P48" i="16"/>
  <c r="O48" i="16"/>
  <c r="N48" i="16"/>
  <c r="M48" i="16"/>
  <c r="K48" i="16"/>
  <c r="G48" i="16"/>
  <c r="V47" i="16"/>
  <c r="M47" i="16" s="1"/>
  <c r="U47" i="16"/>
  <c r="O47" i="16"/>
  <c r="K47" i="16"/>
  <c r="G47" i="16"/>
  <c r="V46" i="16"/>
  <c r="M46" i="16" s="1"/>
  <c r="U46" i="16"/>
  <c r="Q46" i="16"/>
  <c r="P46" i="16"/>
  <c r="O46" i="16"/>
  <c r="N46" i="16"/>
  <c r="K46" i="16"/>
  <c r="G46" i="16"/>
  <c r="AB45" i="16"/>
  <c r="AA45" i="16"/>
  <c r="X45" i="16"/>
  <c r="W45" i="16"/>
  <c r="V45" i="16"/>
  <c r="O45" i="16"/>
  <c r="M45" i="16"/>
  <c r="N45" i="16" s="1"/>
  <c r="K45" i="16"/>
  <c r="G45" i="16"/>
  <c r="O44" i="16"/>
  <c r="M44" i="16"/>
  <c r="N44" i="16" s="1"/>
  <c r="P44" i="16" s="1"/>
  <c r="K44" i="16"/>
  <c r="AB43" i="16"/>
  <c r="AA43" i="16"/>
  <c r="V43" i="16"/>
  <c r="U43" i="16"/>
  <c r="O43" i="16"/>
  <c r="M43" i="16"/>
  <c r="N43" i="16" s="1"/>
  <c r="K43" i="16"/>
  <c r="G43" i="16"/>
  <c r="AB42" i="16"/>
  <c r="AA42" i="16"/>
  <c r="V42" i="16"/>
  <c r="U42" i="16"/>
  <c r="O42" i="16"/>
  <c r="N42" i="16"/>
  <c r="M42" i="16"/>
  <c r="K42" i="16"/>
  <c r="G42" i="16"/>
  <c r="V41" i="16"/>
  <c r="U41" i="16"/>
  <c r="O41" i="16"/>
  <c r="N41" i="16"/>
  <c r="M41" i="16"/>
  <c r="K41" i="16"/>
  <c r="G41" i="16"/>
  <c r="AB40" i="16"/>
  <c r="AA40" i="16"/>
  <c r="V40" i="16"/>
  <c r="U40" i="16"/>
  <c r="P40" i="16"/>
  <c r="O40" i="16"/>
  <c r="N40" i="16"/>
  <c r="Q40" i="16" s="1"/>
  <c r="M40" i="16"/>
  <c r="K40" i="16"/>
  <c r="G40" i="16"/>
  <c r="X39" i="16"/>
  <c r="W39" i="16"/>
  <c r="V39" i="16"/>
  <c r="U39" i="16"/>
  <c r="O39" i="16"/>
  <c r="N39" i="16"/>
  <c r="P39" i="16" s="1"/>
  <c r="M39" i="16"/>
  <c r="K39" i="16"/>
  <c r="G39" i="16"/>
  <c r="AA38" i="16"/>
  <c r="V38" i="16"/>
  <c r="M38" i="16" s="1"/>
  <c r="U38" i="16"/>
  <c r="O38" i="16"/>
  <c r="K38" i="16"/>
  <c r="G38" i="16"/>
  <c r="AA37" i="16"/>
  <c r="V37" i="16"/>
  <c r="M37" i="16" s="1"/>
  <c r="U37" i="16"/>
  <c r="O37" i="16"/>
  <c r="K37" i="16"/>
  <c r="G37" i="16"/>
  <c r="AB36" i="16"/>
  <c r="AA36" i="16"/>
  <c r="V36" i="16"/>
  <c r="M36" i="16" s="1"/>
  <c r="N36" i="16" s="1"/>
  <c r="U36" i="16"/>
  <c r="O36" i="16"/>
  <c r="K36" i="16"/>
  <c r="G36" i="16"/>
  <c r="AB35" i="16"/>
  <c r="AA35" i="16"/>
  <c r="V35" i="16"/>
  <c r="U35" i="16"/>
  <c r="Q35" i="16"/>
  <c r="O35" i="16"/>
  <c r="M35" i="16"/>
  <c r="N35" i="16" s="1"/>
  <c r="P35" i="16" s="1"/>
  <c r="K35" i="16"/>
  <c r="G35" i="16"/>
  <c r="X34" i="16"/>
  <c r="W34" i="16"/>
  <c r="V34" i="16"/>
  <c r="O34" i="16"/>
  <c r="N34" i="16"/>
  <c r="Q34" i="16" s="1"/>
  <c r="M34" i="16"/>
  <c r="K34" i="16"/>
  <c r="G34" i="16"/>
  <c r="P33" i="16"/>
  <c r="O33" i="16"/>
  <c r="N33" i="16"/>
  <c r="Q33" i="16" s="1"/>
  <c r="R26" i="16" s="1"/>
  <c r="M33" i="16"/>
  <c r="K33" i="16"/>
  <c r="V32" i="16"/>
  <c r="U32" i="16"/>
  <c r="O32" i="16"/>
  <c r="N32" i="16"/>
  <c r="M32" i="16"/>
  <c r="K32" i="16"/>
  <c r="G32" i="16"/>
  <c r="AB31" i="16"/>
  <c r="V31" i="16"/>
  <c r="U31" i="16"/>
  <c r="Q31" i="16"/>
  <c r="P31" i="16"/>
  <c r="O31" i="16"/>
  <c r="N31" i="16"/>
  <c r="M31" i="16"/>
  <c r="AA31" i="16" s="1"/>
  <c r="K31" i="16"/>
  <c r="G31" i="16"/>
  <c r="X30" i="16"/>
  <c r="W30" i="16"/>
  <c r="V30" i="16"/>
  <c r="M30" i="16" s="1"/>
  <c r="U30" i="16"/>
  <c r="Q30" i="16"/>
  <c r="P30" i="16"/>
  <c r="O30" i="16"/>
  <c r="N30" i="16"/>
  <c r="K30" i="16"/>
  <c r="G30" i="16"/>
  <c r="AB29" i="16"/>
  <c r="AA29" i="16"/>
  <c r="V29" i="16"/>
  <c r="M29" i="16" s="1"/>
  <c r="N29" i="16" s="1"/>
  <c r="U29" i="16"/>
  <c r="O29" i="16"/>
  <c r="K29" i="16"/>
  <c r="G29" i="16"/>
  <c r="AB28" i="16"/>
  <c r="AA28" i="16"/>
  <c r="V28" i="16"/>
  <c r="M28" i="16" s="1"/>
  <c r="N28" i="16" s="1"/>
  <c r="U28" i="16"/>
  <c r="Q28" i="16"/>
  <c r="P28" i="16"/>
  <c r="O28" i="16"/>
  <c r="K28" i="16"/>
  <c r="G28" i="16"/>
  <c r="AB27" i="16"/>
  <c r="AA27" i="16"/>
  <c r="V27" i="16"/>
  <c r="U27" i="16"/>
  <c r="O27" i="16"/>
  <c r="M27" i="16"/>
  <c r="N27" i="16" s="1"/>
  <c r="K27" i="16"/>
  <c r="G27" i="16"/>
  <c r="AB26" i="16"/>
  <c r="AA26" i="16"/>
  <c r="X26" i="16"/>
  <c r="W26" i="16"/>
  <c r="V26" i="16"/>
  <c r="Q26" i="16"/>
  <c r="P26" i="16"/>
  <c r="O26" i="16"/>
  <c r="N26" i="16"/>
  <c r="M26" i="16"/>
  <c r="K26" i="16"/>
  <c r="G26" i="16"/>
  <c r="O25" i="16"/>
  <c r="M25" i="16"/>
  <c r="N25" i="16" s="1"/>
  <c r="K25" i="16"/>
  <c r="AB24" i="16"/>
  <c r="AA24" i="16"/>
  <c r="V24" i="16"/>
  <c r="U24" i="16"/>
  <c r="P24" i="16"/>
  <c r="O24" i="16"/>
  <c r="N24" i="16"/>
  <c r="Q24" i="16" s="1"/>
  <c r="M24" i="16"/>
  <c r="K24" i="16"/>
  <c r="G24" i="16"/>
  <c r="V23" i="16"/>
  <c r="U23" i="16"/>
  <c r="O23" i="16"/>
  <c r="N23" i="16"/>
  <c r="Q23" i="16" s="1"/>
  <c r="M23" i="16"/>
  <c r="K23" i="16"/>
  <c r="G23" i="16"/>
  <c r="V22" i="16"/>
  <c r="U22" i="16"/>
  <c r="O22" i="16"/>
  <c r="M22" i="16"/>
  <c r="AB22" i="16" s="1"/>
  <c r="K22" i="16"/>
  <c r="G22" i="16"/>
  <c r="V21" i="16"/>
  <c r="U21" i="16"/>
  <c r="Q21" i="16"/>
  <c r="P21" i="16"/>
  <c r="O21" i="16"/>
  <c r="N21" i="16"/>
  <c r="M21" i="16"/>
  <c r="K21" i="16"/>
  <c r="G21" i="16"/>
  <c r="AA20" i="16"/>
  <c r="V20" i="16"/>
  <c r="M20" i="16" s="1"/>
  <c r="U20" i="16"/>
  <c r="O20" i="16"/>
  <c r="K20" i="16"/>
  <c r="G20" i="16"/>
  <c r="AB19" i="16"/>
  <c r="AA19" i="16"/>
  <c r="V19" i="16"/>
  <c r="M19" i="16" s="1"/>
  <c r="N19" i="16" s="1"/>
  <c r="Q19" i="16"/>
  <c r="P19" i="16"/>
  <c r="O19" i="16"/>
  <c r="K19" i="16"/>
  <c r="G19" i="16"/>
  <c r="O18" i="16"/>
  <c r="K18" i="16"/>
  <c r="AA17" i="16"/>
  <c r="V17" i="16"/>
  <c r="M17" i="16" s="1"/>
  <c r="U17" i="16"/>
  <c r="O17" i="16"/>
  <c r="K17" i="16"/>
  <c r="G17" i="16"/>
  <c r="AB16" i="16"/>
  <c r="AA16" i="16"/>
  <c r="V16" i="16"/>
  <c r="M16" i="16" s="1"/>
  <c r="N16" i="16" s="1"/>
  <c r="U16" i="16"/>
  <c r="O16" i="16"/>
  <c r="K16" i="16"/>
  <c r="G16" i="16"/>
  <c r="AB15" i="16"/>
  <c r="AA15" i="16"/>
  <c r="V15" i="16"/>
  <c r="U15" i="16"/>
  <c r="Q15" i="16"/>
  <c r="O15" i="16"/>
  <c r="M15" i="16"/>
  <c r="N15" i="16" s="1"/>
  <c r="P15" i="16" s="1"/>
  <c r="K15" i="16"/>
  <c r="G15" i="16"/>
  <c r="V14" i="16"/>
  <c r="O14" i="16"/>
  <c r="N14" i="16"/>
  <c r="M14" i="16"/>
  <c r="K14" i="16"/>
  <c r="G14" i="16"/>
  <c r="AB13" i="16"/>
  <c r="AC9" i="16" s="1"/>
  <c r="AA13" i="16"/>
  <c r="O13" i="16"/>
  <c r="N13" i="16"/>
  <c r="M13" i="16"/>
  <c r="K13" i="16"/>
  <c r="AB12" i="16"/>
  <c r="V12" i="16"/>
  <c r="U12" i="16"/>
  <c r="O12" i="16"/>
  <c r="M12" i="16"/>
  <c r="K12" i="16"/>
  <c r="G12" i="16"/>
  <c r="AB11" i="16"/>
  <c r="AA11" i="16"/>
  <c r="X11" i="16"/>
  <c r="W11" i="16"/>
  <c r="V11" i="16"/>
  <c r="U11" i="16"/>
  <c r="Q11" i="16"/>
  <c r="P11" i="16"/>
  <c r="O11" i="16"/>
  <c r="N11" i="16"/>
  <c r="M11" i="16"/>
  <c r="K11" i="16"/>
  <c r="G11" i="16"/>
  <c r="V10" i="16"/>
  <c r="U10" i="16"/>
  <c r="O10" i="16"/>
  <c r="N10" i="16"/>
  <c r="P10" i="16" s="1"/>
  <c r="M10" i="16"/>
  <c r="K10" i="16"/>
  <c r="G10" i="16"/>
  <c r="AA9" i="16"/>
  <c r="X9" i="16"/>
  <c r="W9" i="16"/>
  <c r="V9" i="16"/>
  <c r="M9" i="16" s="1"/>
  <c r="O9" i="16"/>
  <c r="K9" i="16"/>
  <c r="G9" i="16"/>
  <c r="O8" i="16"/>
  <c r="K8" i="16"/>
  <c r="AB7" i="16"/>
  <c r="AA7" i="16"/>
  <c r="V7" i="16"/>
  <c r="M7" i="16" s="1"/>
  <c r="N7" i="16" s="1"/>
  <c r="U7" i="16"/>
  <c r="O7" i="16"/>
  <c r="K7" i="16"/>
  <c r="G7" i="16"/>
  <c r="AB6" i="16"/>
  <c r="AA6" i="16"/>
  <c r="V6" i="16"/>
  <c r="M6" i="16" s="1"/>
  <c r="N6" i="16" s="1"/>
  <c r="U6" i="16"/>
  <c r="Q6" i="16"/>
  <c r="P6" i="16"/>
  <c r="O6" i="16"/>
  <c r="K6" i="16"/>
  <c r="G6" i="16"/>
  <c r="AB5" i="16"/>
  <c r="V5" i="16"/>
  <c r="O5" i="16"/>
  <c r="M5" i="16"/>
  <c r="K5" i="16"/>
  <c r="G5" i="16"/>
  <c r="F1" i="16" s="1"/>
  <c r="H2" i="16"/>
  <c r="F2" i="16"/>
  <c r="H1" i="16"/>
  <c r="D1" i="16"/>
  <c r="P70" i="18" l="1"/>
  <c r="Q70" i="18"/>
  <c r="AB65" i="18"/>
  <c r="AC59" i="18" s="1"/>
  <c r="N65" i="18"/>
  <c r="AA65" i="18"/>
  <c r="P53" i="18"/>
  <c r="Q53" i="18"/>
  <c r="P40" i="18"/>
  <c r="Q40" i="18"/>
  <c r="AA58" i="18"/>
  <c r="AB58" i="18"/>
  <c r="AC52" i="18" s="1"/>
  <c r="N58" i="18"/>
  <c r="AA32" i="18"/>
  <c r="AB32" i="18"/>
  <c r="AC25" i="18" s="1"/>
  <c r="N32" i="18"/>
  <c r="P63" i="18"/>
  <c r="Q63" i="18"/>
  <c r="P56" i="18"/>
  <c r="Q56" i="18"/>
  <c r="P30" i="18"/>
  <c r="Q30" i="18"/>
  <c r="P44" i="18"/>
  <c r="Q44" i="18"/>
  <c r="P52" i="18"/>
  <c r="Q52" i="18"/>
  <c r="Q21" i="18"/>
  <c r="P21" i="18"/>
  <c r="Q35" i="18"/>
  <c r="P35" i="18"/>
  <c r="P62" i="18"/>
  <c r="Q62" i="18"/>
  <c r="N18" i="18"/>
  <c r="AA18" i="18"/>
  <c r="AB18" i="18"/>
  <c r="AC14" i="18" s="1"/>
  <c r="P10" i="18"/>
  <c r="Q10" i="18"/>
  <c r="N51" i="18"/>
  <c r="AA51" i="18"/>
  <c r="AB51" i="18"/>
  <c r="AC44" i="18" s="1"/>
  <c r="AA24" i="18"/>
  <c r="AB24" i="18"/>
  <c r="AC19" i="18" s="1"/>
  <c r="N24" i="18"/>
  <c r="P17" i="18"/>
  <c r="Q17" i="18"/>
  <c r="Q49" i="18"/>
  <c r="P49" i="18"/>
  <c r="AA8" i="18"/>
  <c r="AB8" i="18"/>
  <c r="AC5" i="18" s="1"/>
  <c r="N8" i="18"/>
  <c r="P66" i="18"/>
  <c r="Q66" i="18"/>
  <c r="P45" i="18"/>
  <c r="Q45" i="18"/>
  <c r="Q71" i="18"/>
  <c r="P71" i="18"/>
  <c r="P46" i="18"/>
  <c r="Q46" i="18"/>
  <c r="P68" i="18"/>
  <c r="Q68" i="18"/>
  <c r="P27" i="18"/>
  <c r="Q27" i="18"/>
  <c r="P19" i="18"/>
  <c r="Q19" i="18"/>
  <c r="P31" i="18"/>
  <c r="Q31" i="18"/>
  <c r="N72" i="18"/>
  <c r="AA72" i="18"/>
  <c r="AB72" i="18"/>
  <c r="AC66" i="18" s="1"/>
  <c r="P67" i="18"/>
  <c r="Q67" i="18"/>
  <c r="N13" i="18"/>
  <c r="AA13" i="18"/>
  <c r="AB13" i="18"/>
  <c r="AC9" i="18" s="1"/>
  <c r="P47" i="18"/>
  <c r="Q47" i="18"/>
  <c r="P55" i="18"/>
  <c r="Q55" i="18"/>
  <c r="P12" i="18"/>
  <c r="Q12" i="18"/>
  <c r="P48" i="18"/>
  <c r="Q48" i="18"/>
  <c r="P25" i="18"/>
  <c r="Q25" i="18"/>
  <c r="P14" i="18"/>
  <c r="Q14" i="18"/>
  <c r="P20" i="18"/>
  <c r="Q20" i="18"/>
  <c r="P5" i="18"/>
  <c r="Q5" i="18"/>
  <c r="P15" i="18"/>
  <c r="Q15" i="18"/>
  <c r="P7" i="18"/>
  <c r="Q7" i="18"/>
  <c r="P34" i="18"/>
  <c r="Q34" i="18"/>
  <c r="P6" i="18"/>
  <c r="Q6" i="18"/>
  <c r="Q11" i="18"/>
  <c r="P11" i="18"/>
  <c r="P57" i="18"/>
  <c r="Q57" i="18"/>
  <c r="AB43" i="18"/>
  <c r="AC33" i="18" s="1"/>
  <c r="N43" i="18"/>
  <c r="AA43" i="18"/>
  <c r="P41" i="18"/>
  <c r="Q41" i="18"/>
  <c r="P38" i="18"/>
  <c r="Q38" i="18"/>
  <c r="P28" i="18"/>
  <c r="Q28" i="18"/>
  <c r="P29" i="18"/>
  <c r="Q29" i="18"/>
  <c r="P69" i="18"/>
  <c r="Q69" i="18"/>
  <c r="P53" i="16"/>
  <c r="N66" i="16"/>
  <c r="P61" i="16"/>
  <c r="Q39" i="16"/>
  <c r="AA59" i="16"/>
  <c r="AA44" i="16"/>
  <c r="AB59" i="16"/>
  <c r="AC53" i="16" s="1"/>
  <c r="Q44" i="16"/>
  <c r="R34" i="16" s="1"/>
  <c r="AB44" i="16"/>
  <c r="AC34" i="16" s="1"/>
  <c r="P23" i="16"/>
  <c r="P34" i="16"/>
  <c r="Q10" i="16"/>
  <c r="P70" i="16"/>
  <c r="AB66" i="16"/>
  <c r="AC60" i="16" s="1"/>
  <c r="N59" i="16"/>
  <c r="M8" i="16"/>
  <c r="AA5" i="16"/>
  <c r="N5" i="16"/>
  <c r="Q7" i="16"/>
  <c r="P7" i="16"/>
  <c r="AB9" i="16"/>
  <c r="N9" i="16"/>
  <c r="AB10" i="16"/>
  <c r="AA10" i="16"/>
  <c r="AA12" i="16"/>
  <c r="N12" i="16"/>
  <c r="Q13" i="16"/>
  <c r="R9" i="16" s="1"/>
  <c r="P13" i="16"/>
  <c r="AB14" i="16"/>
  <c r="AA14" i="16"/>
  <c r="M18" i="16"/>
  <c r="Q14" i="16"/>
  <c r="P14" i="16"/>
  <c r="Q16" i="16"/>
  <c r="P16" i="16"/>
  <c r="N17" i="16"/>
  <c r="AB17" i="16"/>
  <c r="AB20" i="16"/>
  <c r="N20" i="16"/>
  <c r="AB21" i="16"/>
  <c r="AA21" i="16"/>
  <c r="AB23" i="16"/>
  <c r="AA23" i="16"/>
  <c r="AB25" i="16"/>
  <c r="AC19" i="16" s="1"/>
  <c r="AA25" i="16"/>
  <c r="Q25" i="16"/>
  <c r="R19" i="16" s="1"/>
  <c r="P25" i="16"/>
  <c r="Q27" i="16"/>
  <c r="P27" i="16"/>
  <c r="Q29" i="16"/>
  <c r="P29" i="16"/>
  <c r="AB30" i="16"/>
  <c r="AA30" i="16"/>
  <c r="AB32" i="16"/>
  <c r="AA32" i="16"/>
  <c r="Q32" i="16"/>
  <c r="P32" i="16"/>
  <c r="AB33" i="16"/>
  <c r="AC26" i="16" s="1"/>
  <c r="AA33" i="16"/>
  <c r="AB34" i="16"/>
  <c r="AA34" i="16"/>
  <c r="Q36" i="16"/>
  <c r="P36" i="16"/>
  <c r="N37" i="16"/>
  <c r="AB37" i="16"/>
  <c r="AB38" i="16"/>
  <c r="N38" i="16"/>
  <c r="AB39" i="16"/>
  <c r="AA39" i="16"/>
  <c r="AB41" i="16"/>
  <c r="AA41" i="16"/>
  <c r="Q41" i="16"/>
  <c r="P41" i="16"/>
  <c r="Q42" i="16"/>
  <c r="P42" i="16"/>
  <c r="Q43" i="16"/>
  <c r="P43" i="16"/>
  <c r="Q45" i="16"/>
  <c r="P45" i="16"/>
  <c r="AB46" i="16"/>
  <c r="AA46" i="16"/>
  <c r="AB47" i="16"/>
  <c r="AA47" i="16"/>
  <c r="N47" i="16"/>
  <c r="AB48" i="16"/>
  <c r="AA48" i="16"/>
  <c r="AB50" i="16"/>
  <c r="AA50" i="16"/>
  <c r="Q50" i="16"/>
  <c r="P50" i="16"/>
  <c r="Q51" i="16"/>
  <c r="P51" i="16"/>
  <c r="AB52" i="16"/>
  <c r="AC45" i="16" s="1"/>
  <c r="AA52" i="16"/>
  <c r="Q52" i="16"/>
  <c r="R45" i="16" s="1"/>
  <c r="P52" i="16"/>
  <c r="AA54" i="16"/>
  <c r="N54" i="16"/>
  <c r="Q56" i="16"/>
  <c r="P56" i="16"/>
  <c r="N57" i="16"/>
  <c r="AB57" i="16"/>
  <c r="AB58" i="16"/>
  <c r="N58" i="16"/>
  <c r="Q60" i="16"/>
  <c r="P60" i="16"/>
  <c r="AB61" i="16"/>
  <c r="AA61" i="16"/>
  <c r="AB63" i="16"/>
  <c r="AA63" i="16"/>
  <c r="AB65" i="16"/>
  <c r="AA65" i="16"/>
  <c r="Q65" i="16"/>
  <c r="P65" i="16"/>
  <c r="Q66" i="16"/>
  <c r="R60" i="16" s="1"/>
  <c r="P66" i="16"/>
  <c r="M73" i="16"/>
  <c r="AA67" i="16"/>
  <c r="Q67" i="16"/>
  <c r="P67" i="16"/>
  <c r="Q69" i="16"/>
  <c r="P69" i="16"/>
  <c r="AB70" i="16"/>
  <c r="AA70" i="16"/>
  <c r="AA71" i="16"/>
  <c r="N71" i="16"/>
  <c r="AB72" i="16"/>
  <c r="AA72" i="16"/>
  <c r="Q72" i="16"/>
  <c r="P72" i="16"/>
  <c r="N22" i="16"/>
  <c r="N62" i="16"/>
  <c r="AA22" i="16"/>
  <c r="AA62" i="16"/>
  <c r="P24" i="18" l="1"/>
  <c r="Q24" i="18"/>
  <c r="R19" i="18" s="1"/>
  <c r="P13" i="18"/>
  <c r="Q13" i="18"/>
  <c r="R9" i="18" s="1"/>
  <c r="P18" i="18"/>
  <c r="Q18" i="18"/>
  <c r="R14" i="18" s="1"/>
  <c r="D2" i="18"/>
  <c r="P8" i="18"/>
  <c r="Q8" i="18"/>
  <c r="R5" i="18" s="1"/>
  <c r="P32" i="18"/>
  <c r="Q32" i="18"/>
  <c r="R25" i="18" s="1"/>
  <c r="P51" i="18"/>
  <c r="Q51" i="18"/>
  <c r="R44" i="18" s="1"/>
  <c r="P65" i="18"/>
  <c r="Q65" i="18"/>
  <c r="R59" i="18" s="1"/>
  <c r="P43" i="18"/>
  <c r="Q43" i="18"/>
  <c r="R33" i="18" s="1"/>
  <c r="Q72" i="18"/>
  <c r="R66" i="18" s="1"/>
  <c r="P72" i="18"/>
  <c r="P58" i="18"/>
  <c r="Q58" i="18"/>
  <c r="R52" i="18" s="1"/>
  <c r="P57" i="16"/>
  <c r="Q57" i="16"/>
  <c r="P5" i="16"/>
  <c r="Q5" i="16"/>
  <c r="P17" i="16"/>
  <c r="Q17" i="16"/>
  <c r="AA8" i="16"/>
  <c r="AB8" i="16"/>
  <c r="AC5" i="16" s="1"/>
  <c r="P62" i="16"/>
  <c r="Q62" i="16"/>
  <c r="P22" i="16"/>
  <c r="Q22" i="16"/>
  <c r="P38" i="16"/>
  <c r="Q38" i="16"/>
  <c r="P58" i="16"/>
  <c r="Q58" i="16"/>
  <c r="Q47" i="16"/>
  <c r="P47" i="16"/>
  <c r="Q59" i="16"/>
  <c r="R53" i="16" s="1"/>
  <c r="P59" i="16"/>
  <c r="N18" i="16"/>
  <c r="AB18" i="16"/>
  <c r="AC14" i="16" s="1"/>
  <c r="AA18" i="16"/>
  <c r="Q71" i="16"/>
  <c r="P71" i="16"/>
  <c r="Q37" i="16"/>
  <c r="P37" i="16"/>
  <c r="P20" i="16"/>
  <c r="Q20" i="16"/>
  <c r="AB73" i="16"/>
  <c r="AC67" i="16" s="1"/>
  <c r="AA73" i="16"/>
  <c r="N73" i="16"/>
  <c r="Q54" i="16"/>
  <c r="P54" i="16"/>
  <c r="Q18" i="16"/>
  <c r="R14" i="16" s="1"/>
  <c r="P18" i="16"/>
  <c r="Q12" i="16"/>
  <c r="P12" i="16"/>
  <c r="Q9" i="16"/>
  <c r="P9" i="16"/>
  <c r="N8" i="16"/>
  <c r="Q8" i="16" l="1"/>
  <c r="R5" i="16" s="1"/>
  <c r="P8" i="16"/>
  <c r="D2" i="16"/>
  <c r="Q73" i="16"/>
  <c r="R67" i="16" s="1"/>
  <c r="P73" i="16"/>
  <c r="X46" i="6" l="1"/>
  <c r="W46" i="6"/>
  <c r="O74" i="6" l="1"/>
  <c r="K74" i="6"/>
  <c r="M13" i="5" s="1"/>
  <c r="V73" i="6"/>
  <c r="U73" i="6"/>
  <c r="O73" i="6"/>
  <c r="M73" i="6"/>
  <c r="K73" i="6"/>
  <c r="G73" i="6"/>
  <c r="AB72" i="6"/>
  <c r="X72" i="6"/>
  <c r="W72" i="6"/>
  <c r="V72" i="6"/>
  <c r="U72" i="6"/>
  <c r="O72" i="6"/>
  <c r="N72" i="6"/>
  <c r="P72" i="6" s="1"/>
  <c r="M72" i="6"/>
  <c r="AA72" i="6" s="1"/>
  <c r="K72" i="6"/>
  <c r="G72" i="6"/>
  <c r="V71" i="6"/>
  <c r="M71" i="6" s="1"/>
  <c r="U71" i="6"/>
  <c r="O71" i="6"/>
  <c r="K71" i="6"/>
  <c r="G71" i="6"/>
  <c r="V70" i="6"/>
  <c r="U70" i="6"/>
  <c r="O70" i="6"/>
  <c r="M70" i="6"/>
  <c r="K70" i="6"/>
  <c r="G70" i="6"/>
  <c r="V69" i="6"/>
  <c r="M69" i="6" s="1"/>
  <c r="U69" i="6"/>
  <c r="O69" i="6"/>
  <c r="K69" i="6"/>
  <c r="G69" i="6"/>
  <c r="X68" i="6"/>
  <c r="W68" i="6"/>
  <c r="V68" i="6"/>
  <c r="O68" i="6"/>
  <c r="M68" i="6"/>
  <c r="K68" i="6"/>
  <c r="G68" i="6"/>
  <c r="O67" i="6"/>
  <c r="K67" i="6"/>
  <c r="J13" i="5" s="1"/>
  <c r="V66" i="6"/>
  <c r="U66" i="6"/>
  <c r="Q66" i="6"/>
  <c r="O66" i="6"/>
  <c r="M66" i="6"/>
  <c r="N66" i="6" s="1"/>
  <c r="P66" i="6" s="1"/>
  <c r="K66" i="6"/>
  <c r="G66" i="6"/>
  <c r="AB65" i="6"/>
  <c r="AA65" i="6"/>
  <c r="V65" i="6"/>
  <c r="U65" i="6"/>
  <c r="O65" i="6"/>
  <c r="M65" i="6"/>
  <c r="N65" i="6" s="1"/>
  <c r="K65" i="6"/>
  <c r="G65" i="6"/>
  <c r="V64" i="6"/>
  <c r="M64" i="6" s="1"/>
  <c r="U64" i="6"/>
  <c r="O64" i="6"/>
  <c r="N64" i="6"/>
  <c r="K64" i="6"/>
  <c r="G64" i="6"/>
  <c r="V63" i="6"/>
  <c r="U63" i="6"/>
  <c r="O63" i="6"/>
  <c r="M63" i="6"/>
  <c r="AB63" i="6" s="1"/>
  <c r="K63" i="6"/>
  <c r="G63" i="6"/>
  <c r="AB62" i="6"/>
  <c r="V62" i="6"/>
  <c r="M62" i="6" s="1"/>
  <c r="U62" i="6"/>
  <c r="O62" i="6"/>
  <c r="K62" i="6"/>
  <c r="G62" i="6"/>
  <c r="V61" i="6"/>
  <c r="O61" i="6"/>
  <c r="M61" i="6"/>
  <c r="K61" i="6"/>
  <c r="G61" i="6"/>
  <c r="O60" i="6"/>
  <c r="K60" i="6"/>
  <c r="V59" i="6"/>
  <c r="U59" i="6"/>
  <c r="O59" i="6"/>
  <c r="N59" i="6"/>
  <c r="Q59" i="6" s="1"/>
  <c r="M59" i="6"/>
  <c r="AA59" i="6" s="1"/>
  <c r="K59" i="6"/>
  <c r="P59" i="6" s="1"/>
  <c r="G59" i="6"/>
  <c r="V58" i="6"/>
  <c r="M58" i="6" s="1"/>
  <c r="U58" i="6"/>
  <c r="O58" i="6"/>
  <c r="K58" i="6"/>
  <c r="G58" i="6"/>
  <c r="V57" i="6"/>
  <c r="U57" i="6"/>
  <c r="O57" i="6"/>
  <c r="N57" i="6"/>
  <c r="M57" i="6"/>
  <c r="AB57" i="6" s="1"/>
  <c r="K57" i="6"/>
  <c r="G57" i="6"/>
  <c r="AA56" i="6"/>
  <c r="V56" i="6"/>
  <c r="M56" i="6" s="1"/>
  <c r="U56" i="6"/>
  <c r="O56" i="6"/>
  <c r="K56" i="6"/>
  <c r="G56" i="6"/>
  <c r="V55" i="6"/>
  <c r="M55" i="6" s="1"/>
  <c r="U55" i="6"/>
  <c r="O55" i="6"/>
  <c r="K55" i="6"/>
  <c r="G55" i="6"/>
  <c r="AB54" i="6"/>
  <c r="AA54" i="6"/>
  <c r="V54" i="6"/>
  <c r="O54" i="6"/>
  <c r="M54" i="6"/>
  <c r="M60" i="6" s="1"/>
  <c r="K54" i="6"/>
  <c r="G54" i="6"/>
  <c r="O53" i="6"/>
  <c r="K53" i="6"/>
  <c r="H13" i="5" s="1"/>
  <c r="V52" i="6"/>
  <c r="M52" i="6" s="1"/>
  <c r="U52" i="6"/>
  <c r="O52" i="6"/>
  <c r="K52" i="6"/>
  <c r="G52" i="6"/>
  <c r="V51" i="6"/>
  <c r="U51" i="6"/>
  <c r="O51" i="6"/>
  <c r="M51" i="6"/>
  <c r="K51" i="6"/>
  <c r="G51" i="6"/>
  <c r="V50" i="6"/>
  <c r="U50" i="6"/>
  <c r="O50" i="6"/>
  <c r="M50" i="6"/>
  <c r="AA50" i="6" s="1"/>
  <c r="K50" i="6"/>
  <c r="G50" i="6"/>
  <c r="AA49" i="6"/>
  <c r="V49" i="6"/>
  <c r="U49" i="6"/>
  <c r="O49" i="6"/>
  <c r="M49" i="6"/>
  <c r="AB49" i="6" s="1"/>
  <c r="K49" i="6"/>
  <c r="G49" i="6"/>
  <c r="V48" i="6"/>
  <c r="U48" i="6"/>
  <c r="O48" i="6"/>
  <c r="N48" i="6"/>
  <c r="P48" i="6" s="1"/>
  <c r="M48" i="6"/>
  <c r="AB48" i="6" s="1"/>
  <c r="K48" i="6"/>
  <c r="G48" i="6"/>
  <c r="V47" i="6"/>
  <c r="M47" i="6" s="1"/>
  <c r="U47" i="6"/>
  <c r="O47" i="6"/>
  <c r="K47" i="6"/>
  <c r="G47" i="6"/>
  <c r="V46" i="6"/>
  <c r="O46" i="6"/>
  <c r="N46" i="6"/>
  <c r="M46" i="6"/>
  <c r="AB46" i="6" s="1"/>
  <c r="K46" i="6"/>
  <c r="G46" i="6"/>
  <c r="O45" i="6"/>
  <c r="K45" i="6"/>
  <c r="V44" i="6"/>
  <c r="U44" i="6"/>
  <c r="O44" i="6"/>
  <c r="M44" i="6"/>
  <c r="K44" i="6"/>
  <c r="G44" i="6"/>
  <c r="V43" i="6"/>
  <c r="M43" i="6" s="1"/>
  <c r="U43" i="6"/>
  <c r="O43" i="6"/>
  <c r="K43" i="6"/>
  <c r="G43" i="6"/>
  <c r="V42" i="6"/>
  <c r="M42" i="6" s="1"/>
  <c r="U42" i="6"/>
  <c r="O42" i="6"/>
  <c r="K42" i="6"/>
  <c r="G42" i="6"/>
  <c r="AB41" i="6"/>
  <c r="V41" i="6"/>
  <c r="M41" i="6" s="1"/>
  <c r="U41" i="6"/>
  <c r="O41" i="6"/>
  <c r="K41" i="6"/>
  <c r="G41" i="6"/>
  <c r="X40" i="6"/>
  <c r="W40" i="6"/>
  <c r="V40" i="6"/>
  <c r="M40" i="6" s="1"/>
  <c r="U40" i="6"/>
  <c r="O40" i="6"/>
  <c r="N40" i="6"/>
  <c r="K40" i="6"/>
  <c r="G40" i="6"/>
  <c r="V39" i="6"/>
  <c r="U39" i="6"/>
  <c r="O39" i="6"/>
  <c r="M39" i="6"/>
  <c r="AB39" i="6" s="1"/>
  <c r="K39" i="6"/>
  <c r="G39" i="6"/>
  <c r="AB38" i="6"/>
  <c r="V38" i="6"/>
  <c r="M38" i="6" s="1"/>
  <c r="U38" i="6"/>
  <c r="O38" i="6"/>
  <c r="K38" i="6"/>
  <c r="G38" i="6"/>
  <c r="V37" i="6"/>
  <c r="U37" i="6"/>
  <c r="O37" i="6"/>
  <c r="N37" i="6"/>
  <c r="Q37" i="6" s="1"/>
  <c r="M37" i="6"/>
  <c r="AA37" i="6" s="1"/>
  <c r="K37" i="6"/>
  <c r="P37" i="6" s="1"/>
  <c r="G37" i="6"/>
  <c r="V36" i="6"/>
  <c r="M36" i="6" s="1"/>
  <c r="U36" i="6"/>
  <c r="O36" i="6"/>
  <c r="K36" i="6"/>
  <c r="G36" i="6"/>
  <c r="X35" i="6"/>
  <c r="W35" i="6"/>
  <c r="V35" i="6"/>
  <c r="O35" i="6"/>
  <c r="M35" i="6"/>
  <c r="M45" i="6" s="1"/>
  <c r="AA45" i="6" s="1"/>
  <c r="K35" i="6"/>
  <c r="G35" i="6"/>
  <c r="O34" i="6"/>
  <c r="K34" i="6"/>
  <c r="V33" i="6"/>
  <c r="M33" i="6" s="1"/>
  <c r="U33" i="6"/>
  <c r="O33" i="6"/>
  <c r="K33" i="6"/>
  <c r="G33" i="6"/>
  <c r="V32" i="6"/>
  <c r="M32" i="6" s="1"/>
  <c r="U32" i="6"/>
  <c r="O32" i="6"/>
  <c r="K32" i="6"/>
  <c r="G32" i="6"/>
  <c r="V31" i="6"/>
  <c r="U31" i="6"/>
  <c r="O31" i="6"/>
  <c r="M31" i="6"/>
  <c r="K31" i="6"/>
  <c r="G31" i="6"/>
  <c r="AB30" i="6"/>
  <c r="X30" i="6"/>
  <c r="W30" i="6"/>
  <c r="V30" i="6"/>
  <c r="U30" i="6"/>
  <c r="O30" i="6"/>
  <c r="N30" i="6"/>
  <c r="P30" i="6" s="1"/>
  <c r="M30" i="6"/>
  <c r="AA30" i="6" s="1"/>
  <c r="K30" i="6"/>
  <c r="G30" i="6"/>
  <c r="V29" i="6"/>
  <c r="M29" i="6" s="1"/>
  <c r="U29" i="6"/>
  <c r="O29" i="6"/>
  <c r="K29" i="6"/>
  <c r="G29" i="6"/>
  <c r="V28" i="6"/>
  <c r="U28" i="6"/>
  <c r="O28" i="6"/>
  <c r="M28" i="6"/>
  <c r="K28" i="6"/>
  <c r="G28" i="6"/>
  <c r="V27" i="6"/>
  <c r="M27" i="6" s="1"/>
  <c r="U27" i="6"/>
  <c r="O27" i="6"/>
  <c r="K27" i="6"/>
  <c r="G27" i="6"/>
  <c r="X26" i="6"/>
  <c r="W26" i="6"/>
  <c r="V26" i="6"/>
  <c r="O26" i="6"/>
  <c r="M26" i="6"/>
  <c r="K26" i="6"/>
  <c r="G26" i="6"/>
  <c r="O25" i="6"/>
  <c r="K25" i="6"/>
  <c r="V24" i="6"/>
  <c r="U24" i="6"/>
  <c r="Q24" i="6"/>
  <c r="O24" i="6"/>
  <c r="M24" i="6"/>
  <c r="N24" i="6" s="1"/>
  <c r="P24" i="6" s="1"/>
  <c r="K24" i="6"/>
  <c r="G24" i="6"/>
  <c r="AB23" i="6"/>
  <c r="AA23" i="6"/>
  <c r="V23" i="6"/>
  <c r="U23" i="6"/>
  <c r="O23" i="6"/>
  <c r="M23" i="6"/>
  <c r="N23" i="6" s="1"/>
  <c r="K23" i="6"/>
  <c r="G23" i="6"/>
  <c r="V22" i="6"/>
  <c r="M22" i="6" s="1"/>
  <c r="U22" i="6"/>
  <c r="O22" i="6"/>
  <c r="N22" i="6"/>
  <c r="K22" i="6"/>
  <c r="G22" i="6"/>
  <c r="V21" i="6"/>
  <c r="U21" i="6"/>
  <c r="O21" i="6"/>
  <c r="M21" i="6"/>
  <c r="AB21" i="6" s="1"/>
  <c r="K21" i="6"/>
  <c r="G21" i="6"/>
  <c r="AB20" i="6"/>
  <c r="V20" i="6"/>
  <c r="M20" i="6" s="1"/>
  <c r="U20" i="6"/>
  <c r="O20" i="6"/>
  <c r="K20" i="6"/>
  <c r="G20" i="6"/>
  <c r="V19" i="6"/>
  <c r="O19" i="6"/>
  <c r="M19" i="6"/>
  <c r="K19" i="6"/>
  <c r="G19" i="6"/>
  <c r="O18" i="6"/>
  <c r="K18" i="6"/>
  <c r="V17" i="6"/>
  <c r="U17" i="6"/>
  <c r="O17" i="6"/>
  <c r="N17" i="6"/>
  <c r="Q17" i="6" s="1"/>
  <c r="M17" i="6"/>
  <c r="AA17" i="6" s="1"/>
  <c r="K17" i="6"/>
  <c r="P17" i="6" s="1"/>
  <c r="G17" i="6"/>
  <c r="V16" i="6"/>
  <c r="M16" i="6" s="1"/>
  <c r="U16" i="6"/>
  <c r="O16" i="6"/>
  <c r="K16" i="6"/>
  <c r="G16" i="6"/>
  <c r="V15" i="6"/>
  <c r="U15" i="6"/>
  <c r="O15" i="6"/>
  <c r="N15" i="6"/>
  <c r="M15" i="6"/>
  <c r="AB15" i="6" s="1"/>
  <c r="K15" i="6"/>
  <c r="G15" i="6"/>
  <c r="AB14" i="6"/>
  <c r="V14" i="6"/>
  <c r="M14" i="6" s="1"/>
  <c r="O14" i="6"/>
  <c r="K14" i="6"/>
  <c r="G14" i="6"/>
  <c r="O13" i="6"/>
  <c r="K13" i="6"/>
  <c r="AA12" i="6"/>
  <c r="V12" i="6"/>
  <c r="M12" i="6" s="1"/>
  <c r="U12" i="6"/>
  <c r="O12" i="6"/>
  <c r="K12" i="6"/>
  <c r="G12" i="6"/>
  <c r="X11" i="6"/>
  <c r="W11" i="6"/>
  <c r="V11" i="6"/>
  <c r="U11" i="6"/>
  <c r="O11" i="6"/>
  <c r="M11" i="6"/>
  <c r="K11" i="6"/>
  <c r="G11" i="6"/>
  <c r="V10" i="6"/>
  <c r="U10" i="6"/>
  <c r="O10" i="6"/>
  <c r="M10" i="6"/>
  <c r="AA10" i="6" s="1"/>
  <c r="K10" i="6"/>
  <c r="G10" i="6"/>
  <c r="AB9" i="6"/>
  <c r="X9" i="6"/>
  <c r="W9" i="6"/>
  <c r="V9" i="6"/>
  <c r="M9" i="6" s="1"/>
  <c r="O9" i="6"/>
  <c r="K9" i="6"/>
  <c r="G9" i="6"/>
  <c r="O8" i="6"/>
  <c r="K8" i="6"/>
  <c r="V7" i="6"/>
  <c r="M7" i="6" s="1"/>
  <c r="U7" i="6"/>
  <c r="O7" i="6"/>
  <c r="K7" i="6"/>
  <c r="G7" i="6"/>
  <c r="V6" i="6"/>
  <c r="U6" i="6"/>
  <c r="O6" i="6"/>
  <c r="M6" i="6"/>
  <c r="K6" i="6"/>
  <c r="G6" i="6"/>
  <c r="F1" i="6" s="1"/>
  <c r="AB5" i="6"/>
  <c r="AA5" i="6"/>
  <c r="V5" i="6"/>
  <c r="M5" i="6" s="1"/>
  <c r="O5" i="6"/>
  <c r="K5" i="6"/>
  <c r="G5" i="6"/>
  <c r="H2" i="6"/>
  <c r="H1" i="6"/>
  <c r="D1" i="6"/>
  <c r="F3" i="5" s="1"/>
  <c r="M18" i="5"/>
  <c r="L18" i="5"/>
  <c r="K18" i="5"/>
  <c r="J18" i="5"/>
  <c r="I18" i="5"/>
  <c r="H18" i="5"/>
  <c r="G18" i="5"/>
  <c r="F18" i="5"/>
  <c r="E18" i="5"/>
  <c r="D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L13" i="5"/>
  <c r="K13" i="5"/>
  <c r="I13" i="5"/>
  <c r="G13" i="5"/>
  <c r="F13" i="5"/>
  <c r="E13" i="5"/>
  <c r="D13" i="5"/>
  <c r="C3" i="5"/>
  <c r="I6" i="5" l="1"/>
  <c r="F6" i="5"/>
  <c r="E6" i="5"/>
  <c r="G6" i="5"/>
  <c r="N5" i="6"/>
  <c r="M8" i="6"/>
  <c r="I3" i="5"/>
  <c r="F2" i="6"/>
  <c r="AA6" i="6"/>
  <c r="AB6" i="6"/>
  <c r="N6" i="6"/>
  <c r="AB7" i="6"/>
  <c r="AA7" i="6"/>
  <c r="N7" i="6"/>
  <c r="N9" i="6"/>
  <c r="AA9" i="6"/>
  <c r="M13" i="6"/>
  <c r="AB11" i="6"/>
  <c r="N11" i="6"/>
  <c r="AA11" i="6"/>
  <c r="N12" i="6"/>
  <c r="AB12" i="6"/>
  <c r="M18" i="6"/>
  <c r="N14" i="6"/>
  <c r="AA14" i="6"/>
  <c r="P15" i="6"/>
  <c r="Q15" i="6"/>
  <c r="N16" i="6"/>
  <c r="AB16" i="6"/>
  <c r="AA16" i="6"/>
  <c r="AA19" i="6"/>
  <c r="AB19" i="6"/>
  <c r="M25" i="6"/>
  <c r="N19" i="6"/>
  <c r="AA20" i="6"/>
  <c r="N20" i="6"/>
  <c r="Q22" i="6"/>
  <c r="P22" i="6"/>
  <c r="AB22" i="6"/>
  <c r="AA22" i="6"/>
  <c r="P23" i="6"/>
  <c r="Q23" i="6"/>
  <c r="M34" i="6"/>
  <c r="AB26" i="6"/>
  <c r="N26" i="6"/>
  <c r="AA26" i="6"/>
  <c r="N27" i="6"/>
  <c r="AB27" i="6"/>
  <c r="AA27" i="6"/>
  <c r="AB28" i="6"/>
  <c r="AA28" i="6"/>
  <c r="N28" i="6"/>
  <c r="AB29" i="6"/>
  <c r="AA29" i="6"/>
  <c r="N29" i="6"/>
  <c r="AA31" i="6"/>
  <c r="N31" i="6"/>
  <c r="AB31" i="6"/>
  <c r="N32" i="6"/>
  <c r="AB32" i="6"/>
  <c r="AA32" i="6"/>
  <c r="AB33" i="6"/>
  <c r="N33" i="6"/>
  <c r="AA33" i="6"/>
  <c r="N45" i="6"/>
  <c r="AB45" i="6"/>
  <c r="AC35" i="6" s="1"/>
  <c r="N36" i="6"/>
  <c r="AB36" i="6"/>
  <c r="AA36" i="6"/>
  <c r="AA38" i="6"/>
  <c r="N38" i="6"/>
  <c r="Q40" i="6"/>
  <c r="P40" i="6"/>
  <c r="AB40" i="6"/>
  <c r="AA40" i="6"/>
  <c r="N41" i="6"/>
  <c r="AA41" i="6"/>
  <c r="AA42" i="6"/>
  <c r="AB42" i="6"/>
  <c r="N42" i="6"/>
  <c r="N43" i="6"/>
  <c r="AB43" i="6"/>
  <c r="AA43" i="6"/>
  <c r="AB44" i="6"/>
  <c r="AA44" i="6"/>
  <c r="N44" i="6"/>
  <c r="P46" i="6"/>
  <c r="Q46" i="6"/>
  <c r="AB47" i="6"/>
  <c r="AA47" i="6"/>
  <c r="M53" i="6"/>
  <c r="N47" i="6"/>
  <c r="AA51" i="6"/>
  <c r="N51" i="6"/>
  <c r="AB51" i="6"/>
  <c r="N52" i="6"/>
  <c r="AB52" i="6"/>
  <c r="AA52" i="6"/>
  <c r="AB60" i="6"/>
  <c r="AC54" i="6" s="1"/>
  <c r="AA60" i="6"/>
  <c r="N60" i="6"/>
  <c r="AB55" i="6"/>
  <c r="N55" i="6"/>
  <c r="AA55" i="6"/>
  <c r="N56" i="6"/>
  <c r="AB56" i="6"/>
  <c r="P57" i="6"/>
  <c r="Q57" i="6"/>
  <c r="N58" i="6"/>
  <c r="AB58" i="6"/>
  <c r="AA58" i="6"/>
  <c r="AB61" i="6"/>
  <c r="AA61" i="6"/>
  <c r="M67" i="6"/>
  <c r="N61" i="6"/>
  <c r="AA62" i="6"/>
  <c r="N62" i="6"/>
  <c r="Q64" i="6"/>
  <c r="P64" i="6"/>
  <c r="AB64" i="6"/>
  <c r="AA64" i="6"/>
  <c r="P65" i="6"/>
  <c r="Q65" i="6"/>
  <c r="M74" i="6"/>
  <c r="AB68" i="6"/>
  <c r="N68" i="6"/>
  <c r="AA68" i="6"/>
  <c r="N69" i="6"/>
  <c r="AB69" i="6"/>
  <c r="AA69" i="6"/>
  <c r="AB70" i="6"/>
  <c r="AA70" i="6"/>
  <c r="N70" i="6"/>
  <c r="AB71" i="6"/>
  <c r="AA71" i="6"/>
  <c r="N71" i="6"/>
  <c r="AA73" i="6"/>
  <c r="N73" i="6"/>
  <c r="AB73" i="6"/>
  <c r="AA24" i="6"/>
  <c r="AA66" i="6"/>
  <c r="AB10" i="6"/>
  <c r="AB50" i="6"/>
  <c r="N21" i="6"/>
  <c r="AB24" i="6"/>
  <c r="N39" i="6"/>
  <c r="N63" i="6"/>
  <c r="AB66" i="6"/>
  <c r="N49" i="6"/>
  <c r="N35" i="6"/>
  <c r="AA15" i="6"/>
  <c r="Q30" i="6"/>
  <c r="AB35" i="6"/>
  <c r="AA46" i="6"/>
  <c r="Q48" i="6"/>
  <c r="N54" i="6"/>
  <c r="AA57" i="6"/>
  <c r="Q72" i="6"/>
  <c r="N10" i="6"/>
  <c r="AA35" i="6"/>
  <c r="N50" i="6"/>
  <c r="AB17" i="6"/>
  <c r="AB37" i="6"/>
  <c r="AA48" i="6"/>
  <c r="AB59" i="6"/>
  <c r="AA21" i="6"/>
  <c r="AA39" i="6"/>
  <c r="AA63" i="6"/>
  <c r="M18" i="2"/>
  <c r="L18" i="2"/>
  <c r="K18" i="2"/>
  <c r="J18" i="2"/>
  <c r="I18" i="2"/>
  <c r="H18" i="2"/>
  <c r="G18" i="2"/>
  <c r="F18" i="2"/>
  <c r="E18" i="2"/>
  <c r="D18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M14" i="2"/>
  <c r="M15" i="2" s="1"/>
  <c r="L14" i="2"/>
  <c r="L15" i="2" s="1"/>
  <c r="K14" i="2"/>
  <c r="J14" i="2"/>
  <c r="I14" i="2"/>
  <c r="H14" i="2"/>
  <c r="G14" i="2"/>
  <c r="F14" i="2"/>
  <c r="F15" i="2" s="1"/>
  <c r="E14" i="2"/>
  <c r="E15" i="2" s="1"/>
  <c r="D14" i="2"/>
  <c r="D15" i="2" s="1"/>
  <c r="M13" i="2"/>
  <c r="L13" i="2"/>
  <c r="K13" i="2"/>
  <c r="K15" i="2" s="1"/>
  <c r="I8" i="2" s="1"/>
  <c r="J13" i="2"/>
  <c r="G6" i="2" s="1"/>
  <c r="I13" i="2"/>
  <c r="H13" i="2"/>
  <c r="G13" i="2"/>
  <c r="F13" i="2"/>
  <c r="E13" i="2"/>
  <c r="D13" i="2"/>
  <c r="I3" i="2"/>
  <c r="F3" i="2"/>
  <c r="C3" i="2"/>
  <c r="G15" i="2"/>
  <c r="I15" i="2"/>
  <c r="H15" i="2"/>
  <c r="Q62" i="6" l="1"/>
  <c r="P62" i="6"/>
  <c r="P29" i="6"/>
  <c r="Q29" i="6"/>
  <c r="Q38" i="6"/>
  <c r="P38" i="6"/>
  <c r="P35" i="6"/>
  <c r="Q35" i="6"/>
  <c r="P71" i="6"/>
  <c r="Q71" i="6"/>
  <c r="Q20" i="6"/>
  <c r="P20" i="6"/>
  <c r="P7" i="6"/>
  <c r="Q7" i="6"/>
  <c r="P47" i="6"/>
  <c r="Q47" i="6"/>
  <c r="Q55" i="6"/>
  <c r="P55" i="6"/>
  <c r="Q33" i="6"/>
  <c r="P33" i="6"/>
  <c r="P60" i="6"/>
  <c r="Q60" i="6"/>
  <c r="R54" i="6" s="1"/>
  <c r="I14" i="5"/>
  <c r="I15" i="5" s="1"/>
  <c r="Q50" i="6"/>
  <c r="P50" i="6"/>
  <c r="P10" i="6"/>
  <c r="Q10" i="6"/>
  <c r="P54" i="6"/>
  <c r="Q54" i="6"/>
  <c r="Q49" i="6"/>
  <c r="P49" i="6"/>
  <c r="Q63" i="6"/>
  <c r="P63" i="6"/>
  <c r="Q39" i="6"/>
  <c r="P39" i="6"/>
  <c r="Q21" i="6"/>
  <c r="P21" i="6"/>
  <c r="Q73" i="6"/>
  <c r="P73" i="6"/>
  <c r="Q70" i="6"/>
  <c r="P70" i="6"/>
  <c r="Q69" i="6"/>
  <c r="P69" i="6"/>
  <c r="Q68" i="6"/>
  <c r="P68" i="6"/>
  <c r="AB74" i="6"/>
  <c r="AC68" i="6" s="1"/>
  <c r="AA74" i="6"/>
  <c r="N74" i="6"/>
  <c r="Q61" i="6"/>
  <c r="P61" i="6"/>
  <c r="AA67" i="6"/>
  <c r="N67" i="6"/>
  <c r="J14" i="5" s="1"/>
  <c r="J15" i="5" s="1"/>
  <c r="AB67" i="6"/>
  <c r="AC61" i="6" s="1"/>
  <c r="Q58" i="6"/>
  <c r="P58" i="6"/>
  <c r="P56" i="6"/>
  <c r="Q56" i="6"/>
  <c r="Q52" i="6"/>
  <c r="P52" i="6"/>
  <c r="Q51" i="6"/>
  <c r="P51" i="6"/>
  <c r="AB53" i="6"/>
  <c r="AC46" i="6" s="1"/>
  <c r="AA53" i="6"/>
  <c r="N53" i="6"/>
  <c r="Q53" i="6" s="1"/>
  <c r="R46" i="6" s="1"/>
  <c r="Q44" i="6"/>
  <c r="P44" i="6"/>
  <c r="Q43" i="6"/>
  <c r="P43" i="6"/>
  <c r="Q42" i="6"/>
  <c r="P42" i="6"/>
  <c r="Q41" i="6"/>
  <c r="P41" i="6"/>
  <c r="Q36" i="6"/>
  <c r="P36" i="6"/>
  <c r="L14" i="5"/>
  <c r="L15" i="5" s="1"/>
  <c r="Q45" i="6"/>
  <c r="R35" i="6" s="1"/>
  <c r="P45" i="6"/>
  <c r="Q32" i="6"/>
  <c r="P32" i="6"/>
  <c r="Q31" i="6"/>
  <c r="P31" i="6"/>
  <c r="Q28" i="6"/>
  <c r="P28" i="6"/>
  <c r="Q27" i="6"/>
  <c r="P27" i="6"/>
  <c r="Q26" i="6"/>
  <c r="P26" i="6"/>
  <c r="N34" i="6"/>
  <c r="AB34" i="6"/>
  <c r="AC26" i="6" s="1"/>
  <c r="AA34" i="6"/>
  <c r="Q19" i="6"/>
  <c r="P19" i="6"/>
  <c r="AA25" i="6"/>
  <c r="N25" i="6"/>
  <c r="AB25" i="6"/>
  <c r="AC19" i="6" s="1"/>
  <c r="Q16" i="6"/>
  <c r="P16" i="6"/>
  <c r="Q14" i="6"/>
  <c r="P14" i="6"/>
  <c r="AB18" i="6"/>
  <c r="AC14" i="6" s="1"/>
  <c r="AA18" i="6"/>
  <c r="N18" i="6"/>
  <c r="Q18" i="6" s="1"/>
  <c r="R14" i="6" s="1"/>
  <c r="P12" i="6"/>
  <c r="Q12" i="6"/>
  <c r="Q11" i="6"/>
  <c r="P11" i="6"/>
  <c r="N13" i="6"/>
  <c r="AB13" i="6"/>
  <c r="AC9" i="6" s="1"/>
  <c r="AA13" i="6"/>
  <c r="Q9" i="6"/>
  <c r="P9" i="6"/>
  <c r="Q6" i="6"/>
  <c r="P6" i="6"/>
  <c r="AB8" i="6"/>
  <c r="AC5" i="6" s="1"/>
  <c r="AA8" i="6"/>
  <c r="N8" i="6"/>
  <c r="P5" i="6"/>
  <c r="Q5" i="6"/>
  <c r="I6" i="2"/>
  <c r="G7" i="2"/>
  <c r="F7" i="2"/>
  <c r="J15" i="2"/>
  <c r="E8" i="2" s="1"/>
  <c r="E7" i="2"/>
  <c r="I7" i="2"/>
  <c r="E6" i="2"/>
  <c r="F6" i="2"/>
  <c r="D14" i="5" l="1"/>
  <c r="D15" i="5" s="1"/>
  <c r="Q8" i="6"/>
  <c r="R5" i="6" s="1"/>
  <c r="P8" i="6"/>
  <c r="D2" i="6"/>
  <c r="E14" i="5"/>
  <c r="E15" i="5" s="1"/>
  <c r="Q13" i="6"/>
  <c r="R9" i="6" s="1"/>
  <c r="P13" i="6"/>
  <c r="P18" i="6"/>
  <c r="F14" i="5"/>
  <c r="F15" i="5" s="1"/>
  <c r="Q25" i="6"/>
  <c r="R19" i="6" s="1"/>
  <c r="P25" i="6"/>
  <c r="G14" i="5"/>
  <c r="G15" i="5" s="1"/>
  <c r="Q34" i="6"/>
  <c r="R26" i="6" s="1"/>
  <c r="P34" i="6"/>
  <c r="K14" i="5"/>
  <c r="P53" i="6"/>
  <c r="H14" i="5"/>
  <c r="H15" i="5" s="1"/>
  <c r="Q67" i="6"/>
  <c r="R61" i="6" s="1"/>
  <c r="P67" i="6"/>
  <c r="P74" i="6"/>
  <c r="Q74" i="6"/>
  <c r="R68" i="6" s="1"/>
  <c r="M14" i="5"/>
  <c r="M15" i="5" s="1"/>
  <c r="G8" i="2"/>
  <c r="F8" i="2"/>
  <c r="K15" i="5" l="1"/>
  <c r="I8" i="5" s="1"/>
  <c r="I7" i="5"/>
  <c r="E8" i="5"/>
  <c r="G8" i="5"/>
  <c r="F8" i="5"/>
  <c r="G7" i="5"/>
  <c r="E7" i="5"/>
  <c r="F7" i="5"/>
  <c r="X70" i="1"/>
  <c r="W70" i="1"/>
  <c r="X45" i="1"/>
  <c r="W45" i="1"/>
  <c r="G11" i="1" l="1"/>
  <c r="U16" i="1"/>
  <c r="U23" i="1"/>
  <c r="U56" i="1"/>
  <c r="G35" i="1" l="1"/>
  <c r="K35" i="1"/>
  <c r="G21" i="1"/>
  <c r="G10" i="1"/>
  <c r="O39" i="1"/>
  <c r="K10" i="1"/>
  <c r="O17" i="1"/>
  <c r="G17" i="1"/>
  <c r="K21" i="1"/>
  <c r="O41" i="1"/>
  <c r="K11" i="1"/>
  <c r="G52" i="1"/>
  <c r="O52" i="1"/>
  <c r="G43" i="1"/>
  <c r="G29" i="1"/>
  <c r="O29" i="1"/>
  <c r="G15" i="1"/>
  <c r="O9" i="1"/>
  <c r="G9" i="1"/>
  <c r="G23" i="1"/>
  <c r="O23" i="1"/>
  <c r="G26" i="1"/>
  <c r="G27" i="1"/>
  <c r="O63" i="1"/>
  <c r="G63" i="1"/>
  <c r="G65" i="1"/>
  <c r="G71" i="1"/>
  <c r="O71" i="1"/>
  <c r="G69" i="1"/>
  <c r="O69" i="1"/>
  <c r="G50" i="1"/>
  <c r="O50" i="1"/>
  <c r="O10" i="1"/>
  <c r="G38" i="1"/>
  <c r="O26" i="1"/>
  <c r="O68" i="1"/>
  <c r="G68" i="1"/>
  <c r="O51" i="1"/>
  <c r="G51" i="1"/>
  <c r="G60" i="1"/>
  <c r="O60" i="1"/>
  <c r="G47" i="1"/>
  <c r="O47" i="1"/>
  <c r="O37" i="1"/>
  <c r="G37" i="1"/>
  <c r="K39" i="1"/>
  <c r="O16" i="1"/>
  <c r="G16" i="1"/>
  <c r="G36" i="1"/>
  <c r="O36" i="1"/>
  <c r="O49" i="1"/>
  <c r="G49" i="1"/>
  <c r="G39" i="1"/>
  <c r="G6" i="1"/>
  <c r="O6" i="1"/>
  <c r="O57" i="1"/>
  <c r="G57" i="1"/>
  <c r="G61" i="1"/>
  <c r="O61" i="1"/>
  <c r="O42" i="1"/>
  <c r="G42" i="1"/>
  <c r="G45" i="1"/>
  <c r="O45" i="1"/>
  <c r="O20" i="1"/>
  <c r="G20" i="1"/>
  <c r="G40" i="1"/>
  <c r="O40" i="1"/>
  <c r="G5" i="1"/>
  <c r="O5" i="1"/>
  <c r="O28" i="1"/>
  <c r="G28" i="1"/>
  <c r="O32" i="1"/>
  <c r="G32" i="1"/>
  <c r="G31" i="1"/>
  <c r="K17" i="1"/>
  <c r="O21" i="1"/>
  <c r="G19" i="1"/>
  <c r="O64" i="1"/>
  <c r="G64" i="1"/>
  <c r="O65" i="1"/>
  <c r="O62" i="1"/>
  <c r="G62" i="1"/>
  <c r="O24" i="1"/>
  <c r="G24" i="1"/>
  <c r="O12" i="1"/>
  <c r="G12" i="1"/>
  <c r="G13" i="1"/>
  <c r="O13" i="1"/>
  <c r="O38" i="1"/>
  <c r="O27" i="1"/>
  <c r="O55" i="1"/>
  <c r="G55" i="1"/>
  <c r="G48" i="1"/>
  <c r="O48" i="1"/>
  <c r="O54" i="1"/>
  <c r="G54" i="1"/>
  <c r="G41" i="1"/>
  <c r="G70" i="1"/>
  <c r="O70" i="1"/>
  <c r="O58" i="1"/>
  <c r="G58" i="1"/>
  <c r="G67" i="1"/>
  <c r="O67" i="1"/>
  <c r="O43" i="1"/>
  <c r="O46" i="1"/>
  <c r="G46" i="1"/>
  <c r="O30" i="1"/>
  <c r="G30" i="1"/>
  <c r="O31" i="1"/>
  <c r="O22" i="1"/>
  <c r="G22" i="1"/>
  <c r="D1" i="1"/>
  <c r="O11" i="1"/>
  <c r="O7" i="1"/>
  <c r="G7" i="1"/>
  <c r="O56" i="1"/>
  <c r="G56" i="1"/>
  <c r="O35" i="1"/>
  <c r="G34" i="1"/>
  <c r="O15" i="1"/>
  <c r="K51" i="1" l="1"/>
  <c r="K30" i="1"/>
  <c r="K41" i="1"/>
  <c r="K23" i="1"/>
  <c r="O44" i="1"/>
  <c r="K63" i="1"/>
  <c r="K48" i="1"/>
  <c r="K22" i="1"/>
  <c r="K12" i="1"/>
  <c r="K24" i="1"/>
  <c r="K38" i="1"/>
  <c r="K52" i="1"/>
  <c r="K28" i="1"/>
  <c r="K70" i="1"/>
  <c r="K31" i="1"/>
  <c r="K56" i="1"/>
  <c r="O25" i="1"/>
  <c r="K40" i="1"/>
  <c r="K65" i="1"/>
  <c r="K29" i="1"/>
  <c r="K46" i="1"/>
  <c r="K55" i="1"/>
  <c r="K13" i="1"/>
  <c r="O34" i="1"/>
  <c r="O19" i="1"/>
  <c r="K68" i="1"/>
  <c r="K69" i="1"/>
  <c r="K71" i="1"/>
  <c r="K7" i="1"/>
  <c r="O72" i="1"/>
  <c r="K16" i="1"/>
  <c r="O66" i="1"/>
  <c r="K60" i="1"/>
  <c r="K67" i="1"/>
  <c r="K32" i="1"/>
  <c r="O53" i="1"/>
  <c r="K37" i="1"/>
  <c r="K50" i="1"/>
  <c r="K27" i="1"/>
  <c r="K43" i="1"/>
  <c r="K54" i="1"/>
  <c r="K45" i="1"/>
  <c r="K36" i="1"/>
  <c r="K62" i="1"/>
  <c r="O8" i="1"/>
  <c r="K9" i="1"/>
  <c r="O59" i="1"/>
  <c r="K5" i="1"/>
  <c r="K42" i="1"/>
  <c r="K57" i="1"/>
  <c r="K6" i="1"/>
  <c r="O14" i="1"/>
  <c r="K15" i="1"/>
  <c r="F1" i="1"/>
  <c r="F2" i="1" s="1"/>
  <c r="K61" i="1"/>
  <c r="K49" i="1"/>
  <c r="K26" i="1"/>
  <c r="O18" i="1"/>
  <c r="K58" i="1"/>
  <c r="K19" i="1"/>
  <c r="O33" i="1"/>
  <c r="K34" i="1"/>
  <c r="K64" i="1"/>
  <c r="K20" i="1"/>
  <c r="K47" i="1"/>
  <c r="K44" i="1" l="1"/>
  <c r="K66" i="1"/>
  <c r="K53" i="1"/>
  <c r="K14" i="1"/>
  <c r="K33" i="1"/>
  <c r="K8" i="1"/>
  <c r="K25" i="1"/>
  <c r="K59" i="1"/>
  <c r="K18" i="1"/>
  <c r="K72" i="1"/>
  <c r="V60" i="1" l="1"/>
  <c r="M60" i="1" s="1"/>
  <c r="AB60" i="1" l="1"/>
  <c r="AA60" i="1"/>
  <c r="N60" i="1"/>
  <c r="U61" i="1"/>
  <c r="Q60" i="1" l="1"/>
  <c r="P60" i="1"/>
  <c r="V61" i="1"/>
  <c r="M61" i="1" s="1"/>
  <c r="U62" i="1" l="1"/>
  <c r="N61" i="1"/>
  <c r="AB61" i="1"/>
  <c r="AA61" i="1"/>
  <c r="Q61" i="1" l="1"/>
  <c r="P61" i="1"/>
  <c r="V62" i="1" l="1"/>
  <c r="M62" i="1" s="1"/>
  <c r="N62" i="1" l="1"/>
  <c r="AB62" i="1"/>
  <c r="AA62" i="1"/>
  <c r="U63" i="1"/>
  <c r="P62" i="1" l="1"/>
  <c r="Q62" i="1"/>
  <c r="V63" i="1"/>
  <c r="M63" i="1" s="1"/>
  <c r="AA63" i="1" l="1"/>
  <c r="N63" i="1"/>
  <c r="AB63" i="1"/>
  <c r="U64" i="1"/>
  <c r="Q63" i="1" l="1"/>
  <c r="P63" i="1"/>
  <c r="V19" i="1" l="1"/>
  <c r="M19" i="1" s="1"/>
  <c r="U20" i="1" l="1"/>
  <c r="AB19" i="1"/>
  <c r="AA19" i="1"/>
  <c r="N19" i="1"/>
  <c r="P19" i="1" l="1"/>
  <c r="Q19" i="1"/>
  <c r="V20" i="1"/>
  <c r="M20" i="1" s="1"/>
  <c r="N20" i="1" l="1"/>
  <c r="AB20" i="1"/>
  <c r="AA20" i="1"/>
  <c r="U21" i="1"/>
  <c r="P20" i="1" l="1"/>
  <c r="Q20" i="1"/>
  <c r="V5" i="1" l="1"/>
  <c r="M5" i="1" s="1"/>
  <c r="AB5" i="1" l="1"/>
  <c r="AA5" i="1"/>
  <c r="N5" i="1"/>
  <c r="Q5" i="1" l="1"/>
  <c r="P5" i="1"/>
  <c r="U6" i="1"/>
  <c r="V6" i="1" l="1"/>
  <c r="M6" i="1" s="1"/>
  <c r="AB6" i="1" l="1"/>
  <c r="AA6" i="1"/>
  <c r="N6" i="1"/>
  <c r="U7" i="1"/>
  <c r="V7" i="1" l="1"/>
  <c r="M7" i="1" s="1"/>
  <c r="Q6" i="1"/>
  <c r="P6" i="1"/>
  <c r="AB7" i="1" l="1"/>
  <c r="AA7" i="1"/>
  <c r="N7" i="1"/>
  <c r="M8" i="1"/>
  <c r="V21" i="1"/>
  <c r="M21" i="1" s="1"/>
  <c r="P7" i="1" l="1"/>
  <c r="Q7" i="1"/>
  <c r="AB8" i="1"/>
  <c r="AC5" i="1" s="1"/>
  <c r="AA8" i="1"/>
  <c r="N8" i="1"/>
  <c r="AA21" i="1"/>
  <c r="N21" i="1"/>
  <c r="AB21" i="1"/>
  <c r="U22" i="1"/>
  <c r="V26" i="1" l="1"/>
  <c r="M26" i="1" s="1"/>
  <c r="W26" i="1"/>
  <c r="Q21" i="1"/>
  <c r="P21" i="1"/>
  <c r="P8" i="1"/>
  <c r="Q8" i="1"/>
  <c r="R5" i="1" s="1"/>
  <c r="V54" i="1"/>
  <c r="M54" i="1" s="1"/>
  <c r="V22" i="1"/>
  <c r="M22" i="1" s="1"/>
  <c r="U55" i="1" l="1"/>
  <c r="AB54" i="1"/>
  <c r="AA54" i="1"/>
  <c r="N54" i="1"/>
  <c r="N22" i="1"/>
  <c r="AB22" i="1"/>
  <c r="AA22" i="1"/>
  <c r="AA26" i="1"/>
  <c r="AB26" i="1"/>
  <c r="N26" i="1"/>
  <c r="V15" i="1"/>
  <c r="M15" i="1" s="1"/>
  <c r="N15" i="1" l="1"/>
  <c r="AB15" i="1"/>
  <c r="AA15" i="1"/>
  <c r="P22" i="1"/>
  <c r="Q22" i="1"/>
  <c r="P54" i="1"/>
  <c r="Q54" i="1"/>
  <c r="Q26" i="1"/>
  <c r="P26" i="1"/>
  <c r="V55" i="1"/>
  <c r="M55" i="1" s="1"/>
  <c r="N55" i="1" l="1"/>
  <c r="AB55" i="1"/>
  <c r="AA55" i="1"/>
  <c r="W67" i="1"/>
  <c r="V67" i="1"/>
  <c r="M67" i="1" s="1"/>
  <c r="Q15" i="1"/>
  <c r="P15" i="1"/>
  <c r="N67" i="1" l="1"/>
  <c r="AB67" i="1"/>
  <c r="AA67" i="1"/>
  <c r="V9" i="1"/>
  <c r="M9" i="1" s="1"/>
  <c r="W9" i="1"/>
  <c r="P55" i="1"/>
  <c r="Q55" i="1"/>
  <c r="V45" i="1"/>
  <c r="M45" i="1" s="1"/>
  <c r="AB45" i="1" l="1"/>
  <c r="AA45" i="1"/>
  <c r="N45" i="1"/>
  <c r="AB9" i="1"/>
  <c r="AA9" i="1"/>
  <c r="N9" i="1"/>
  <c r="W34" i="1"/>
  <c r="V34" i="1"/>
  <c r="M34" i="1" s="1"/>
  <c r="Q67" i="1"/>
  <c r="P67" i="1"/>
  <c r="X67" i="1" l="1"/>
  <c r="U68" i="1"/>
  <c r="AB34" i="1"/>
  <c r="N34" i="1"/>
  <c r="AA34" i="1"/>
  <c r="P9" i="1"/>
  <c r="Q9" i="1"/>
  <c r="P45" i="1"/>
  <c r="Q45" i="1"/>
  <c r="V68" i="1"/>
  <c r="M68" i="1" s="1"/>
  <c r="V23" i="1"/>
  <c r="M23" i="1" s="1"/>
  <c r="N68" i="1" l="1"/>
  <c r="AB68" i="1"/>
  <c r="AA68" i="1"/>
  <c r="P34" i="1"/>
  <c r="Q34" i="1"/>
  <c r="N23" i="1"/>
  <c r="AB23" i="1"/>
  <c r="AA23" i="1"/>
  <c r="U35" i="1"/>
  <c r="X34" i="1"/>
  <c r="U69" i="1"/>
  <c r="U46" i="1"/>
  <c r="U24" i="1"/>
  <c r="V56" i="1"/>
  <c r="M56" i="1" s="1"/>
  <c r="V35" i="1"/>
  <c r="M35" i="1" s="1"/>
  <c r="V24" i="1" l="1"/>
  <c r="M24" i="1" s="1"/>
  <c r="Q23" i="1"/>
  <c r="P23" i="1"/>
  <c r="AA56" i="1"/>
  <c r="N56" i="1"/>
  <c r="AB56" i="1"/>
  <c r="N35" i="1"/>
  <c r="AB35" i="1"/>
  <c r="AA35" i="1"/>
  <c r="P68" i="1"/>
  <c r="Q68" i="1"/>
  <c r="V69" i="1"/>
  <c r="M69" i="1" s="1"/>
  <c r="V46" i="1"/>
  <c r="M46" i="1" s="1"/>
  <c r="U57" i="1"/>
  <c r="U36" i="1"/>
  <c r="Q56" i="1" l="1"/>
  <c r="P56" i="1"/>
  <c r="N69" i="1"/>
  <c r="AB69" i="1"/>
  <c r="AA69" i="1"/>
  <c r="AA46" i="1"/>
  <c r="AB46" i="1"/>
  <c r="N46" i="1"/>
  <c r="Q35" i="1"/>
  <c r="P35" i="1"/>
  <c r="AB24" i="1"/>
  <c r="AA24" i="1"/>
  <c r="N24" i="1"/>
  <c r="M25" i="1"/>
  <c r="U70" i="1"/>
  <c r="U47" i="1"/>
  <c r="V36" i="1"/>
  <c r="M36" i="1" s="1"/>
  <c r="AA25" i="1" l="1"/>
  <c r="N25" i="1"/>
  <c r="AB25" i="1"/>
  <c r="AC19" i="1" s="1"/>
  <c r="P24" i="1"/>
  <c r="Q24" i="1"/>
  <c r="Q69" i="1"/>
  <c r="P69" i="1"/>
  <c r="P46" i="1"/>
  <c r="Q46" i="1"/>
  <c r="N36" i="1"/>
  <c r="AB36" i="1"/>
  <c r="AA36" i="1"/>
  <c r="V70" i="1"/>
  <c r="M70" i="1" s="1"/>
  <c r="V47" i="1"/>
  <c r="M47" i="1" s="1"/>
  <c r="V57" i="1"/>
  <c r="M57" i="1" s="1"/>
  <c r="U37" i="1"/>
  <c r="Q36" i="1" l="1"/>
  <c r="P36" i="1"/>
  <c r="N47" i="1"/>
  <c r="AB47" i="1"/>
  <c r="AA47" i="1"/>
  <c r="Q25" i="1"/>
  <c r="R19" i="1" s="1"/>
  <c r="P25" i="1"/>
  <c r="N70" i="1"/>
  <c r="AB70" i="1"/>
  <c r="AA70" i="1"/>
  <c r="AB57" i="1"/>
  <c r="AA57" i="1"/>
  <c r="N57" i="1"/>
  <c r="U48" i="1"/>
  <c r="U58" i="1"/>
  <c r="V37" i="1"/>
  <c r="M37" i="1" s="1"/>
  <c r="X26" i="1" l="1"/>
  <c r="U27" i="1"/>
  <c r="V27" i="1"/>
  <c r="M27" i="1" s="1"/>
  <c r="P57" i="1"/>
  <c r="Q57" i="1"/>
  <c r="Q47" i="1"/>
  <c r="P47" i="1"/>
  <c r="Q70" i="1"/>
  <c r="P70" i="1"/>
  <c r="AB37" i="1"/>
  <c r="AA37" i="1"/>
  <c r="N37" i="1"/>
  <c r="V58" i="1"/>
  <c r="M58" i="1" s="1"/>
  <c r="V48" i="1"/>
  <c r="M48" i="1" s="1"/>
  <c r="U38" i="1"/>
  <c r="P37" i="1" l="1"/>
  <c r="Q37" i="1"/>
  <c r="AB27" i="1"/>
  <c r="N27" i="1"/>
  <c r="AA27" i="1"/>
  <c r="N48" i="1"/>
  <c r="AB48" i="1"/>
  <c r="AA48" i="1"/>
  <c r="AB58" i="1"/>
  <c r="N58" i="1"/>
  <c r="AA58" i="1"/>
  <c r="M59" i="1"/>
  <c r="U71" i="1"/>
  <c r="U49" i="1"/>
  <c r="U28" i="1"/>
  <c r="V38" i="1"/>
  <c r="M38" i="1" s="1"/>
  <c r="AA38" i="1" l="1"/>
  <c r="N38" i="1"/>
  <c r="AB38" i="1"/>
  <c r="Q27" i="1"/>
  <c r="P27" i="1"/>
  <c r="V28" i="1"/>
  <c r="M28" i="1" s="1"/>
  <c r="Q58" i="1"/>
  <c r="P58" i="1"/>
  <c r="Q48" i="1"/>
  <c r="P48" i="1"/>
  <c r="N59" i="1"/>
  <c r="AB59" i="1"/>
  <c r="AC54" i="1" s="1"/>
  <c r="AA59" i="1"/>
  <c r="V49" i="1"/>
  <c r="M49" i="1" s="1"/>
  <c r="U29" i="1"/>
  <c r="U39" i="1"/>
  <c r="N49" i="1" l="1"/>
  <c r="AB49" i="1"/>
  <c r="AA49" i="1"/>
  <c r="AA28" i="1"/>
  <c r="N28" i="1"/>
  <c r="AB28" i="1"/>
  <c r="Q59" i="1"/>
  <c r="R54" i="1" s="1"/>
  <c r="P59" i="1"/>
  <c r="V71" i="1"/>
  <c r="M71" i="1" s="1"/>
  <c r="Q38" i="1"/>
  <c r="P38" i="1"/>
  <c r="X9" i="1"/>
  <c r="U10" i="1"/>
  <c r="U50" i="1"/>
  <c r="V10" i="1"/>
  <c r="M10" i="1" s="1"/>
  <c r="V29" i="1"/>
  <c r="M29" i="1" s="1"/>
  <c r="W39" i="1" l="1"/>
  <c r="V39" i="1"/>
  <c r="M39" i="1" s="1"/>
  <c r="P28" i="1"/>
  <c r="Q28" i="1"/>
  <c r="AB29" i="1"/>
  <c r="N29" i="1"/>
  <c r="AA29" i="1"/>
  <c r="N71" i="1"/>
  <c r="AB71" i="1"/>
  <c r="AA71" i="1"/>
  <c r="M72" i="1"/>
  <c r="AB10" i="1"/>
  <c r="AA10" i="1"/>
  <c r="N10" i="1"/>
  <c r="P49" i="1"/>
  <c r="Q49" i="1"/>
  <c r="U11" i="1"/>
  <c r="V50" i="1"/>
  <c r="M50" i="1" s="1"/>
  <c r="V16" i="1"/>
  <c r="M16" i="1" s="1"/>
  <c r="U30" i="1"/>
  <c r="AB72" i="1" l="1"/>
  <c r="AC67" i="1" s="1"/>
  <c r="AA72" i="1"/>
  <c r="N72" i="1"/>
  <c r="Q29" i="1"/>
  <c r="P29" i="1"/>
  <c r="AB16" i="1"/>
  <c r="AA16" i="1"/>
  <c r="N16" i="1"/>
  <c r="Q71" i="1"/>
  <c r="P71" i="1"/>
  <c r="P10" i="1"/>
  <c r="Q10" i="1"/>
  <c r="AA39" i="1"/>
  <c r="AB39" i="1"/>
  <c r="N39" i="1"/>
  <c r="AA50" i="1"/>
  <c r="AB50" i="1"/>
  <c r="N50" i="1"/>
  <c r="U51" i="1"/>
  <c r="U17" i="1"/>
  <c r="Q16" i="1" l="1"/>
  <c r="P16" i="1"/>
  <c r="W11" i="1"/>
  <c r="V11" i="1"/>
  <c r="M11" i="1" s="1"/>
  <c r="Q39" i="1"/>
  <c r="P39" i="1"/>
  <c r="W30" i="1"/>
  <c r="V30" i="1"/>
  <c r="M30" i="1" s="1"/>
  <c r="Q72" i="1"/>
  <c r="R67" i="1" s="1"/>
  <c r="P72" i="1"/>
  <c r="Q50" i="1"/>
  <c r="P50" i="1"/>
  <c r="V17" i="1"/>
  <c r="M17" i="1" s="1"/>
  <c r="AA30" i="1" l="1"/>
  <c r="AB30" i="1"/>
  <c r="N30" i="1"/>
  <c r="AA17" i="1"/>
  <c r="N17" i="1"/>
  <c r="AB17" i="1"/>
  <c r="M18" i="1"/>
  <c r="N11" i="1"/>
  <c r="AB11" i="1"/>
  <c r="AA11" i="1"/>
  <c r="X39" i="1"/>
  <c r="U40" i="1"/>
  <c r="V51" i="1"/>
  <c r="M51" i="1" s="1"/>
  <c r="W51" i="1"/>
  <c r="V40" i="1"/>
  <c r="M40" i="1" s="1"/>
  <c r="P17" i="1" l="1"/>
  <c r="Q17" i="1"/>
  <c r="N40" i="1"/>
  <c r="AA40" i="1"/>
  <c r="AB40" i="1"/>
  <c r="Q30" i="1"/>
  <c r="P30" i="1"/>
  <c r="P11" i="1"/>
  <c r="Q11" i="1"/>
  <c r="AB18" i="1"/>
  <c r="AC15" i="1" s="1"/>
  <c r="AA18" i="1"/>
  <c r="N18" i="1"/>
  <c r="N51" i="1"/>
  <c r="AA51" i="1"/>
  <c r="AB51" i="1"/>
  <c r="U41" i="1"/>
  <c r="Q18" i="1" l="1"/>
  <c r="R15" i="1" s="1"/>
  <c r="P18" i="1"/>
  <c r="U12" i="1"/>
  <c r="X11" i="1"/>
  <c r="Q40" i="1"/>
  <c r="P40" i="1"/>
  <c r="X30" i="1"/>
  <c r="U31" i="1"/>
  <c r="Q51" i="1"/>
  <c r="P51" i="1"/>
  <c r="V12" i="1"/>
  <c r="M12" i="1" s="1"/>
  <c r="V31" i="1"/>
  <c r="M31" i="1" s="1"/>
  <c r="V41" i="1"/>
  <c r="M41" i="1" s="1"/>
  <c r="N12" i="1" l="1"/>
  <c r="AB12" i="1"/>
  <c r="AA12" i="1"/>
  <c r="X51" i="1"/>
  <c r="U52" i="1"/>
  <c r="N41" i="1"/>
  <c r="AA41" i="1"/>
  <c r="AB41" i="1"/>
  <c r="AB31" i="1"/>
  <c r="AA31" i="1"/>
  <c r="N31" i="1"/>
  <c r="U13" i="1"/>
  <c r="U32" i="1"/>
  <c r="U42" i="1"/>
  <c r="Q31" i="1" l="1"/>
  <c r="P31" i="1"/>
  <c r="Q41" i="1"/>
  <c r="P41" i="1"/>
  <c r="V52" i="1"/>
  <c r="M52" i="1" s="1"/>
  <c r="Q12" i="1"/>
  <c r="P12" i="1"/>
  <c r="V42" i="1"/>
  <c r="M42" i="1" s="1"/>
  <c r="V13" i="1" l="1"/>
  <c r="M13" i="1" s="1"/>
  <c r="AA52" i="1"/>
  <c r="N52" i="1"/>
  <c r="AB52" i="1"/>
  <c r="M53" i="1"/>
  <c r="AA42" i="1"/>
  <c r="N42" i="1"/>
  <c r="AB42" i="1"/>
  <c r="V32" i="1"/>
  <c r="M32" i="1" s="1"/>
  <c r="U43" i="1"/>
  <c r="Q52" i="1" l="1"/>
  <c r="P52" i="1"/>
  <c r="AA32" i="1"/>
  <c r="N32" i="1"/>
  <c r="AB32" i="1"/>
  <c r="M33" i="1"/>
  <c r="P42" i="1"/>
  <c r="Q42" i="1"/>
  <c r="AB53" i="1"/>
  <c r="AC45" i="1" s="1"/>
  <c r="AA53" i="1"/>
  <c r="N53" i="1"/>
  <c r="AB13" i="1"/>
  <c r="AA13" i="1"/>
  <c r="N13" i="1"/>
  <c r="M14" i="1"/>
  <c r="P53" i="1" l="1"/>
  <c r="Q53" i="1"/>
  <c r="R45" i="1" s="1"/>
  <c r="Q32" i="1"/>
  <c r="P32" i="1"/>
  <c r="V43" i="1"/>
  <c r="M43" i="1" s="1"/>
  <c r="N14" i="1"/>
  <c r="AB14" i="1"/>
  <c r="AC9" i="1" s="1"/>
  <c r="AA14" i="1"/>
  <c r="Q13" i="1"/>
  <c r="P13" i="1"/>
  <c r="N33" i="1"/>
  <c r="AB33" i="1"/>
  <c r="AC26" i="1" s="1"/>
  <c r="AA33" i="1"/>
  <c r="Q33" i="1" l="1"/>
  <c r="R26" i="1" s="1"/>
  <c r="P33" i="1"/>
  <c r="P14" i="1"/>
  <c r="Q14" i="1"/>
  <c r="R9" i="1" s="1"/>
  <c r="AA43" i="1"/>
  <c r="N43" i="1"/>
  <c r="AB43" i="1"/>
  <c r="M44" i="1"/>
  <c r="AB44" i="1" l="1"/>
  <c r="AC34" i="1" s="1"/>
  <c r="AA44" i="1"/>
  <c r="N44" i="1"/>
  <c r="Q43" i="1"/>
  <c r="P43" i="1"/>
  <c r="Q44" i="1" l="1"/>
  <c r="R34" i="1" s="1"/>
  <c r="P44" i="1"/>
  <c r="V64" i="1" l="1"/>
  <c r="M64" i="1" s="1"/>
  <c r="AB64" i="1" l="1"/>
  <c r="AA64" i="1"/>
  <c r="N64" i="1"/>
  <c r="U65" i="1"/>
  <c r="Q64" i="1" l="1"/>
  <c r="P64" i="1"/>
  <c r="V65" i="1" l="1"/>
  <c r="M65" i="1" s="1"/>
  <c r="AB65" i="1" l="1"/>
  <c r="AA65" i="1"/>
  <c r="N65" i="1"/>
  <c r="M66" i="1"/>
  <c r="AB66" i="1" l="1"/>
  <c r="AC60" i="1" s="1"/>
  <c r="AA66" i="1"/>
  <c r="N66" i="1"/>
  <c r="D2" i="1" s="1"/>
  <c r="Q65" i="1"/>
  <c r="P65" i="1"/>
  <c r="Q66" i="1" l="1"/>
  <c r="R60" i="1" s="1"/>
  <c r="P66" i="1"/>
</calcChain>
</file>

<file path=xl/sharedStrings.xml><?xml version="1.0" encoding="utf-8"?>
<sst xmlns="http://schemas.openxmlformats.org/spreadsheetml/2006/main" count="10237" uniqueCount="2049">
  <si>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</si>
  <si>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</si>
  <si>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</si>
  <si>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</si>
  <si>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</si>
  <si>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</si>
  <si>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</si>
  <si>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</si>
  <si>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</si>
  <si>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</si>
  <si>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</si>
  <si>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</si>
  <si>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</si>
  <si>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</si>
  <si>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</si>
  <si>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</si>
  <si>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</si>
  <si>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</si>
  <si>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</si>
  <si>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</si>
  <si>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</si>
  <si>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</si>
  <si>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</si>
  <si>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</si>
  <si>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</si>
  <si>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</si>
  <si>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</si>
  <si>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</si>
  <si>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</si>
  <si>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</si>
  <si>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</si>
  <si>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</si>
  <si>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</si>
  <si>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</si>
  <si>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</si>
  <si>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</si>
  <si>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</si>
  <si>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</si>
  <si>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</si>
  <si>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</si>
  <si>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</si>
  <si>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</si>
  <si>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</si>
  <si>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</si>
  <si>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</si>
  <si>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</si>
  <si>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</si>
  <si>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</si>
  <si>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</si>
  <si>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</si>
  <si>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</si>
  <si>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</si>
  <si>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星期一</t>
  </si>
  <si>
    <t>沙拉</t>
  </si>
  <si>
    <t>青檸烤雞握沙拉(113年)</t>
  </si>
  <si>
    <t>地瓜瓜握沙拉</t>
  </si>
  <si>
    <t>小吃</t>
  </si>
  <si>
    <t>剝皮辣椒雞湯</t>
  </si>
  <si>
    <t>微波主食</t>
  </si>
  <si>
    <t>二配金咖哩濃厚辛辣咖哩飯</t>
  </si>
  <si>
    <t>二配金咖哩果香甘口咖哩飯</t>
  </si>
  <si>
    <t>古早味炒炊粉</t>
  </si>
  <si>
    <t>鐵板滑蛋炸豬排丼</t>
  </si>
  <si>
    <t>極上炙烤親子丼</t>
  </si>
  <si>
    <t>海老鰻魚丼滋丼</t>
  </si>
  <si>
    <t>二配美味蟹煲</t>
  </si>
  <si>
    <t>二配極旨黑咖哩漢堡排飯</t>
  </si>
  <si>
    <t>三明治</t>
  </si>
  <si>
    <t>經典總匯三明治</t>
  </si>
  <si>
    <t>紐奧良風味烤雞鮮蔬三明治</t>
  </si>
  <si>
    <t>起司芋見肉鬆三明治</t>
  </si>
  <si>
    <t>藍莓優格三明治(114年)</t>
  </si>
  <si>
    <t>日式芥末蛋沙拉三明治</t>
  </si>
  <si>
    <t>鮪魚起司溏心蛋三明治</t>
  </si>
  <si>
    <t>瘋狂起司三明治(113年)</t>
  </si>
  <si>
    <t>醬燒烤雞三明治</t>
  </si>
  <si>
    <t>輕乳酪巧克力三明治</t>
  </si>
  <si>
    <t>好多菜三明治</t>
  </si>
  <si>
    <t>龍蝦風味總匯三明治</t>
  </si>
  <si>
    <t>調理麵包</t>
  </si>
  <si>
    <t>豬肉起司堡</t>
  </si>
  <si>
    <t>豬肉起司蛋堡</t>
  </si>
  <si>
    <t>經典雙牛起司堡(113年)</t>
  </si>
  <si>
    <t>美式起司巨牛堡</t>
  </si>
  <si>
    <t>哞哞奶香白醬火腿蛋堡</t>
  </si>
  <si>
    <t>美式雞腿堡</t>
  </si>
  <si>
    <t>泰式酸辣炸雞堡</t>
  </si>
  <si>
    <t>蔥鹽雞肉麵沙拉(114年)</t>
  </si>
  <si>
    <t>莎莎烤雞麵沙拉</t>
  </si>
  <si>
    <t>二配香辣醬蒜味香腸蛋炒飯</t>
  </si>
  <si>
    <t>二配香拌海鮮醬肉絲蛋炒飯</t>
  </si>
  <si>
    <t>二配粗飽系雞排炒飯</t>
  </si>
  <si>
    <t>便當</t>
  </si>
  <si>
    <t>蠟筆小新餐盒</t>
  </si>
  <si>
    <t>香雞蛋堡(112年)</t>
  </si>
  <si>
    <t>黃金魚堡</t>
  </si>
  <si>
    <t>溏心蛋洋芋沙拉</t>
  </si>
  <si>
    <t>美式熱狗堡</t>
  </si>
  <si>
    <t>超HOT雞腿堡(114年)</t>
  </si>
  <si>
    <t>香鬆起司蛋三明治(114年)</t>
  </si>
  <si>
    <t>火腿起司蛋三明治</t>
  </si>
  <si>
    <t>雞蛋沙拉三明治</t>
  </si>
  <si>
    <t>肉鬆火腿三明治</t>
  </si>
  <si>
    <t/>
  </si>
  <si>
    <t>二配煸椒烘蛋飯</t>
  </si>
  <si>
    <t>二配川味麻婆燒豆腐燴飯</t>
  </si>
  <si>
    <t>二配港式香滑嫩蛋牛肉燴飯</t>
  </si>
  <si>
    <t>青醬優格雞肉握沙拉(113年)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</si>
  <si>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</si>
  <si>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</si>
  <si>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</si>
  <si>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</si>
  <si>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</si>
  <si>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</si>
  <si>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</si>
  <si>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</si>
  <si>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</si>
  <si>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</si>
  <si>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</si>
  <si>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</si>
  <si>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</si>
  <si>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排關平均</t>
  </si>
  <si>
    <t>實績平均</t>
  </si>
  <si>
    <t>達成率平均</t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</si>
  <si>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</si>
  <si>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</si>
  <si>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</si>
  <si>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</si>
  <si>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</si>
  <si>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</si>
  <si>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</si>
  <si>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</si>
  <si>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</si>
  <si>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</si>
  <si>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</si>
  <si>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</si>
  <si>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</si>
  <si>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</si>
  <si>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</si>
  <si>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</si>
  <si>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</si>
  <si>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</si>
  <si>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</si>
  <si>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</si>
  <si>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</si>
  <si>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</si>
  <si>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</si>
  <si>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</si>
  <si>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ET-55</t>
  </si>
  <si>
    <t>熱縮爐</t>
  </si>
  <si>
    <t>L型包裝機</t>
    <phoneticPr fontId="4" type="noConversion"/>
  </si>
  <si>
    <t>伺服包裝機</t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</si>
  <si>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</si>
  <si>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</si>
  <si>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</si>
  <si>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</si>
  <si>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</si>
  <si>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</si>
  <si>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</si>
  <si>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</si>
  <si>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生產實績</t>
    <phoneticPr fontId="4" type="noConversion"/>
  </si>
  <si>
    <t>星期二</t>
  </si>
  <si>
    <t>新豐5線</t>
    <phoneticPr fontId="4" type="noConversion"/>
  </si>
  <si>
    <t>韓式泡菜豆腐握沙拉</t>
  </si>
  <si>
    <t>新豐8線</t>
    <phoneticPr fontId="4" type="noConversion"/>
  </si>
  <si>
    <t>陽光地瓜總匯三明治</t>
  </si>
  <si>
    <t>新豐3線</t>
    <phoneticPr fontId="4" type="noConversion"/>
  </si>
  <si>
    <t>新豐1線</t>
    <phoneticPr fontId="4" type="noConversion"/>
  </si>
  <si>
    <t>鳳梨腰果炒飯</t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</si>
  <si>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</si>
  <si>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</si>
  <si>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</si>
  <si>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</si>
  <si>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</si>
  <si>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</si>
  <si>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</si>
  <si>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</si>
  <si>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</si>
  <si>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</si>
  <si>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</si>
  <si>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</si>
  <si>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</si>
  <si>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</si>
  <si>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</si>
  <si>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</si>
  <si>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</si>
  <si>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</si>
  <si>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</si>
  <si>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</si>
  <si>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</si>
  <si>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</si>
  <si>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</si>
  <si>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</si>
  <si>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</si>
  <si>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</si>
  <si>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</si>
  <si>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</si>
  <si>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</si>
  <si>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</si>
  <si>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</si>
  <si>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</si>
  <si>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</si>
  <si>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</si>
  <si>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</si>
  <si>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</si>
  <si>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</si>
  <si>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</si>
  <si>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</si>
  <si>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產線配置圖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</si>
  <si>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</si>
  <si>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</si>
  <si>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</si>
  <si>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</si>
  <si>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</si>
  <si>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</si>
  <si>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</si>
  <si>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</si>
  <si>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</si>
  <si>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</si>
  <si>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</si>
  <si>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</si>
  <si>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</si>
  <si>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</si>
  <si>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</si>
  <si>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</si>
  <si>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</si>
  <si>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</si>
  <si>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</si>
  <si>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</si>
  <si>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</si>
  <si>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</si>
  <si>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</si>
  <si>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</si>
  <si>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新豐7線</t>
    <phoneticPr fontId="4" type="noConversion"/>
  </si>
  <si>
    <t>新豐9線</t>
    <phoneticPr fontId="4" type="noConversion"/>
  </si>
  <si>
    <t>新豐4線</t>
    <phoneticPr fontId="4" type="noConversion"/>
  </si>
  <si>
    <t>平均</t>
    <phoneticPr fontId="4" type="noConversion"/>
  </si>
  <si>
    <t>星期三</t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</si>
  <si>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</si>
  <si>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</si>
  <si>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</si>
  <si>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</si>
  <si>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</si>
  <si>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</si>
  <si>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</si>
  <si>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</si>
  <si>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</si>
  <si>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</si>
  <si>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新豐4線</t>
    <phoneticPr fontId="4" type="noConversion"/>
  </si>
  <si>
    <t>品名</t>
    <phoneticPr fontId="3" type="noConversion"/>
  </si>
  <si>
    <t>人數</t>
    <phoneticPr fontId="4" type="noConversion"/>
  </si>
  <si>
    <t>達成率平均</t>
    <phoneticPr fontId="4" type="noConversion"/>
  </si>
  <si>
    <t>(新豐回填)</t>
    <phoneticPr fontId="4" type="noConversion"/>
  </si>
  <si>
    <t>產能/時</t>
    <phoneticPr fontId="4" type="noConversion"/>
  </si>
  <si>
    <t>新豐10線</t>
    <phoneticPr fontId="4" type="noConversion"/>
  </si>
  <si>
    <t>人時性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</si>
  <si>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</si>
  <si>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</si>
  <si>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</si>
  <si>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</si>
  <si>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</si>
  <si>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</si>
  <si>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</si>
  <si>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</si>
  <si>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</si>
  <si>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</si>
  <si>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</si>
  <si>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</si>
  <si>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</si>
  <si>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</si>
  <si>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</si>
  <si>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</si>
  <si>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</si>
  <si>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</si>
  <si>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</si>
  <si>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</si>
  <si>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</si>
  <si>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</si>
  <si>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開始</t>
    <phoneticPr fontId="4" type="noConversion"/>
  </si>
  <si>
    <t>結束</t>
    <phoneticPr fontId="4" type="noConversion"/>
  </si>
  <si>
    <t>新豐2線</t>
    <phoneticPr fontId="4" type="noConversion"/>
  </si>
  <si>
    <t>人時性</t>
    <phoneticPr fontId="4" type="noConversion"/>
  </si>
  <si>
    <t>平均</t>
    <phoneticPr fontId="4" type="noConversion"/>
  </si>
  <si>
    <t>新豐4線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</si>
  <si>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</si>
  <si>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</si>
  <si>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</si>
  <si>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</si>
  <si>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</si>
  <si>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</si>
  <si>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</si>
  <si>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新豐8線</t>
    <phoneticPr fontId="4" type="noConversion"/>
  </si>
  <si>
    <t>新豐7線</t>
    <phoneticPr fontId="4" type="noConversion"/>
  </si>
  <si>
    <t>新豐5線</t>
    <phoneticPr fontId="4" type="noConversion"/>
  </si>
  <si>
    <t>新豐5線</t>
    <phoneticPr fontId="4" type="noConversion"/>
  </si>
  <si>
    <t>新豐2線</t>
    <phoneticPr fontId="4" type="noConversion"/>
  </si>
  <si>
    <t>新豐6線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</si>
  <si>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</si>
  <si>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</si>
  <si>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</si>
  <si>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</si>
  <si>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</si>
  <si>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(新豐回填)</t>
    <phoneticPr fontId="4" type="noConversion"/>
  </si>
  <si>
    <t>休息時間</t>
    <phoneticPr fontId="4" type="noConversion"/>
  </si>
  <si>
    <t>稼動時間/分</t>
    <phoneticPr fontId="4" type="noConversion"/>
  </si>
  <si>
    <t>達成率</t>
    <phoneticPr fontId="4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</si>
  <si>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</si>
  <si>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</si>
  <si>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</si>
  <si>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</si>
  <si>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產能/時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</si>
  <si>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</si>
  <si>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</si>
  <si>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</si>
  <si>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</si>
  <si>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</si>
  <si>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</si>
  <si>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</si>
  <si>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</si>
  <si>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星期四</t>
  </si>
  <si>
    <t>產能差異分析</t>
    <phoneticPr fontId="4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</si>
  <si>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</si>
  <si>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</si>
  <si>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</si>
  <si>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</si>
  <si>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</si>
  <si>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</si>
  <si>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</si>
  <si>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</si>
  <si>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</si>
  <si>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炒飯+沙拉</t>
    <phoneticPr fontId="4" type="noConversion"/>
  </si>
  <si>
    <t>調理麵包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</si>
  <si>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</si>
  <si>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</si>
  <si>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</si>
  <si>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</si>
  <si>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</si>
  <si>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</si>
  <si>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</si>
  <si>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</si>
  <si>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</si>
  <si>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</si>
  <si>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</si>
  <si>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</si>
  <si>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</si>
  <si>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</si>
  <si>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</si>
  <si>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</si>
  <si>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</si>
  <si>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</si>
  <si>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</si>
  <si>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</si>
  <si>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</si>
  <si>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</si>
  <si>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</si>
  <si>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</si>
  <si>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</si>
  <si>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</si>
  <si>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</si>
  <si>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</si>
  <si>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</si>
  <si>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</si>
  <si>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</si>
  <si>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</si>
  <si>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</si>
  <si>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</si>
  <si>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</si>
  <si>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</si>
  <si>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</si>
  <si>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</si>
  <si>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</si>
  <si>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</si>
  <si>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新豐8線</t>
    <phoneticPr fontId="4" type="noConversion"/>
  </si>
  <si>
    <t>新豐7線</t>
    <phoneticPr fontId="4" type="noConversion"/>
  </si>
  <si>
    <t>新豐5線</t>
    <phoneticPr fontId="4" type="noConversion"/>
  </si>
  <si>
    <t>新豐2線</t>
    <phoneticPr fontId="4" type="noConversion"/>
  </si>
  <si>
    <t>新豐6線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</si>
  <si>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</si>
  <si>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</si>
  <si>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</si>
  <si>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</si>
  <si>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</si>
  <si>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(新豐回填)</t>
    <phoneticPr fontId="4" type="noConversion"/>
  </si>
  <si>
    <t>休息時間</t>
    <phoneticPr fontId="4" type="noConversion"/>
  </si>
  <si>
    <t>稼動時間/分</t>
    <phoneticPr fontId="4" type="noConversion"/>
  </si>
  <si>
    <t>達成率平均</t>
    <phoneticPr fontId="4" type="noConversion"/>
  </si>
  <si>
    <t>達成率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</si>
  <si>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</si>
  <si>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</si>
  <si>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</si>
  <si>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產能/時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</si>
  <si>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</si>
  <si>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</si>
  <si>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</si>
  <si>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</si>
  <si>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</si>
  <si>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</si>
  <si>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</si>
  <si>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</si>
  <si>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</si>
  <si>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星期五</t>
  </si>
  <si>
    <t>產能差異分析</t>
    <phoneticPr fontId="4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</si>
  <si>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</si>
  <si>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</si>
  <si>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</si>
  <si>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</si>
  <si>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</si>
  <si>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</si>
  <si>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</si>
  <si>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</si>
  <si>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</si>
  <si>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</si>
  <si>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</si>
  <si>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</si>
  <si>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</si>
  <si>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</si>
  <si>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</si>
  <si>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</si>
  <si>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</si>
  <si>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</si>
  <si>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</si>
  <si>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</si>
  <si>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</si>
  <si>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</si>
  <si>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</si>
  <si>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</si>
  <si>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</si>
  <si>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</si>
  <si>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</si>
  <si>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</si>
  <si>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</si>
  <si>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</si>
  <si>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</si>
  <si>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</si>
  <si>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</si>
  <si>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</si>
  <si>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</si>
  <si>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</si>
  <si>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</si>
  <si>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</si>
  <si>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</si>
  <si>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</si>
  <si>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</si>
  <si>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</si>
  <si>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</si>
  <si>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</si>
  <si>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</si>
  <si>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</si>
  <si>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</si>
  <si>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</si>
  <si>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</si>
  <si>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</si>
  <si>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</si>
  <si>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</si>
  <si>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</si>
  <si>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</si>
  <si>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</si>
  <si>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星期六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</si>
  <si>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</si>
  <si>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</si>
  <si>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</si>
  <si>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</si>
  <si>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</si>
  <si>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</si>
  <si>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</si>
  <si>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</si>
  <si>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</si>
  <si>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</si>
  <si>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</si>
  <si>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</si>
  <si>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</si>
  <si>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</si>
  <si>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</si>
  <si>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</si>
  <si>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</si>
  <si>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</si>
  <si>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</si>
  <si>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</si>
  <si>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</si>
  <si>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</si>
  <si>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</si>
  <si>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</si>
  <si>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</si>
  <si>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</si>
  <si>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</si>
  <si>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</si>
  <si>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</si>
  <si>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</si>
  <si>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</si>
  <si>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</si>
  <si>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</si>
  <si>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</si>
  <si>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</si>
  <si>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</si>
  <si>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</si>
  <si>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</si>
  <si>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</si>
  <si>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</si>
  <si>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</si>
  <si>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</si>
  <si>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</si>
  <si>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</si>
  <si>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</si>
  <si>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</si>
  <si>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</si>
  <si>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③三明治-各編組展開</t>
    <phoneticPr fontId="4" type="noConversion"/>
  </si>
  <si>
    <t>人時性</t>
    <phoneticPr fontId="4" type="noConversion"/>
  </si>
  <si>
    <t>三明治包裝機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</si>
  <si>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</si>
  <si>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</si>
  <si>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</si>
  <si>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</si>
  <si>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</si>
  <si>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</si>
  <si>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</si>
  <si>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</si>
  <si>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</si>
  <si>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</si>
  <si>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</si>
  <si>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</si>
  <si>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t>新豐4線</t>
    <phoneticPr fontId="4" type="noConversion"/>
  </si>
  <si>
    <t>新豐10線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</si>
  <si>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</si>
  <si>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</si>
  <si>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</si>
  <si>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</si>
  <si>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</si>
  <si>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(新豐回填)</t>
    <phoneticPr fontId="4" type="noConversion"/>
  </si>
  <si>
    <t>休息時間</t>
    <phoneticPr fontId="4" type="noConversion"/>
  </si>
  <si>
    <t>稼動時間/分</t>
    <phoneticPr fontId="4" type="noConversion"/>
  </si>
  <si>
    <t>人數</t>
    <phoneticPr fontId="4" type="noConversion"/>
  </si>
  <si>
    <t>人時性</t>
    <phoneticPr fontId="4" type="noConversion"/>
  </si>
  <si>
    <t>產能/時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</si>
  <si>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</si>
  <si>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</si>
  <si>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</si>
  <si>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</si>
  <si>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</si>
  <si>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</si>
  <si>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</si>
  <si>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</si>
  <si>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星期日</t>
  </si>
  <si>
    <t>產能差異分析</t>
    <phoneticPr fontId="4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</si>
  <si>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</si>
  <si>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</si>
  <si>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</si>
  <si>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</si>
  <si>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</si>
  <si>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</si>
  <si>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</si>
  <si>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</si>
  <si>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</si>
  <si>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</si>
  <si>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</si>
  <si>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</si>
  <si>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</si>
  <si>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</si>
  <si>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</si>
  <si>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</si>
  <si>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</si>
  <si>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</si>
  <si>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</si>
  <si>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</si>
  <si>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</si>
  <si>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</si>
  <si>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</si>
  <si>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</si>
  <si>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</si>
  <si>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</si>
  <si>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</si>
  <si>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</si>
  <si>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</si>
  <si>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</si>
  <si>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</si>
  <si>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</si>
  <si>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</si>
  <si>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</si>
  <si>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</si>
  <si>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</si>
  <si>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</si>
  <si>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</si>
  <si>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</si>
  <si>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</si>
  <si>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</si>
  <si>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</si>
  <si>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</si>
  <si>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</si>
  <si>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</si>
  <si>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調理麵包</t>
    <phoneticPr fontId="4" type="noConversion"/>
  </si>
  <si>
    <t>炒飯+沙拉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</si>
  <si>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</si>
  <si>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</si>
  <si>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</si>
  <si>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</si>
  <si>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</si>
  <si>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</si>
  <si>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</si>
  <si>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</si>
  <si>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</si>
  <si>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</si>
  <si>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</si>
  <si>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</si>
  <si>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</si>
  <si>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</si>
  <si>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</si>
  <si>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</si>
  <si>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</si>
  <si>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</si>
  <si>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</si>
  <si>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</si>
  <si>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</si>
  <si>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</si>
  <si>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</si>
  <si>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</si>
  <si>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</si>
  <si>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</si>
  <si>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</si>
  <si>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</si>
  <si>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</si>
  <si>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</si>
  <si>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</si>
  <si>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</si>
  <si>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</si>
  <si>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平均</t>
    <phoneticPr fontId="4" type="noConversion"/>
  </si>
  <si>
    <t>新豐4線</t>
    <phoneticPr fontId="4" type="noConversion"/>
  </si>
  <si>
    <t>新豐10線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</si>
  <si>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</si>
  <si>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</si>
  <si>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</si>
  <si>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</si>
  <si>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</si>
  <si>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新豐7線</t>
    <phoneticPr fontId="4" type="noConversion"/>
  </si>
  <si>
    <t>新豐5線</t>
    <phoneticPr fontId="4" type="noConversion"/>
  </si>
  <si>
    <t>新豐2線</t>
    <phoneticPr fontId="4" type="noConversion"/>
  </si>
  <si>
    <t>新豐6線</t>
    <phoneticPr fontId="4" type="noConversion"/>
  </si>
  <si>
    <t>新豐6線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</si>
  <si>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</si>
  <si>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</si>
  <si>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</si>
  <si>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</si>
  <si>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</si>
  <si>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(新豐回填)</t>
    <phoneticPr fontId="4" type="noConversion"/>
  </si>
  <si>
    <t>休息時間</t>
    <phoneticPr fontId="4" type="noConversion"/>
  </si>
  <si>
    <t>稼動時間/分</t>
    <phoneticPr fontId="4" type="noConversion"/>
  </si>
  <si>
    <t>達成率平均</t>
    <phoneticPr fontId="4" type="noConversion"/>
  </si>
  <si>
    <t>達成率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</si>
  <si>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</si>
  <si>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</si>
  <si>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</si>
  <si>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</si>
  <si>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</si>
  <si>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</si>
  <si>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</si>
  <si>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</si>
  <si>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</si>
  <si>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</si>
  <si>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</si>
  <si>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</si>
  <si>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產能差異分析</t>
    <phoneticPr fontId="4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</si>
  <si>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</si>
  <si>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</si>
  <si>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</si>
  <si>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</si>
  <si>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</si>
  <si>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</si>
  <si>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</si>
  <si>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</si>
  <si>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</si>
  <si>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</si>
  <si>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</si>
  <si>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</si>
  <si>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</si>
  <si>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</si>
  <si>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</si>
  <si>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</si>
  <si>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</si>
  <si>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</si>
  <si>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</si>
  <si>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</si>
  <si>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</si>
  <si>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</si>
  <si>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</si>
  <si>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</si>
  <si>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</si>
  <si>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</si>
  <si>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</si>
  <si>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</si>
  <si>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</si>
  <si>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</si>
  <si>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</si>
  <si>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</si>
  <si>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</si>
  <si>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</si>
  <si>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</si>
  <si>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</si>
  <si>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</si>
  <si>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</si>
  <si>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</si>
  <si>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</si>
  <si>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</si>
  <si>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</si>
  <si>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</si>
  <si>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</si>
  <si>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</si>
  <si>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</si>
  <si>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</si>
  <si>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</si>
  <si>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</si>
  <si>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</si>
  <si>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</si>
  <si>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</si>
  <si>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</si>
  <si>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</si>
  <si>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</si>
  <si>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</si>
  <si>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新豐3線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</si>
  <si>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</si>
  <si>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</si>
  <si>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</si>
  <si>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</si>
  <si>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</si>
  <si>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</si>
  <si>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</si>
  <si>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</si>
  <si>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</si>
  <si>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</si>
  <si>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新豐2線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</si>
  <si>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</si>
  <si>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</si>
  <si>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</si>
  <si>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(新豐回填)</t>
    <phoneticPr fontId="4" type="noConversion"/>
  </si>
  <si>
    <t>休息時間</t>
    <phoneticPr fontId="4" type="noConversion"/>
  </si>
  <si>
    <t>稼動時間/分</t>
    <phoneticPr fontId="4" type="noConversion"/>
  </si>
  <si>
    <t>人時性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</si>
  <si>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</si>
  <si>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</si>
  <si>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</si>
  <si>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</si>
  <si>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</si>
  <si>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</si>
  <si>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</si>
  <si>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</si>
  <si>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</si>
  <si>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產能差異分析</t>
    <phoneticPr fontId="4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</si>
  <si>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</si>
  <si>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</si>
  <si>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</si>
  <si>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</si>
  <si>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</si>
  <si>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</si>
  <si>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</si>
  <si>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</si>
  <si>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</si>
  <si>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炒飯+沙拉</t>
    <phoneticPr fontId="4" type="noConversion"/>
  </si>
  <si>
    <t>圓盤機</t>
    <phoneticPr fontId="4" type="noConversion"/>
  </si>
  <si>
    <t>L型包裝機</t>
    <phoneticPr fontId="4" type="noConversion"/>
  </si>
  <si>
    <t>※現行日本鮮食廠以達成率80%為基本(即為現行KPI)</t>
    <phoneticPr fontId="4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</si>
  <si>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</si>
  <si>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</si>
  <si>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</si>
  <si>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</si>
  <si>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</si>
  <si>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</si>
  <si>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</si>
  <si>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</si>
  <si>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</si>
  <si>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</si>
  <si>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</si>
  <si>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</si>
  <si>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</si>
  <si>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</si>
  <si>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新豐5線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</si>
  <si>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</si>
  <si>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</si>
  <si>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</si>
  <si>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</si>
  <si>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新豐6線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</si>
  <si>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</si>
  <si>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</si>
  <si>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</si>
  <si>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產能/時</t>
    <phoneticPr fontId="4" type="noConversion"/>
  </si>
  <si>
    <t>休息時間</t>
    <phoneticPr fontId="4" type="noConversion"/>
  </si>
  <si>
    <t>人數</t>
    <phoneticPr fontId="4" type="noConversion"/>
  </si>
  <si>
    <t>人時性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</si>
  <si>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</si>
  <si>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</si>
  <si>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</si>
  <si>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營收</t>
    <phoneticPr fontId="7" type="noConversion"/>
  </si>
  <si>
    <t>生產量</t>
    <phoneticPr fontId="4" type="noConversion"/>
  </si>
  <si>
    <t>線別</t>
    <phoneticPr fontId="3" type="noConversion"/>
  </si>
  <si>
    <t>多次生產數</t>
    <phoneticPr fontId="4" type="noConversion"/>
  </si>
  <si>
    <t>產能差異分析</t>
    <phoneticPr fontId="4" type="noConversion"/>
  </si>
  <si>
    <t>日報登錄</t>
    <phoneticPr fontId="4" type="noConversion"/>
  </si>
  <si>
    <t>生產實績</t>
    <phoneticPr fontId="4" type="noConversion"/>
  </si>
  <si>
    <t>產線配置圖</t>
    <phoneticPr fontId="4" type="noConversion"/>
  </si>
  <si>
    <t>營業額</t>
    <phoneticPr fontId="7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</si>
  <si>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</si>
  <si>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</si>
  <si>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</si>
  <si>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</si>
  <si>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</si>
  <si>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</si>
  <si>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</si>
  <si>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</si>
  <si>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新豐8線</t>
    <phoneticPr fontId="4" type="noConversion"/>
  </si>
  <si>
    <t>新豐7線</t>
    <phoneticPr fontId="4" type="noConversion"/>
  </si>
  <si>
    <t>新豐5線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</si>
  <si>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</si>
  <si>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</si>
  <si>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</si>
  <si>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</si>
  <si>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稼動時間/分</t>
    <phoneticPr fontId="4" type="noConversion"/>
  </si>
  <si>
    <t>人時性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</si>
  <si>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</si>
  <si>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</si>
  <si>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</si>
  <si>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</si>
  <si>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</si>
  <si>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</si>
  <si>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</si>
  <si>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</si>
  <si>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</si>
  <si>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</si>
  <si>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</si>
  <si>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</si>
  <si>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</si>
  <si>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</si>
  <si>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</si>
  <si>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</si>
  <si>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</si>
  <si>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</si>
  <si>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</si>
  <si>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</si>
  <si>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</si>
  <si>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</si>
  <si>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</si>
  <si>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</si>
  <si>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</si>
  <si>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</si>
  <si>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</si>
  <si>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</si>
  <si>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</si>
  <si>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</si>
  <si>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</si>
  <si>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</si>
  <si>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</si>
  <si>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</si>
  <si>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</si>
  <si>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</si>
  <si>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</si>
  <si>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</si>
  <si>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</si>
  <si>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 xml:space="preserve">新豐廠四度C日報分析                              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</si>
  <si>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</si>
  <si>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</si>
  <si>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</si>
  <si>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</si>
  <si>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</si>
  <si>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</si>
  <si>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</si>
  <si>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</si>
  <si>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</si>
  <si>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</si>
  <si>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</si>
  <si>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</si>
  <si>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</si>
  <si>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</si>
  <si>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</si>
  <si>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</si>
  <si>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</si>
  <si>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</si>
  <si>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</si>
  <si>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</si>
  <si>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</si>
  <si>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</si>
  <si>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</si>
  <si>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</si>
  <si>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</si>
  <si>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</si>
  <si>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</si>
  <si>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</si>
  <si>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</si>
  <si>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</si>
  <si>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</si>
  <si>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</si>
  <si>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</si>
  <si>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</si>
  <si>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</si>
  <si>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</si>
  <si>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</si>
  <si>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</si>
  <si>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</si>
  <si>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</si>
  <si>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</si>
  <si>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</si>
  <si>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</si>
  <si>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</si>
  <si>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</si>
  <si>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</si>
  <si>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</si>
  <si>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</si>
  <si>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</si>
  <si>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</si>
  <si>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</si>
  <si>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</si>
  <si>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</si>
  <si>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</si>
  <si>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</si>
  <si>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</si>
  <si>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</si>
  <si>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</si>
  <si>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</si>
  <si>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</si>
  <si>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</si>
  <si>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</si>
  <si>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</si>
  <si>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</si>
  <si>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</si>
  <si>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</si>
  <si>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</si>
  <si>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</si>
  <si>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</si>
  <si>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</si>
  <si>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</si>
  <si>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</si>
  <si>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</si>
  <si>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</si>
  <si>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</si>
  <si>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</si>
  <si>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</si>
  <si>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</si>
  <si>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</si>
  <si>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</si>
  <si>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</si>
  <si>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</si>
  <si>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</si>
  <si>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</si>
  <si>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</si>
  <si>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</si>
  <si>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</si>
  <si>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</si>
  <si>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</si>
  <si>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</si>
  <si>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</si>
  <si>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</si>
  <si>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</si>
  <si>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</si>
  <si>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</si>
  <si>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</si>
  <si>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</si>
  <si>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</si>
  <si>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</si>
  <si>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</si>
  <si>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</si>
  <si>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</si>
  <si>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</si>
  <si>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</si>
  <si>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</si>
  <si>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</si>
  <si>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</si>
  <si>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</si>
  <si>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</si>
  <si>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</si>
  <si>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</si>
  <si>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</si>
  <si>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</si>
  <si>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</si>
  <si>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</si>
  <si>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</si>
  <si>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</si>
  <si>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</si>
  <si>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</si>
  <si>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</si>
  <si>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</si>
  <si>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</si>
  <si>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</si>
  <si>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</si>
  <si>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</si>
  <si>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</si>
  <si>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</si>
  <si>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</si>
  <si>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</si>
  <si>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</si>
  <si>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</si>
  <si>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</si>
  <si>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</si>
  <si>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</si>
  <si>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</si>
  <si>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</si>
  <si>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</si>
  <si>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</si>
  <si>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</si>
  <si>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</si>
  <si>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</si>
  <si>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</si>
  <si>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</si>
  <si>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</si>
  <si>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</si>
  <si>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</si>
  <si>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</si>
  <si>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</si>
  <si>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</si>
  <si>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</si>
  <si>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</si>
  <si>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</si>
  <si>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</si>
  <si>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</si>
  <si>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</si>
  <si>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</si>
  <si>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星期五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</si>
  <si>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</si>
  <si>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</si>
  <si>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</si>
  <si>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</si>
  <si>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</si>
  <si>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</si>
  <si>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</si>
  <si>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</si>
  <si>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</si>
  <si>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</si>
  <si>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</si>
  <si>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</si>
  <si>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</si>
  <si>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</si>
  <si>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</si>
  <si>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</si>
  <si>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</si>
  <si>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</si>
  <si>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</si>
  <si>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</si>
  <si>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</si>
  <si>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</si>
  <si>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</si>
  <si>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</si>
  <si>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</si>
  <si>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</si>
  <si>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</si>
  <si>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</si>
  <si>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</si>
  <si>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</si>
  <si>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</si>
  <si>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</si>
  <si>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</si>
  <si>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</si>
  <si>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</si>
  <si>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</si>
  <si>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</si>
  <si>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</si>
  <si>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</si>
  <si>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</si>
  <si>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</si>
  <si>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</si>
  <si>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</si>
  <si>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</si>
  <si>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</si>
  <si>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</si>
  <si>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</si>
  <si>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</si>
  <si>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</si>
  <si>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</si>
  <si>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</si>
  <si>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</si>
  <si>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</si>
  <si>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</si>
  <si>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</si>
  <si>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</si>
  <si>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</si>
  <si>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</si>
  <si>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</si>
  <si>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</si>
  <si>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</si>
  <si>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</si>
  <si>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</si>
  <si>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</si>
  <si>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</si>
  <si>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</si>
  <si>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</si>
  <si>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新豐8線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</si>
  <si>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</si>
  <si>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</si>
  <si>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</si>
  <si>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</si>
  <si>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</si>
  <si>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</si>
  <si>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</si>
  <si>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</si>
  <si>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</si>
  <si>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</si>
  <si>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</si>
  <si>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</si>
  <si>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</si>
  <si>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</si>
  <si>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</si>
  <si>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</si>
  <si>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</si>
  <si>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</si>
  <si>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</si>
  <si>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</si>
  <si>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</si>
  <si>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</si>
  <si>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</si>
  <si>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</si>
  <si>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</si>
  <si>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</si>
  <si>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</si>
  <si>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</si>
  <si>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</si>
  <si>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</si>
  <si>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</si>
  <si>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</si>
  <si>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</si>
  <si>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</si>
  <si>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</si>
  <si>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</si>
  <si>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</si>
  <si>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</si>
  <si>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</si>
  <si>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</si>
  <si>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</si>
  <si>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</si>
  <si>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</si>
  <si>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</si>
  <si>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</si>
  <si>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</si>
  <si>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</si>
  <si>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</si>
  <si>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</si>
  <si>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</si>
  <si>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</si>
  <si>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</si>
  <si>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</si>
  <si>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</si>
  <si>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</si>
  <si>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</si>
  <si>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</si>
  <si>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</si>
  <si>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</si>
  <si>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</si>
  <si>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</si>
  <si>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</si>
  <si>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</si>
  <si>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</si>
  <si>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</si>
  <si>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</si>
  <si>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</si>
  <si>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</si>
  <si>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</si>
  <si>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</si>
  <si>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</si>
  <si>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</si>
  <si>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</si>
  <si>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</si>
  <si>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</si>
  <si>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</si>
  <si>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</si>
  <si>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</si>
  <si>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</si>
  <si>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</si>
  <si>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</si>
  <si>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</si>
  <si>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</si>
  <si>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花生芝麻麻糬三明治</t>
  </si>
  <si>
    <t>平均</t>
    <phoneticPr fontId="4" type="noConversion"/>
  </si>
  <si>
    <t>新豐10線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</si>
  <si>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</si>
  <si>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</si>
  <si>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</si>
  <si>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經典火腿玉米蛋三明治</t>
  </si>
  <si>
    <t>新豐8線</t>
    <phoneticPr fontId="4" type="noConversion"/>
  </si>
  <si>
    <t>新豐7線</t>
    <phoneticPr fontId="4" type="noConversion"/>
  </si>
  <si>
    <t>白味噌壽喜燒飯</t>
  </si>
  <si>
    <t>新豐5線</t>
    <phoneticPr fontId="4" type="noConversion"/>
  </si>
  <si>
    <t>新豐5線</t>
    <phoneticPr fontId="4" type="noConversion"/>
  </si>
  <si>
    <t>新豐2線</t>
    <phoneticPr fontId="4" type="noConversion"/>
  </si>
  <si>
    <t>新豐6線</t>
    <phoneticPr fontId="4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</si>
  <si>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</si>
  <si>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</si>
  <si>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</si>
  <si>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</si>
  <si>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</si>
  <si>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(新豐回填)</t>
    <phoneticPr fontId="4" type="noConversion"/>
  </si>
  <si>
    <t>休息時間</t>
    <phoneticPr fontId="4" type="noConversion"/>
  </si>
  <si>
    <t>稼動時間/分</t>
    <phoneticPr fontId="4" type="noConversion"/>
  </si>
  <si>
    <t>人時性</t>
    <phoneticPr fontId="4" type="noConversion"/>
  </si>
  <si>
    <t>人數</t>
    <phoneticPr fontId="4" type="noConversion"/>
  </si>
  <si>
    <t>人數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</si>
  <si>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</si>
  <si>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</si>
  <si>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</si>
  <si>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</si>
  <si>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</si>
  <si>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</si>
  <si>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</si>
  <si>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</si>
  <si>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</si>
  <si>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產能差異分析</t>
    <phoneticPr fontId="4" type="noConversion"/>
  </si>
  <si>
    <t>分析說明</t>
    <phoneticPr fontId="4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</si>
  <si>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</si>
  <si>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</si>
  <si>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</si>
  <si>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</si>
  <si>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</si>
  <si>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</si>
  <si>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</si>
  <si>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</si>
  <si>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</si>
  <si>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</si>
  <si>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</si>
  <si>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</si>
  <si>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</si>
  <si>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</si>
  <si>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</si>
  <si>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</si>
  <si>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</si>
  <si>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</si>
  <si>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</si>
  <si>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</si>
  <si>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</si>
  <si>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</si>
  <si>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</si>
  <si>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</si>
  <si>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</si>
  <si>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</si>
  <si>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</si>
  <si>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</si>
  <si>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</si>
  <si>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</si>
  <si>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</si>
  <si>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</si>
  <si>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</si>
  <si>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</si>
  <si>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</si>
  <si>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➂</t>
    <phoneticPr fontId="4" type="noConversion"/>
  </si>
  <si>
    <t>➁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</si>
  <si>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</si>
  <si>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</si>
  <si>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</si>
  <si>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</si>
  <si>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</si>
  <si>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</si>
  <si>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</si>
  <si>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韓式泡菜豆腐握沙拉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</si>
  <si>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</si>
  <si>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</si>
  <si>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</si>
  <si>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</si>
  <si>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</si>
  <si>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</si>
  <si>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</si>
  <si>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</si>
  <si>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</si>
  <si>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</si>
  <si>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</si>
  <si>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</si>
  <si>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</si>
  <si>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</si>
  <si>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</si>
  <si>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</si>
  <si>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</si>
  <si>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</si>
  <si>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</si>
  <si>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</si>
  <si>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</si>
  <si>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</si>
  <si>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</si>
  <si>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</si>
  <si>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</si>
  <si>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</si>
  <si>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</si>
  <si>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</si>
  <si>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</si>
  <si>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</si>
  <si>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</si>
  <si>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</si>
  <si>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</si>
  <si>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</si>
  <si>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</si>
  <si>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</si>
  <si>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</si>
  <si>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</si>
  <si>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</si>
  <si>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</si>
  <si>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</si>
  <si>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</si>
  <si>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</si>
  <si>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</si>
  <si>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</si>
  <si>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</si>
  <si>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</si>
  <si>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</si>
  <si>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</si>
  <si>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</si>
  <si>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</si>
  <si>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</si>
  <si>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</si>
  <si>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</si>
  <si>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</si>
  <si>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</si>
  <si>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</si>
  <si>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</si>
  <si>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</si>
  <si>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</si>
  <si>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</si>
  <si>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</si>
  <si>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</si>
  <si>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</si>
  <si>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</si>
  <si>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</si>
  <si>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</si>
  <si>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</si>
  <si>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</si>
  <si>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</si>
  <si>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</si>
  <si>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</si>
  <si>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</si>
  <si>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</si>
  <si>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</si>
  <si>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</si>
  <si>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</si>
  <si>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</si>
  <si>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</si>
  <si>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</si>
  <si>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</si>
  <si>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</si>
  <si>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</si>
  <si>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</si>
  <si>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</si>
  <si>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</si>
  <si>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</si>
  <si>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</si>
  <si>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</si>
  <si>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</si>
  <si>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</si>
  <si>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</si>
  <si>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</si>
  <si>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</si>
  <si>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</si>
  <si>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</si>
  <si>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</si>
  <si>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</si>
  <si>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</si>
  <si>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</si>
  <si>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</si>
  <si>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</si>
  <si>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</si>
  <si>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</si>
  <si>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</si>
  <si>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</si>
  <si>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</si>
  <si>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</si>
  <si>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</si>
  <si>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</si>
  <si>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</si>
  <si>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</si>
  <si>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</si>
  <si>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</si>
  <si>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</si>
  <si>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</si>
  <si>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</si>
  <si>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</si>
  <si>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</si>
  <si>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</si>
  <si>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</si>
  <si>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</si>
  <si>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</si>
  <si>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</si>
  <si>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</si>
  <si>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</si>
  <si>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</si>
  <si>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</si>
  <si>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</si>
  <si>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</si>
  <si>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</si>
  <si>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</si>
  <si>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</si>
  <si>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</si>
  <si>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</si>
  <si>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</si>
  <si>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</si>
  <si>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</si>
  <si>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</si>
  <si>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</si>
  <si>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</si>
  <si>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</si>
  <si>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</si>
  <si>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</si>
  <si>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</si>
  <si>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</si>
  <si>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</si>
  <si>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</si>
  <si>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</si>
  <si>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</si>
  <si>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</si>
  <si>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</si>
  <si>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</si>
  <si>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</si>
  <si>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</si>
  <si>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</si>
  <si>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</si>
  <si>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</si>
  <si>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</si>
  <si>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</si>
  <si>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</si>
  <si>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</si>
  <si>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</si>
  <si>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</si>
  <si>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</si>
  <si>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</si>
  <si>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配置人數</t>
    <phoneticPr fontId="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</si>
  <si>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</si>
  <si>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</si>
  <si>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</si>
  <si>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</si>
  <si>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</si>
  <si>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</si>
  <si>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</si>
  <si>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</si>
  <si>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</si>
  <si>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</si>
  <si>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</si>
  <si>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</si>
  <si>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</si>
  <si>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</si>
  <si>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</si>
  <si>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</si>
  <si>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</si>
  <si>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</si>
  <si>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</si>
  <si>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</si>
  <si>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</si>
  <si>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</si>
  <si>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</si>
  <si>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</si>
  <si>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</si>
  <si>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</si>
  <si>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</si>
  <si>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</si>
  <si>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</si>
  <si>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</si>
  <si>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</si>
  <si>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</si>
  <si>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</si>
  <si>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</si>
  <si>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</si>
  <si>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</si>
  <si>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</si>
  <si>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</si>
  <si>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</si>
  <si>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</si>
  <si>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</si>
  <si>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</si>
  <si>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</si>
  <si>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</si>
  <si>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</si>
  <si>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</si>
  <si>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</si>
  <si>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</si>
  <si>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</si>
  <si>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</si>
  <si>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</si>
  <si>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</si>
  <si>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</si>
  <si>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</si>
  <si>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</si>
  <si>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</si>
  <si>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</si>
  <si>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</si>
  <si>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</si>
  <si>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</si>
  <si>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</si>
  <si>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</si>
  <si>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</si>
  <si>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</si>
  <si>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</si>
  <si>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</si>
  <si>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日期</t>
    <phoneticPr fontId="3" type="noConversion"/>
  </si>
  <si>
    <t>營業額</t>
    <phoneticPr fontId="3" type="noConversion"/>
  </si>
  <si>
    <t>➀</t>
    <phoneticPr fontId="4" type="noConversion"/>
  </si>
  <si>
    <t>➂</t>
    <phoneticPr fontId="4" type="noConversion"/>
  </si>
  <si>
    <t>溫層</t>
    <phoneticPr fontId="3" type="noConversion"/>
  </si>
  <si>
    <t>作業
時間</t>
    <phoneticPr fontId="3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</si>
  <si>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</si>
  <si>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</si>
  <si>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</si>
  <si>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</si>
  <si>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</si>
  <si>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</si>
  <si>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</si>
  <si>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</si>
  <si>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人時性</t>
    <phoneticPr fontId="4" type="noConversion"/>
  </si>
  <si>
    <t>品名</t>
    <phoneticPr fontId="3" type="noConversion"/>
  </si>
  <si>
    <t>生產量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</si>
  <si>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</si>
  <si>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</si>
  <si>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</si>
  <si>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</si>
  <si>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新豐6線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</si>
  <si>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</si>
  <si>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</si>
  <si>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</si>
  <si>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</si>
  <si>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</si>
  <si>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</si>
  <si>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</si>
  <si>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</si>
  <si>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</si>
  <si>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</si>
  <si>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</si>
  <si>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</si>
  <si>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</si>
  <si>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</si>
  <si>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</si>
  <si>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</si>
  <si>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溫層</t>
    <phoneticPr fontId="3" type="noConversion"/>
  </si>
  <si>
    <t>達成率</t>
    <phoneticPr fontId="3" type="noConversion"/>
  </si>
  <si>
    <t>配置人數</t>
    <phoneticPr fontId="3" type="noConversion"/>
  </si>
  <si>
    <t>主要應用設備</t>
    <phoneticPr fontId="3" type="noConversion"/>
  </si>
  <si>
    <t>三明治包裝機</t>
    <phoneticPr fontId="4" type="noConversion"/>
  </si>
  <si>
    <t>握沙拉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</si>
  <si>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</si>
  <si>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</si>
  <si>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</si>
  <si>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</si>
  <si>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</si>
  <si>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</si>
  <si>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</si>
  <si>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</si>
  <si>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</si>
  <si>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</si>
  <si>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</si>
  <si>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</si>
  <si>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</si>
  <si>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</si>
  <si>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</si>
  <si>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</si>
  <si>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</si>
  <si>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</si>
  <si>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</si>
  <si>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</si>
  <si>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</si>
  <si>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</si>
  <si>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</si>
  <si>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</si>
  <si>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</si>
  <si>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</si>
  <si>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</si>
  <si>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</si>
  <si>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</si>
  <si>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</si>
  <si>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</si>
  <si>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</si>
  <si>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</si>
  <si>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</si>
  <si>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</si>
  <si>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</si>
  <si>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</si>
  <si>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</si>
  <si>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</si>
  <si>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</si>
  <si>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</si>
  <si>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</si>
  <si>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</si>
  <si>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</si>
  <si>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</si>
  <si>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</si>
  <si>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</si>
  <si>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</si>
  <si>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</si>
  <si>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</si>
  <si>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</si>
  <si>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</si>
  <si>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</si>
  <si>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</si>
  <si>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</si>
  <si>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</si>
  <si>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</si>
  <si>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</si>
  <si>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</si>
  <si>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</si>
  <si>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</si>
  <si>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</si>
  <si>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</si>
  <si>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</si>
  <si>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</si>
  <si>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</si>
  <si>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人時性</t>
    <phoneticPr fontId="4" type="noConversion"/>
  </si>
  <si>
    <t>實績</t>
    <phoneticPr fontId="3" type="noConversion"/>
  </si>
  <si>
    <t>L型包裝機</t>
    <phoneticPr fontId="4" type="noConversion"/>
  </si>
  <si>
    <t>握沙拉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</si>
  <si>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</si>
  <si>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</si>
  <si>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</si>
  <si>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</si>
  <si>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</si>
  <si>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</si>
  <si>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</si>
  <si>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</si>
  <si>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生產量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</si>
  <si>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</si>
  <si>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</si>
  <si>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</si>
  <si>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</si>
  <si>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</si>
  <si>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</si>
  <si>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</si>
  <si>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</si>
  <si>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</si>
  <si>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</si>
  <si>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</si>
  <si>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</si>
  <si>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</si>
  <si>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</si>
  <si>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</si>
  <si>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</si>
  <si>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</si>
  <si>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</si>
  <si>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t>泰奶奶蓋QQ三明治</t>
  </si>
  <si>
    <t>古早味炒炊粉</t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</si>
  <si>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</si>
  <si>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</si>
  <si>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</si>
  <si>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</si>
  <si>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</si>
  <si>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</si>
  <si>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</si>
  <si>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</si>
  <si>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</si>
  <si>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</si>
  <si>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</si>
  <si>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</si>
  <si>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</si>
  <si>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</si>
  <si>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</si>
  <si>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</si>
  <si>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</si>
  <si>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</si>
  <si>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</si>
  <si>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</si>
  <si>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</si>
  <si>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</si>
  <si>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</si>
  <si>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</si>
  <si>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</si>
  <si>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</si>
  <si>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</si>
  <si>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</si>
  <si>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</si>
  <si>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</si>
  <si>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</si>
  <si>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</si>
  <si>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</si>
  <si>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生產實績</t>
    <phoneticPr fontId="4" type="noConversion"/>
  </si>
  <si>
    <t>日報登錄</t>
    <phoneticPr fontId="4" type="noConversion"/>
  </si>
  <si>
    <t>產能差異分析</t>
    <phoneticPr fontId="4" type="noConversion"/>
  </si>
  <si>
    <t>線別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</si>
  <si>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</si>
  <si>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</si>
  <si>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</si>
  <si>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</si>
  <si>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</si>
  <si>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</si>
  <si>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</si>
  <si>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</si>
  <si>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</si>
  <si>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</si>
  <si>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</si>
  <si>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</si>
  <si>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</si>
  <si>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</si>
  <si>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</si>
  <si>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</si>
  <si>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</si>
  <si>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</si>
  <si>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</si>
  <si>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</si>
  <si>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</si>
  <si>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</si>
  <si>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</si>
  <si>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</si>
  <si>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</si>
  <si>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</si>
  <si>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</si>
  <si>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</si>
  <si>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</si>
  <si>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</si>
  <si>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</si>
  <si>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</si>
  <si>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</si>
  <si>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</si>
  <si>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</si>
  <si>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</si>
  <si>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</si>
  <si>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</si>
  <si>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</si>
  <si>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</si>
  <si>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</si>
  <si>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</si>
  <si>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</si>
  <si>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</si>
  <si>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</si>
  <si>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</si>
  <si>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</si>
  <si>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</si>
  <si>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</si>
  <si>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</si>
  <si>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</si>
  <si>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</si>
  <si>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</si>
  <si>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</si>
  <si>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</si>
  <si>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</si>
  <si>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</si>
  <si>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</si>
  <si>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</si>
  <si>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</si>
  <si>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</si>
  <si>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</si>
  <si>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</si>
  <si>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</si>
  <si>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</si>
  <si>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</si>
  <si>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</si>
  <si>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</si>
  <si>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</si>
  <si>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</si>
  <si>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</si>
  <si>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</si>
  <si>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</si>
  <si>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</si>
  <si>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</si>
  <si>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</si>
  <si>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</si>
  <si>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</si>
  <si>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</si>
  <si>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</si>
  <si>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</si>
  <si>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</si>
  <si>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</si>
  <si>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</si>
  <si>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</si>
  <si>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</si>
  <si>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</si>
  <si>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</si>
  <si>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</si>
  <si>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</si>
  <si>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</si>
  <si>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</si>
  <si>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</si>
  <si>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</si>
  <si>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</si>
  <si>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</si>
  <si>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</si>
  <si>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</si>
  <si>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</si>
  <si>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</si>
  <si>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</si>
  <si>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全溫層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</si>
  <si>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</si>
  <si>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</si>
  <si>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</si>
  <si>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</si>
  <si>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</si>
  <si>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</si>
  <si>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</si>
  <si>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</si>
  <si>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</si>
  <si>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</si>
  <si>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</si>
  <si>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</si>
  <si>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</si>
  <si>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</si>
  <si>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</si>
  <si>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</si>
  <si>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</si>
  <si>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</si>
  <si>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</si>
  <si>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</si>
  <si>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</si>
  <si>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</si>
  <si>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</si>
  <si>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</si>
  <si>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人時性差異分析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</si>
  <si>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</si>
  <si>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</si>
  <si>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</si>
  <si>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</si>
  <si>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</si>
  <si>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</si>
  <si>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</si>
  <si>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</si>
  <si>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</si>
  <si>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</si>
  <si>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</si>
  <si>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</si>
  <si>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</si>
  <si>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</si>
  <si>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</si>
  <si>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</si>
  <si>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</si>
  <si>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</si>
  <si>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</si>
  <si>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</si>
  <si>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</si>
  <si>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</si>
  <si>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</si>
  <si>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</si>
  <si>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</si>
  <si>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</si>
  <si>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</si>
  <si>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</si>
  <si>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</si>
  <si>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</si>
  <si>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</si>
  <si>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</si>
  <si>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</si>
  <si>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</si>
  <si>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</si>
  <si>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</si>
  <si>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</si>
  <si>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</si>
  <si>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</si>
  <si>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</si>
  <si>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</si>
  <si>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</si>
  <si>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</si>
  <si>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</si>
  <si>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</si>
  <si>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</si>
  <si>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</si>
  <si>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</si>
  <si>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</si>
  <si>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</si>
  <si>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</si>
  <si>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</si>
  <si>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</si>
  <si>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</si>
  <si>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</si>
  <si>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</si>
  <si>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</si>
  <si>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</si>
  <si>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</si>
  <si>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</si>
  <si>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</si>
  <si>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</si>
  <si>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</si>
  <si>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</si>
  <si>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</si>
  <si>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</si>
  <si>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</si>
  <si>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</si>
  <si>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</si>
  <si>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</si>
  <si>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</si>
  <si>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</si>
  <si>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</si>
  <si>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</si>
  <si>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(新豐回填)</t>
    <phoneticPr fontId="4" type="noConversion"/>
  </si>
  <si>
    <t>開始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</si>
  <si>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</si>
  <si>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</si>
  <si>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</si>
  <si>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</si>
  <si>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</si>
  <si>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</si>
  <si>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</si>
  <si>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</si>
  <si>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新豐1線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</si>
  <si>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</si>
  <si>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</si>
  <si>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</si>
  <si>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</si>
  <si>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</si>
  <si>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</si>
  <si>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</si>
  <si>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</si>
  <si>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</si>
  <si>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</si>
  <si>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</si>
  <si>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</si>
  <si>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</si>
  <si>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</si>
  <si>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</si>
  <si>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</si>
  <si>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</si>
  <si>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</si>
  <si>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</si>
  <si>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</si>
  <si>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</si>
  <si>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</si>
  <si>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</si>
  <si>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</si>
  <si>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</si>
  <si>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</si>
  <si>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</si>
  <si>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</si>
  <si>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</si>
  <si>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</si>
  <si>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</si>
  <si>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</si>
  <si>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</si>
  <si>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</si>
  <si>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</si>
  <si>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</si>
  <si>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</si>
  <si>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</si>
  <si>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</si>
  <si>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</si>
  <si>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</si>
  <si>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</si>
  <si>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</si>
  <si>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</si>
  <si>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</si>
  <si>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</si>
  <si>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</si>
  <si>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</si>
  <si>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</si>
  <si>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</si>
  <si>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</si>
  <si>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</si>
  <si>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</si>
  <si>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</si>
  <si>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</si>
  <si>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</si>
  <si>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</si>
  <si>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開始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</si>
  <si>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</si>
  <si>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</si>
  <si>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</si>
  <si>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</si>
  <si>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</si>
  <si>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</si>
  <si>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</si>
  <si>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</si>
  <si>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</si>
  <si>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</si>
  <si>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</si>
  <si>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</si>
  <si>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</si>
  <si>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</si>
  <si>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</si>
  <si>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</si>
  <si>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</si>
  <si>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</si>
  <si>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</si>
  <si>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</si>
  <si>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</si>
  <si>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</si>
  <si>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</si>
  <si>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</si>
  <si>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</si>
  <si>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</si>
  <si>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</si>
  <si>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</si>
  <si>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</si>
  <si>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</si>
  <si>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</si>
  <si>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</si>
  <si>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</si>
  <si>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</si>
  <si>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</si>
  <si>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</si>
  <si>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</si>
  <si>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</si>
  <si>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</si>
  <si>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</si>
  <si>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</si>
  <si>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</si>
  <si>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</si>
  <si>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</si>
  <si>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</si>
  <si>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</si>
  <si>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</si>
  <si>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</si>
  <si>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</si>
  <si>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</si>
  <si>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</si>
  <si>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</si>
  <si>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</si>
  <si>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</si>
  <si>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</si>
  <si>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達成率</t>
    <phoneticPr fontId="4" type="noConversion"/>
  </si>
  <si>
    <t>新豐6線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</si>
  <si>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</si>
  <si>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</si>
  <si>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</si>
  <si>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</si>
  <si>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</si>
  <si>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</si>
  <si>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</si>
  <si>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</si>
  <si>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</si>
  <si>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</si>
  <si>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</si>
  <si>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全溫層</t>
    <phoneticPr fontId="3" type="noConversion"/>
  </si>
  <si>
    <t>溫層</t>
    <phoneticPr fontId="3" type="noConversion"/>
  </si>
  <si>
    <t>配置人數</t>
    <phoneticPr fontId="3" type="noConversion"/>
  </si>
  <si>
    <t>總生產量</t>
    <phoneticPr fontId="4" type="noConversion"/>
  </si>
  <si>
    <t>營業額</t>
    <phoneticPr fontId="7" type="noConversion"/>
  </si>
  <si>
    <t>人時性差異分析</t>
    <phoneticPr fontId="4" type="noConversion"/>
  </si>
  <si>
    <t>分析說明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</si>
  <si>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</si>
  <si>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</si>
  <si>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</si>
  <si>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多次
生產</t>
    <phoneticPr fontId="4" type="noConversion"/>
  </si>
  <si>
    <t>達成率平均</t>
    <phoneticPr fontId="4" type="noConversion"/>
  </si>
  <si>
    <t>休息時間</t>
    <phoneticPr fontId="4" type="noConversion"/>
  </si>
  <si>
    <t>開始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</si>
  <si>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</si>
  <si>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</si>
  <si>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</si>
  <si>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</si>
  <si>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</si>
  <si>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</si>
  <si>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</si>
  <si>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</si>
  <si>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</si>
  <si>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</si>
  <si>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</si>
  <si>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</si>
  <si>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</si>
  <si>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</si>
  <si>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</si>
  <si>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③三明治-各編組展開</t>
    <phoneticPr fontId="4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</si>
  <si>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</si>
  <si>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</si>
  <si>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</si>
  <si>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</si>
  <si>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</si>
  <si>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</si>
  <si>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</si>
  <si>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</si>
  <si>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</si>
  <si>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</si>
  <si>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</si>
  <si>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</si>
  <si>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</si>
  <si>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</si>
  <si>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產能差異分析</t>
    <phoneticPr fontId="4" type="noConversion"/>
  </si>
  <si>
    <t>線別</t>
    <phoneticPr fontId="3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</si>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</sst>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_-* #,##0_-;\-* #,##0_-;_-* &quot;-&quot;??_-;_-@_-"/>
    <numFmt numFmtId="183" formatCode="0,000&quot;元&quot;"/>
  </numFmts>
  <fonts count="2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12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18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6" fillId="3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1" fontId="6" fillId="0" borderId="1" xfId="1" applyNumberFormat="1" applyFont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2" xfId="1" applyNumberFormat="1" applyFont="1" applyFill="1" applyBorder="1" applyAlignment="1">
      <alignment horizontal="left" vertical="center"/>
    </xf>
    <xf numFmtId="176" fontId="2" fillId="0" borderId="3" xfId="1" applyNumberFormat="1" applyFont="1" applyFill="1" applyBorder="1">
      <alignment vertical="center"/>
    </xf>
    <xf numFmtId="1" fontId="6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left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/>
    <xf numFmtId="177" fontId="6" fillId="0" borderId="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/>
    <xf numFmtId="3" fontId="6" fillId="0" borderId="1" xfId="1" applyNumberFormat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14" fillId="0" borderId="0" xfId="4" applyFont="1" applyAlignment="1">
      <alignment vertical="center"/>
    </xf>
    <xf numFmtId="0" fontId="6" fillId="0" borderId="0" xfId="4" applyFont="1">
      <alignment vertical="center"/>
    </xf>
    <xf numFmtId="0" fontId="14" fillId="0" borderId="0" xfId="4" applyFont="1" applyBorder="1" applyAlignment="1">
      <alignment vertical="center"/>
    </xf>
    <xf numFmtId="0" fontId="5" fillId="0" borderId="1" xfId="5" applyFont="1" applyBorder="1" applyAlignment="1">
      <alignment horizontal="center" vertical="center"/>
    </xf>
    <xf numFmtId="0" fontId="6" fillId="0" borderId="10" xfId="5" applyFont="1" applyBorder="1">
      <alignment vertical="center"/>
    </xf>
    <xf numFmtId="0" fontId="6" fillId="0" borderId="0" xfId="5" applyFont="1" applyBorder="1">
      <alignment vertical="center"/>
    </xf>
    <xf numFmtId="0" fontId="6" fillId="0" borderId="0" xfId="5" applyFont="1">
      <alignment vertical="center"/>
    </xf>
    <xf numFmtId="0" fontId="19" fillId="0" borderId="0" xfId="5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20" fillId="0" borderId="0" xfId="5" applyFont="1" applyBorder="1" applyAlignment="1">
      <alignment vertical="center"/>
    </xf>
    <xf numFmtId="0" fontId="2" fillId="0" borderId="0" xfId="5" applyFont="1">
      <alignment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 wrapText="1"/>
    </xf>
    <xf numFmtId="0" fontId="9" fillId="0" borderId="20" xfId="4" applyFont="1" applyBorder="1" applyAlignment="1">
      <alignment horizontal="center" vertical="center" wrapText="1"/>
    </xf>
    <xf numFmtId="0" fontId="9" fillId="0" borderId="21" xfId="4" applyFont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 wrapText="1"/>
    </xf>
    <xf numFmtId="177" fontId="6" fillId="0" borderId="22" xfId="4" applyNumberFormat="1" applyFont="1" applyFill="1" applyBorder="1" applyAlignment="1">
      <alignment horizontal="center" vertical="center" wrapText="1"/>
    </xf>
    <xf numFmtId="177" fontId="6" fillId="0" borderId="23" xfId="4" applyNumberFormat="1" applyFont="1" applyFill="1" applyBorder="1" applyAlignment="1">
      <alignment horizontal="center" vertical="center" wrapText="1"/>
    </xf>
    <xf numFmtId="177" fontId="6" fillId="0" borderId="20" xfId="4" applyNumberFormat="1" applyFont="1" applyFill="1" applyBorder="1" applyAlignment="1">
      <alignment horizontal="center" vertical="center" wrapText="1"/>
    </xf>
    <xf numFmtId="177" fontId="6" fillId="0" borderId="21" xfId="4" applyNumberFormat="1" applyFont="1" applyFill="1" applyBorder="1" applyAlignment="1">
      <alignment horizontal="center" vertical="center" wrapText="1"/>
    </xf>
    <xf numFmtId="177" fontId="6" fillId="0" borderId="24" xfId="4" applyNumberFormat="1" applyFont="1" applyFill="1" applyBorder="1" applyAlignment="1">
      <alignment horizontal="center" vertical="center" wrapText="1"/>
    </xf>
    <xf numFmtId="177" fontId="6" fillId="0" borderId="25" xfId="4" applyNumberFormat="1" applyFont="1" applyFill="1" applyBorder="1" applyAlignment="1">
      <alignment horizontal="center" vertical="center" wrapText="1"/>
    </xf>
    <xf numFmtId="0" fontId="22" fillId="0" borderId="15" xfId="5" applyFont="1" applyBorder="1" applyAlignment="1">
      <alignment horizontal="center" vertical="center" wrapText="1"/>
    </xf>
    <xf numFmtId="177" fontId="22" fillId="0" borderId="19" xfId="4" applyNumberFormat="1" applyFont="1" applyFill="1" applyBorder="1" applyAlignment="1">
      <alignment horizontal="center" vertical="center"/>
    </xf>
    <xf numFmtId="177" fontId="22" fillId="0" borderId="20" xfId="4" applyNumberFormat="1" applyFont="1" applyFill="1" applyBorder="1" applyAlignment="1">
      <alignment horizontal="center" vertical="center"/>
    </xf>
    <xf numFmtId="177" fontId="22" fillId="0" borderId="21" xfId="4" applyNumberFormat="1" applyFont="1" applyFill="1" applyBorder="1" applyAlignment="1">
      <alignment horizontal="center" vertical="center"/>
    </xf>
    <xf numFmtId="177" fontId="22" fillId="0" borderId="24" xfId="4" applyNumberFormat="1" applyFont="1" applyFill="1" applyBorder="1" applyAlignment="1">
      <alignment horizontal="center" vertical="center"/>
    </xf>
    <xf numFmtId="177" fontId="22" fillId="0" borderId="25" xfId="4" applyNumberFormat="1" applyFont="1" applyFill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180" fontId="22" fillId="0" borderId="19" xfId="3" applyNumberFormat="1" applyFont="1" applyFill="1" applyBorder="1" applyAlignment="1">
      <alignment horizontal="center" vertical="center"/>
    </xf>
    <xf numFmtId="180" fontId="22" fillId="0" borderId="20" xfId="3" applyNumberFormat="1" applyFont="1" applyFill="1" applyBorder="1" applyAlignment="1">
      <alignment horizontal="center" vertical="center"/>
    </xf>
    <xf numFmtId="180" fontId="22" fillId="0" borderId="21" xfId="3" applyNumberFormat="1" applyFont="1" applyFill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181" fontId="6" fillId="0" borderId="14" xfId="1" applyNumberFormat="1" applyFont="1" applyFill="1" applyBorder="1" applyAlignment="1">
      <alignment horizontal="center" vertical="center"/>
    </xf>
    <xf numFmtId="181" fontId="6" fillId="0" borderId="15" xfId="1" applyNumberFormat="1" applyFont="1" applyFill="1" applyBorder="1" applyAlignment="1">
      <alignment horizontal="center" vertical="center"/>
    </xf>
    <xf numFmtId="181" fontId="6" fillId="0" borderId="14" xfId="7" applyNumberFormat="1" applyFont="1" applyFill="1" applyBorder="1" applyAlignment="1">
      <alignment horizontal="center" vertical="center"/>
    </xf>
    <xf numFmtId="181" fontId="6" fillId="0" borderId="1" xfId="7" applyNumberFormat="1" applyFont="1" applyFill="1" applyBorder="1" applyAlignment="1">
      <alignment horizontal="center" vertical="center"/>
    </xf>
    <xf numFmtId="181" fontId="6" fillId="0" borderId="15" xfId="7" applyNumberFormat="1" applyFont="1" applyFill="1" applyBorder="1" applyAlignment="1">
      <alignment horizontal="center" vertical="center"/>
    </xf>
    <xf numFmtId="1" fontId="6" fillId="0" borderId="26" xfId="4" applyNumberFormat="1" applyFont="1" applyFill="1" applyBorder="1" applyAlignment="1">
      <alignment horizontal="center" vertical="center"/>
    </xf>
    <xf numFmtId="1" fontId="6" fillId="0" borderId="27" xfId="4" applyNumberFormat="1" applyFont="1" applyFill="1" applyBorder="1" applyAlignment="1">
      <alignment horizontal="center" vertical="center"/>
    </xf>
    <xf numFmtId="1" fontId="6" fillId="0" borderId="28" xfId="4" applyNumberFormat="1" applyFont="1" applyFill="1" applyBorder="1" applyAlignment="1">
      <alignment horizontal="center" vertical="center"/>
    </xf>
    <xf numFmtId="0" fontId="9" fillId="0" borderId="14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6" fillId="0" borderId="31" xfId="4" applyFont="1" applyBorder="1">
      <alignment vertical="center"/>
    </xf>
    <xf numFmtId="0" fontId="6" fillId="0" borderId="33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176" fontId="23" fillId="0" borderId="3" xfId="1" applyNumberFormat="1" applyFont="1" applyFill="1" applyBorder="1">
      <alignment vertical="center"/>
    </xf>
    <xf numFmtId="176" fontId="23" fillId="0" borderId="2" xfId="1" applyNumberFormat="1" applyFont="1" applyFill="1" applyBorder="1" applyAlignment="1">
      <alignment horizontal="left" vertical="center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9" fillId="0" borderId="0" xfId="1" applyFont="1" applyFill="1">
      <alignment vertical="center"/>
    </xf>
    <xf numFmtId="2" fontId="2" fillId="0" borderId="1" xfId="1" applyNumberFormat="1" applyFont="1" applyFill="1" applyBorder="1">
      <alignment vertical="center"/>
    </xf>
    <xf numFmtId="177" fontId="9" fillId="0" borderId="1" xfId="1" applyNumberFormat="1" applyFont="1" applyFill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>
      <alignment vertical="center"/>
    </xf>
    <xf numFmtId="0" fontId="5" fillId="0" borderId="1" xfId="1" applyFont="1" applyFill="1" applyBorder="1" applyAlignment="1">
      <alignment horizontal="center" vertical="center"/>
    </xf>
    <xf numFmtId="1" fontId="6" fillId="14" borderId="1" xfId="1" applyNumberFormat="1" applyFont="1" applyFill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178" fontId="6" fillId="0" borderId="1" xfId="1" applyNumberFormat="1" applyFont="1" applyFill="1" applyBorder="1" applyAlignment="1">
      <alignment horizontal="center" vertical="center"/>
    </xf>
    <xf numFmtId="179" fontId="6" fillId="0" borderId="1" xfId="1" applyNumberFormat="1" applyFont="1" applyFill="1" applyBorder="1" applyAlignment="1">
      <alignment horizontal="center" vertical="center"/>
    </xf>
    <xf numFmtId="180" fontId="6" fillId="0" borderId="1" xfId="3" applyNumberFormat="1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43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45" xfId="5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6" fillId="0" borderId="35" xfId="4" applyFont="1" applyBorder="1" applyAlignment="1">
      <alignment horizontal="center" vertical="center"/>
    </xf>
    <xf numFmtId="0" fontId="21" fillId="5" borderId="11" xfId="4" applyFont="1" applyFill="1" applyBorder="1" applyAlignment="1">
      <alignment horizontal="center" vertical="center"/>
    </xf>
    <xf numFmtId="0" fontId="21" fillId="5" borderId="13" xfId="4" applyFont="1" applyFill="1" applyBorder="1" applyAlignment="1">
      <alignment horizontal="center" vertical="center"/>
    </xf>
    <xf numFmtId="0" fontId="21" fillId="5" borderId="12" xfId="4" applyFont="1" applyFill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37" xfId="5" applyFont="1" applyBorder="1" applyAlignment="1">
      <alignment horizontal="center" vertical="center"/>
    </xf>
    <xf numFmtId="0" fontId="6" fillId="0" borderId="38" xfId="5" applyFont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2" fillId="0" borderId="29" xfId="5" applyFont="1" applyBorder="1" applyAlignment="1">
      <alignment horizontal="center" vertical="center" textRotation="255"/>
    </xf>
    <xf numFmtId="0" fontId="2" fillId="0" borderId="40" xfId="5" applyFont="1" applyBorder="1" applyAlignment="1">
      <alignment horizontal="center" vertical="center" textRotation="255"/>
    </xf>
    <xf numFmtId="0" fontId="2" fillId="0" borderId="41" xfId="5" applyFont="1" applyBorder="1" applyAlignment="1">
      <alignment horizontal="center" vertical="center" textRotation="255"/>
    </xf>
    <xf numFmtId="177" fontId="5" fillId="0" borderId="2" xfId="6" applyNumberFormat="1" applyFont="1" applyBorder="1" applyAlignment="1">
      <alignment horizontal="center" vertical="center"/>
    </xf>
    <xf numFmtId="177" fontId="5" fillId="0" borderId="3" xfId="6" applyNumberFormat="1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 wrapText="1"/>
    </xf>
    <xf numFmtId="0" fontId="6" fillId="0" borderId="41" xfId="5" applyFont="1" applyBorder="1" applyAlignment="1">
      <alignment horizontal="center" vertical="center" wrapText="1"/>
    </xf>
    <xf numFmtId="0" fontId="18" fillId="0" borderId="2" xfId="5" applyFont="1" applyBorder="1" applyAlignment="1">
      <alignment horizontal="center" vertical="center"/>
    </xf>
    <xf numFmtId="0" fontId="18" fillId="0" borderId="3" xfId="5" applyFont="1" applyBorder="1" applyAlignment="1">
      <alignment horizontal="center" vertical="center"/>
    </xf>
    <xf numFmtId="177" fontId="18" fillId="6" borderId="2" xfId="5" applyNumberFormat="1" applyFont="1" applyFill="1" applyBorder="1" applyAlignment="1">
      <alignment horizontal="center" vertical="center"/>
    </xf>
    <xf numFmtId="177" fontId="18" fillId="6" borderId="3" xfId="5" applyNumberFormat="1" applyFont="1" applyFill="1" applyBorder="1" applyAlignment="1">
      <alignment horizontal="center" vertical="center"/>
    </xf>
    <xf numFmtId="177" fontId="18" fillId="6" borderId="2" xfId="6" applyNumberFormat="1" applyFont="1" applyFill="1" applyBorder="1" applyAlignment="1">
      <alignment horizontal="center" vertical="center"/>
    </xf>
    <xf numFmtId="177" fontId="18" fillId="6" borderId="3" xfId="6" applyNumberFormat="1" applyFont="1" applyFill="1" applyBorder="1" applyAlignment="1">
      <alignment horizontal="center" vertical="center"/>
    </xf>
    <xf numFmtId="180" fontId="18" fillId="0" borderId="2" xfId="5" applyNumberFormat="1" applyFont="1" applyBorder="1" applyAlignment="1">
      <alignment horizontal="center" vertical="center"/>
    </xf>
    <xf numFmtId="180" fontId="18" fillId="0" borderId="3" xfId="5" applyNumberFormat="1" applyFont="1" applyBorder="1" applyAlignment="1">
      <alignment horizontal="center" vertical="center"/>
    </xf>
    <xf numFmtId="180" fontId="18" fillId="0" borderId="2" xfId="3" applyNumberFormat="1" applyFont="1" applyFill="1" applyBorder="1" applyAlignment="1">
      <alignment horizontal="center" vertical="center"/>
    </xf>
    <xf numFmtId="180" fontId="18" fillId="0" borderId="3" xfId="3" applyNumberFormat="1" applyFont="1" applyFill="1" applyBorder="1" applyAlignment="1">
      <alignment horizontal="center" vertical="center"/>
    </xf>
    <xf numFmtId="0" fontId="6" fillId="0" borderId="11" xfId="5" applyFont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21" fillId="3" borderId="11" xfId="4" applyFont="1" applyFill="1" applyBorder="1" applyAlignment="1">
      <alignment horizontal="center" vertical="center"/>
    </xf>
    <xf numFmtId="0" fontId="21" fillId="3" borderId="13" xfId="4" applyFont="1" applyFill="1" applyBorder="1" applyAlignment="1">
      <alignment horizontal="center" vertical="center"/>
    </xf>
    <xf numFmtId="0" fontId="21" fillId="3" borderId="12" xfId="4" applyFont="1" applyFill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4" fillId="0" borderId="9" xfId="4" applyFont="1" applyBorder="1" applyAlignment="1">
      <alignment horizontal="center" vertical="center"/>
    </xf>
    <xf numFmtId="0" fontId="16" fillId="13" borderId="2" xfId="5" applyFont="1" applyFill="1" applyBorder="1" applyAlignment="1">
      <alignment horizontal="center" vertical="center"/>
    </xf>
    <xf numFmtId="0" fontId="16" fillId="13" borderId="3" xfId="5" applyFont="1" applyFill="1" applyBorder="1" applyAlignment="1">
      <alignment horizontal="center" vertical="center"/>
    </xf>
    <xf numFmtId="182" fontId="5" fillId="0" borderId="2" xfId="6" applyNumberFormat="1" applyFont="1" applyBorder="1" applyAlignment="1">
      <alignment horizontal="center" vertical="center"/>
    </xf>
    <xf numFmtId="182" fontId="5" fillId="0" borderId="3" xfId="6" applyNumberFormat="1" applyFont="1" applyBorder="1" applyAlignment="1">
      <alignment horizontal="center" vertical="center"/>
    </xf>
    <xf numFmtId="183" fontId="5" fillId="0" borderId="2" xfId="6" applyNumberFormat="1" applyFont="1" applyBorder="1" applyAlignment="1">
      <alignment horizontal="center" vertical="center"/>
    </xf>
    <xf numFmtId="183" fontId="5" fillId="0" borderId="3" xfId="6" applyNumberFormat="1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182" fontId="2" fillId="3" borderId="2" xfId="6" applyNumberFormat="1" applyFont="1" applyFill="1" applyBorder="1" applyAlignment="1">
      <alignment horizontal="center" vertical="center"/>
    </xf>
    <xf numFmtId="182" fontId="2" fillId="3" borderId="3" xfId="6" applyNumberFormat="1" applyFont="1" applyFill="1" applyBorder="1" applyAlignment="1">
      <alignment horizontal="center" vertical="center"/>
    </xf>
    <xf numFmtId="182" fontId="2" fillId="5" borderId="2" xfId="6" applyNumberFormat="1" applyFont="1" applyFill="1" applyBorder="1" applyAlignment="1">
      <alignment horizontal="center" vertical="center"/>
    </xf>
    <xf numFmtId="182" fontId="2" fillId="5" borderId="3" xfId="6" applyNumberFormat="1" applyFont="1" applyFill="1" applyBorder="1" applyAlignment="1">
      <alignment horizontal="center" vertical="center"/>
    </xf>
    <xf numFmtId="177" fontId="5" fillId="0" borderId="2" xfId="5" applyNumberFormat="1" applyFont="1" applyBorder="1" applyAlignment="1">
      <alignment horizontal="center" vertical="center"/>
    </xf>
    <xf numFmtId="177" fontId="5" fillId="0" borderId="3" xfId="5" applyNumberFormat="1" applyFont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180" fontId="6" fillId="0" borderId="4" xfId="3" applyNumberFormat="1" applyFont="1" applyBorder="1" applyAlignment="1">
      <alignment horizontal="center" vertical="center"/>
    </xf>
    <xf numFmtId="180" fontId="6" fillId="0" borderId="8" xfId="3" applyNumberFormat="1" applyFont="1" applyBorder="1" applyAlignment="1">
      <alignment horizontal="center" vertical="center"/>
    </xf>
    <xf numFmtId="180" fontId="6" fillId="0" borderId="5" xfId="3" applyNumberFormat="1" applyFont="1" applyBorder="1" applyAlignment="1">
      <alignment horizontal="center" vertical="center"/>
    </xf>
    <xf numFmtId="0" fontId="6" fillId="0" borderId="2" xfId="1" applyFont="1" applyFill="1" applyBorder="1" applyAlignment="1"/>
    <xf numFmtId="0" fontId="6" fillId="0" borderId="3" xfId="1" applyFont="1" applyFill="1" applyBorder="1" applyAlignment="1"/>
    <xf numFmtId="0" fontId="6" fillId="11" borderId="1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/>
    </xf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9" borderId="6" xfId="1" applyFont="1" applyFill="1" applyBorder="1" applyAlignment="1">
      <alignment horizontal="center" vertical="center" wrapText="1"/>
    </xf>
    <xf numFmtId="0" fontId="6" fillId="9" borderId="7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left"/>
    </xf>
    <xf numFmtId="0" fontId="6" fillId="0" borderId="3" xfId="2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180" fontId="6" fillId="0" borderId="4" xfId="3" applyNumberFormat="1" applyFont="1" applyFill="1" applyBorder="1" applyAlignment="1">
      <alignment horizontal="center" vertical="center"/>
    </xf>
    <xf numFmtId="180" fontId="6" fillId="0" borderId="8" xfId="3" applyNumberFormat="1" applyFont="1" applyFill="1" applyBorder="1" applyAlignment="1">
      <alignment horizontal="center" vertical="center"/>
    </xf>
    <xf numFmtId="180" fontId="6" fillId="0" borderId="5" xfId="3" applyNumberFormat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16" fillId="13" borderId="1" xfId="5" applyFont="1" applyFill="1" applyBorder="1" applyAlignment="1">
      <alignment horizontal="center" vertical="center"/>
    </xf>
    <xf numFmtId="182" fontId="5" fillId="0" borderId="1" xfId="6" applyNumberFormat="1" applyFont="1" applyBorder="1" applyAlignment="1">
      <alignment horizontal="center" vertical="center"/>
    </xf>
    <xf numFmtId="183" fontId="5" fillId="0" borderId="1" xfId="6" applyNumberFormat="1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center"/>
    </xf>
    <xf numFmtId="182" fontId="2" fillId="3" borderId="1" xfId="6" applyNumberFormat="1" applyFont="1" applyFill="1" applyBorder="1" applyAlignment="1">
      <alignment horizontal="center" vertical="center"/>
    </xf>
    <xf numFmtId="182" fontId="2" fillId="5" borderId="1" xfId="6" applyNumberFormat="1" applyFont="1" applyFill="1" applyBorder="1" applyAlignment="1">
      <alignment horizontal="center" vertical="center"/>
    </xf>
    <xf numFmtId="177" fontId="5" fillId="0" borderId="1" xfId="5" applyNumberFormat="1" applyFont="1" applyBorder="1" applyAlignment="1">
      <alignment horizontal="center" vertical="center"/>
    </xf>
    <xf numFmtId="177" fontId="5" fillId="0" borderId="1" xfId="6" applyNumberFormat="1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 wrapText="1"/>
    </xf>
    <xf numFmtId="0" fontId="6" fillId="0" borderId="14" xfId="5" applyFont="1" applyBorder="1" applyAlignment="1">
      <alignment horizontal="center" vertical="center"/>
    </xf>
    <xf numFmtId="0" fontId="18" fillId="0" borderId="1" xfId="5" applyFont="1" applyBorder="1" applyAlignment="1">
      <alignment horizontal="center" vertical="center"/>
    </xf>
    <xf numFmtId="177" fontId="18" fillId="6" borderId="1" xfId="5" applyNumberFormat="1" applyFont="1" applyFill="1" applyBorder="1" applyAlignment="1">
      <alignment horizontal="center" vertical="center"/>
    </xf>
    <xf numFmtId="0" fontId="18" fillId="6" borderId="1" xfId="5" applyFont="1" applyFill="1" applyBorder="1" applyAlignment="1">
      <alignment horizontal="center" vertical="center"/>
    </xf>
    <xf numFmtId="177" fontId="18" fillId="6" borderId="1" xfId="6" applyNumberFormat="1" applyFont="1" applyFill="1" applyBorder="1" applyAlignment="1">
      <alignment horizontal="center" vertical="center"/>
    </xf>
    <xf numFmtId="180" fontId="18" fillId="0" borderId="1" xfId="5" applyNumberFormat="1" applyFont="1" applyBorder="1" applyAlignment="1">
      <alignment horizontal="center" vertical="center"/>
    </xf>
    <xf numFmtId="180" fontId="18" fillId="0" borderId="1" xfId="3" applyNumberFormat="1" applyFont="1" applyFill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32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2" fillId="0" borderId="14" xfId="5" applyFont="1" applyBorder="1" applyAlignment="1">
      <alignment horizontal="center" vertical="center" textRotation="255"/>
    </xf>
    <xf numFmtId="0" fontId="6" fillId="0" borderId="4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</cellXfs>
  <cellStyles count="8">
    <cellStyle name="一般" xfId="0" builtinId="0"/>
    <cellStyle name="一般 2 2" xfId="1"/>
    <cellStyle name="一般 2 2 2" xfId="5"/>
    <cellStyle name="一般 2 2 29" xfId="7"/>
    <cellStyle name="一般 2 4" xfId="2"/>
    <cellStyle name="一般 3" xfId="4"/>
    <cellStyle name="千分位 2" xfId="6"/>
    <cellStyle name="百分比 2" xfId="3"/>
  </cellStyles>
  <dxfs count="181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2008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77" t="s">
        <v>2009</v>
      </c>
      <c r="C3" s="420" t="str">
        <f>TEXT('0930 4度C'!A2,"yyyy.mm.ddaaaa")</f>
        <v>2025.09.30星期二</v>
      </c>
      <c r="D3" s="421"/>
      <c r="E3" s="377" t="s">
        <v>2010</v>
      </c>
      <c r="F3" s="422">
        <f>'0930 4度C'!D1</f>
        <v>193383</v>
      </c>
      <c r="G3" s="423"/>
      <c r="H3" s="377" t="s">
        <v>2011</v>
      </c>
      <c r="I3" s="424">
        <f>'0930 4度C'!F1</f>
        <v>6240376.5599999987</v>
      </c>
      <c r="J3" s="425"/>
      <c r="K3" s="45"/>
      <c r="L3" s="46"/>
      <c r="M3" s="47"/>
      <c r="N3" s="47"/>
    </row>
    <row r="4" spans="2:17" ht="28.5" customHeight="1">
      <c r="B4" s="426" t="s">
        <v>2012</v>
      </c>
      <c r="C4" s="429" t="s">
        <v>2013</v>
      </c>
      <c r="D4" s="430"/>
      <c r="E4" s="431" t="s">
        <v>2014</v>
      </c>
      <c r="F4" s="432"/>
      <c r="G4" s="431" t="s">
        <v>2015</v>
      </c>
      <c r="H4" s="432"/>
      <c r="I4" s="431" t="s">
        <v>2016</v>
      </c>
      <c r="J4" s="432"/>
      <c r="L4" s="47"/>
      <c r="M4" s="47"/>
      <c r="N4" s="47"/>
    </row>
    <row r="5" spans="2:17" ht="28.5" customHeight="1">
      <c r="B5" s="427"/>
      <c r="C5" s="429" t="s">
        <v>2017</v>
      </c>
      <c r="D5" s="430"/>
      <c r="E5" s="429" t="s">
        <v>2018</v>
      </c>
      <c r="F5" s="430"/>
      <c r="G5" s="433" t="s">
        <v>2019</v>
      </c>
      <c r="H5" s="434"/>
      <c r="I5" s="435" t="s">
        <v>2020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150.72119628618913</v>
      </c>
      <c r="F6" s="438">
        <f>AVERAGE(D27:O27,D13:J13)</f>
        <v>156.36994319470614</v>
      </c>
      <c r="G6" s="399">
        <f>AVERAGE(D13:J13)</f>
        <v>156.36994319470614</v>
      </c>
      <c r="H6" s="400"/>
      <c r="I6" s="399">
        <f>AVERAGE(K13:M13)</f>
        <v>137.54078683298283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144.42421843832921</v>
      </c>
      <c r="F7" s="406">
        <f>AVERAGE(D28:O28,D14:J14)</f>
        <v>149.86580476535568</v>
      </c>
      <c r="G7" s="407">
        <f>AVERAGE(D14:J14)</f>
        <v>149.86580476535568</v>
      </c>
      <c r="H7" s="408"/>
      <c r="I7" s="407">
        <f>AVERAGE(K14:M14)</f>
        <v>131.72718367526744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0.95830574043081163</v>
      </c>
      <c r="F8" s="410">
        <f>AVERAGE(D15:J15,D29:O29)</f>
        <v>0.95852972753395616</v>
      </c>
      <c r="G8" s="411">
        <f>AVERAGE(D15:J15)</f>
        <v>0.95852972753395616</v>
      </c>
      <c r="H8" s="412"/>
      <c r="I8" s="411">
        <f>AVERAGE(K15:M15)</f>
        <v>0.95778310385680765</v>
      </c>
      <c r="J8" s="412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2021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2022</v>
      </c>
      <c r="L10" s="390"/>
      <c r="M10" s="391"/>
      <c r="P10" s="51"/>
      <c r="Q10" s="51"/>
    </row>
    <row r="11" spans="2:17" ht="17.25" customHeight="1">
      <c r="B11" s="392" t="s">
        <v>187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2023</v>
      </c>
      <c r="C13" s="58" t="s">
        <v>189</v>
      </c>
      <c r="D13" s="59">
        <f>SUMIFS('0930 4度C'!$K:$K,'0930 4度C'!$A:$A,"新豐6線",'0930 4度C'!$B:$B,"平均")</f>
        <v>125</v>
      </c>
      <c r="E13" s="60">
        <f>SUMIFS('0930 4度C'!$K:$K,'0930 4度C'!$A:$A,"新豐2線",'0930 4度C'!$B:$B,"平均")</f>
        <v>83.333333333333329</v>
      </c>
      <c r="F13" s="61">
        <f>SUMIFS('0930 4度C'!$K:$K,'0930 4度C'!$A:$A,"新豐5線",'0930 4度C'!$B:$B,"平均")</f>
        <v>109.02777777777777</v>
      </c>
      <c r="G13" s="61">
        <f>SUMIFS('0930 4度C'!$K:$K,'0930 4度C'!$A:$A,"新豐7線",'0930 4度C'!$B:$B,"平均")</f>
        <v>120.48192771084337</v>
      </c>
      <c r="H13" s="61">
        <f>SUMIFS('0930 4度C'!$K:$K,'0930 4度C'!$A:$A,"新豐3線",'0930 4度C'!$B:$B,"平均")</f>
        <v>307.69230769230768</v>
      </c>
      <c r="I13" s="61">
        <f>SUMIFS('0930 4度C'!$K:$K,'0930 4度C'!$A:$A,"新豐1線",'0930 4度C'!$B:$B,"平均")</f>
        <v>117.34693877551021</v>
      </c>
      <c r="J13" s="62">
        <f>SUMIFS('0930 4度C'!$K:$K,'0930 4度C'!$A:$A,"新豐10線",'0930 4度C'!$B:$B,"平均")</f>
        <v>231.70731707317074</v>
      </c>
      <c r="K13" s="63">
        <f>SUMIFS('0930 4度C'!$K:$K,'0930 4度C'!$A:$A,"新豐8線",'0930 4度C'!$B:$B,"平均")</f>
        <v>130.04926108374386</v>
      </c>
      <c r="L13" s="64">
        <f>SUMIFS('0930 4度C'!$K:$K,'0930 4度C'!$A:$A,"新豐9線",'0930 4度C'!$B:$B,"平均")</f>
        <v>142.22222222222223</v>
      </c>
      <c r="M13" s="62">
        <f>SUMIFS('0930 4度C'!$K:$K,'0930 4度C'!$A:$A,"新豐4線",'0930 4度C'!$B:$B,"平均")</f>
        <v>140.35087719298244</v>
      </c>
    </row>
    <row r="14" spans="2:17" ht="39.6" customHeight="1">
      <c r="B14" s="397"/>
      <c r="C14" s="65" t="s">
        <v>2024</v>
      </c>
      <c r="D14" s="66">
        <f>SUMIFS('0930 4度C'!$N:$N,'0930 4度C'!$A:$A,"新豐6線",'0930 4度C'!$B:$B,"平均")</f>
        <v>120.3944444444444</v>
      </c>
      <c r="E14" s="67">
        <f>SUMIFS('0930 4度C'!$N:$N,'0930 4度C'!$A:$A,"新豐2線",'0930 4度C'!$B:$B,"平均")</f>
        <v>79.547280242324803</v>
      </c>
      <c r="F14" s="67">
        <f>SUMIFS('0930 4度C'!$N:$N,'0930 4度C'!$A:$A,"新豐5線",'0930 4度C'!$B:$B,"平均")</f>
        <v>104.7134411054755</v>
      </c>
      <c r="G14" s="67">
        <f>SUMIFS('0930 4度C'!$N:$N,'0930 4度C'!$A:$A,"新豐7線",'0930 4度C'!$B:$B,"平均")</f>
        <v>115.48148395497198</v>
      </c>
      <c r="H14" s="67">
        <f>SUMIFS('0930 4度C'!$N:$N,'0930 4度C'!$A:$A,"新豐3線",'0930 4度C'!$B:$B,"平均")</f>
        <v>294.49182225751593</v>
      </c>
      <c r="I14" s="67">
        <f>SUMIFS('0930 4度C'!$N:$N,'0930 4度C'!$A:$A,"新豐1線",'0930 4度C'!$B:$B,"平均")</f>
        <v>112.37001345552156</v>
      </c>
      <c r="J14" s="68">
        <f>SUMIFS('0930 4度C'!$N:$N,'0930 4度C'!$A:$A,"新豐10線",'0930 4度C'!$B:$B,"平均")</f>
        <v>222.06214789723552</v>
      </c>
      <c r="K14" s="69">
        <f>SUMIFS('0930 4度C'!$N:$N,'0930 4度C'!$A:$A,"新豐8線",'0930 4度C'!$B:$B,"平均")</f>
        <v>124.71977614906648</v>
      </c>
      <c r="L14" s="70">
        <f>SUMIFS('0930 4度C'!$N:$N,'0930 4度C'!$A:$A,"新豐9線",'0930 4度C'!$B:$B,"平均")</f>
        <v>135.57680287488222</v>
      </c>
      <c r="M14" s="68">
        <f>SUMIFS('0930 4度C'!$N:$N,'0930 4度C'!$A:$A,"新豐4線",'0930 4度C'!$B:$B,"平均")</f>
        <v>134.88497200185361</v>
      </c>
    </row>
    <row r="15" spans="2:17" ht="40.15" customHeight="1">
      <c r="B15" s="398"/>
      <c r="C15" s="71" t="s">
        <v>2025</v>
      </c>
      <c r="D15" s="72">
        <f t="shared" ref="D15:M15" si="0">D14/D13</f>
        <v>0.96315555555555521</v>
      </c>
      <c r="E15" s="73">
        <f t="shared" si="0"/>
        <v>0.95456736290789768</v>
      </c>
      <c r="F15" s="73">
        <f t="shared" si="0"/>
        <v>0.96042901396104918</v>
      </c>
      <c r="G15" s="73">
        <f t="shared" si="0"/>
        <v>0.95849631682626746</v>
      </c>
      <c r="H15" s="73">
        <f t="shared" si="0"/>
        <v>0.95709842233692688</v>
      </c>
      <c r="I15" s="73">
        <f t="shared" si="0"/>
        <v>0.95758794075140108</v>
      </c>
      <c r="J15" s="74">
        <f t="shared" si="0"/>
        <v>0.95837348039859538</v>
      </c>
      <c r="K15" s="72">
        <f t="shared" si="0"/>
        <v>0.95901949084320048</v>
      </c>
      <c r="L15" s="73">
        <f t="shared" si="0"/>
        <v>0.95327439521401558</v>
      </c>
      <c r="M15" s="74">
        <f t="shared" si="0"/>
        <v>0.96105542551320711</v>
      </c>
    </row>
    <row r="16" spans="2:17" ht="17.25" customHeight="1">
      <c r="B16" s="401" t="s">
        <v>2026</v>
      </c>
      <c r="C16" s="378" t="s">
        <v>2027</v>
      </c>
      <c r="D16" s="76">
        <f>VLOOKUP("新豐6線",'0930 4度C'!$A:$T,19,0)</f>
        <v>0.70833333333333337</v>
      </c>
      <c r="E16" s="28">
        <f>VLOOKUP("新豐2線",'0930 4度C'!$A:$T,19,0)</f>
        <v>0.20833333333333334</v>
      </c>
      <c r="F16" s="28">
        <f>VLOOKUP("新豐5線",'0930 4度C'!$A:$T,19,0)</f>
        <v>0.20833333333333334</v>
      </c>
      <c r="G16" s="28">
        <f>VLOOKUP("新豐7線",'0930 4度C'!$A:$T,19,0)</f>
        <v>0.20833333333333334</v>
      </c>
      <c r="H16" s="28">
        <f>VLOOKUP("新豐3線",'0930 4度C'!$A:$T,19,0)</f>
        <v>0.20833333333333334</v>
      </c>
      <c r="I16" s="28">
        <f>VLOOKUP("新豐1線",'0930 4度C'!$A:$T,19,0)</f>
        <v>0.29166666666666669</v>
      </c>
      <c r="J16" s="77">
        <f>VLOOKUP("新豐10線",'0930 4度C'!$A:$T,19,0)</f>
        <v>0.20833333333333334</v>
      </c>
      <c r="K16" s="78">
        <f>VLOOKUP("新豐8線",'0930 4度C'!$A:$T,19,0)</f>
        <v>0.125</v>
      </c>
      <c r="L16" s="79">
        <f>VLOOKUP("新豐9線",'0930 4度C'!$A:$T,19,0)</f>
        <v>0.125</v>
      </c>
      <c r="M16" s="80">
        <f>VLOOKUP("新豐4線",'0930 4度C'!$A:$T,19,0)</f>
        <v>0.125</v>
      </c>
    </row>
    <row r="17" spans="2:13" ht="17.25" customHeight="1">
      <c r="B17" s="402"/>
      <c r="C17" s="378" t="s">
        <v>2028</v>
      </c>
      <c r="D17" s="78">
        <f>LOOKUP(2,1/(('0930 4度C'!$A:$A="新豐6線")*('0930 4度C'!$T:$T&lt;&gt;"")),'0930 4度C'!$T:$T)</f>
        <v>0.83750000000000002</v>
      </c>
      <c r="E17" s="28">
        <f>LOOKUP(2,1/(('0930 4度C'!$A:$A="新豐2線")*('0930 4度C'!$T:$T&lt;&gt;"")),'0930 4度C'!$T:$T)</f>
        <v>0.62569444444444444</v>
      </c>
      <c r="F17" s="28">
        <f>LOOKUP(2,1/(('0930 4度C'!$A:$A="新豐5線")*('0930 4度C'!$T:$T&lt;&gt;"")),'0930 4度C'!$T:$T)</f>
        <v>0.85069444444444442</v>
      </c>
      <c r="G17" s="28">
        <f>LOOKUP(2,1/(('0930 4度C'!$A:$A="新豐7線")*('0930 4度C'!$T:$T&lt;&gt;"")),'0930 4度C'!$T:$T)</f>
        <v>0.77500000000000002</v>
      </c>
      <c r="H17" s="28">
        <f>LOOKUP(2,1/(('0930 4度C'!$A:$A="新豐3線")*('0930 4度C'!$T:$T&lt;&gt;"")),'0930 4度C'!$T:$T)</f>
        <v>0.64652777777777759</v>
      </c>
      <c r="I17" s="28">
        <f>LOOKUP(2,1/(('0930 4度C'!$A:$A="新豐1線")*('0930 4度C'!$T:$T&lt;&gt;"")),'0930 4度C'!$T:$T)</f>
        <v>0.85624999999999996</v>
      </c>
      <c r="J17" s="77">
        <f>LOOKUP(2,1/(('0930 4度C'!$A:$A="新豐10線")*('0930 4度C'!$T:$T&lt;&gt;"")),'0930 4度C'!$T:$T)</f>
        <v>0.43124999999999997</v>
      </c>
      <c r="K17" s="76">
        <f>LOOKUP(2,1/(('0930 4度C'!$A:$A="新豐8線")*('0930 4度C'!$T:$T&lt;&gt;"")),'0930 4度C'!$T:$T)</f>
        <v>0.77847222222222201</v>
      </c>
      <c r="L17" s="28">
        <f>LOOKUP(2,1/(('0930 4度C'!$A:$A="新豐9線")*('0930 4度C'!$T:$T&lt;&gt;"")),'0930 4度C'!$T:$T)</f>
        <v>0.77430555555555547</v>
      </c>
      <c r="M17" s="77">
        <f>LOOKUP(2,1/(('0930 4度C'!$A:$A="新豐4線")*('0930 4度C'!$T:$T&lt;&gt;"")),'0930 4度C'!$T:$T)</f>
        <v>0.6826388888888888</v>
      </c>
    </row>
    <row r="18" spans="2:13" ht="17.25" customHeight="1">
      <c r="B18" s="383" t="s">
        <v>2029</v>
      </c>
      <c r="C18" s="384"/>
      <c r="D18" s="81">
        <f>SUMIFS('0930 4度C'!$I:$I,'0930 4度C'!$A:$A,"新豐6線",'0930 4度C'!$B:$B,"平均")</f>
        <v>16</v>
      </c>
      <c r="E18" s="82">
        <f>SUMIFS('0930 4度C'!$I:$I,'0930 4度C'!$A:$A,"新豐2線",'0930 4度C'!$B:$B,"平均")</f>
        <v>18</v>
      </c>
      <c r="F18" s="82">
        <f>SUMIFS('0930 4度C'!$I:$I,'0930 4度C'!$A:$A,"新豐5線",'0930 4度C'!$B:$B,"平均")</f>
        <v>18</v>
      </c>
      <c r="G18" s="82">
        <f>SUMIFS('0930 4度C'!$I:$I,'0930 4度C'!$A:$A,"新豐7線",'0930 4度C'!$B:$B,"平均")</f>
        <v>16.600000000000001</v>
      </c>
      <c r="H18" s="82">
        <f>SUMIFS('0930 4度C'!$I:$I,'0930 4度C'!$A:$A,"新豐3線",'0930 4度C'!$B:$B,"平均")</f>
        <v>9.75</v>
      </c>
      <c r="I18" s="82">
        <f>SUMIFS('0930 4度C'!$I:$I,'0930 4度C'!$A:$A,"新豐1線",'0930 4度C'!$B:$B,"平均")</f>
        <v>16.333333333333332</v>
      </c>
      <c r="J18" s="83">
        <f>SUMIFS('0930 4度C'!$I:$I,'0930 4度C'!$A:$A,"新豐10線",'0930 4度C'!$B:$B,"平均")</f>
        <v>10.25</v>
      </c>
      <c r="K18" s="81">
        <f>SUMIFS('0930 4度C'!$I:$I,'0930 4度C'!$A:$A,"新豐8線",'0930 4度C'!$B:$B,"平均")</f>
        <v>18.454545454545453</v>
      </c>
      <c r="L18" s="82">
        <f>SUMIFS('0930 4度C'!$I:$I,'0930 4度C'!$A:$A,"新豐9線",'0930 4度C'!$B:$B,"平均")</f>
        <v>16.875</v>
      </c>
      <c r="M18" s="83">
        <f>SUMIFS('0930 4度C'!$I:$I,'0930 4度C'!$A:$A,"新豐4線",'0930 4度C'!$B:$B,"平均")</f>
        <v>17.100000000000001</v>
      </c>
    </row>
    <row r="19" spans="2:13" ht="17.25" customHeight="1">
      <c r="B19" s="383" t="s">
        <v>147</v>
      </c>
      <c r="C19" s="384"/>
      <c r="D19" s="84" t="s">
        <v>148</v>
      </c>
      <c r="E19" s="85" t="s">
        <v>149</v>
      </c>
      <c r="F19" s="85" t="s">
        <v>2030</v>
      </c>
      <c r="G19" s="85" t="s">
        <v>2030</v>
      </c>
      <c r="H19" s="85" t="s">
        <v>151</v>
      </c>
      <c r="I19" s="85" t="s">
        <v>148</v>
      </c>
      <c r="J19" s="86" t="s">
        <v>151</v>
      </c>
      <c r="K19" s="84" t="s">
        <v>2031</v>
      </c>
      <c r="L19" s="85" t="s">
        <v>2031</v>
      </c>
      <c r="M19" s="86" t="s">
        <v>2031</v>
      </c>
    </row>
    <row r="20" spans="2:13" ht="17.25" customHeight="1">
      <c r="B20" s="383" t="s">
        <v>153</v>
      </c>
      <c r="C20" s="384"/>
      <c r="D20" s="84"/>
      <c r="E20" s="85"/>
      <c r="F20" s="85" t="s">
        <v>2032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155</v>
      </c>
      <c r="C21" s="386"/>
      <c r="D21" s="87"/>
      <c r="E21" s="88" t="s">
        <v>2033</v>
      </c>
      <c r="F21" s="387" t="s">
        <v>2034</v>
      </c>
      <c r="G21" s="388"/>
      <c r="H21" s="88" t="s">
        <v>2035</v>
      </c>
      <c r="I21" s="88" t="s">
        <v>2036</v>
      </c>
      <c r="J21" s="89" t="s">
        <v>2035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81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tabSelected="1" topLeftCell="C1" zoomScale="80" zoomScaleNormal="80" workbookViewId="0">
      <pane ySplit="4" topLeftCell="A11" activePane="bottomLeft" state="frozen"/>
      <selection activeCell="G6" sqref="G6:H6"/>
      <selection pane="bottomLeft" activeCell="L25" sqref="L25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206</v>
      </c>
      <c r="B1" s="1"/>
      <c r="C1" s="2" t="s">
        <v>1116</v>
      </c>
      <c r="D1" s="3">
        <f>SUM(F5:F82)</f>
        <v>193383</v>
      </c>
      <c r="E1" s="363" t="s">
        <v>327</v>
      </c>
      <c r="F1" s="1">
        <f>SUM(G5:G82)</f>
        <v>6240376.5599999987</v>
      </c>
      <c r="G1" s="1" t="s">
        <v>664</v>
      </c>
      <c r="H1" s="106">
        <f>L8+L12+L57+L64+L21+L69+L39+L48+L27+L82</f>
        <v>157.36287878787877</v>
      </c>
      <c r="I1" s="482" t="s">
        <v>325</v>
      </c>
      <c r="J1" s="482"/>
      <c r="K1" s="482"/>
      <c r="L1" s="482" t="s">
        <v>261</v>
      </c>
      <c r="M1" s="482"/>
      <c r="N1" s="482"/>
      <c r="O1" s="482" t="s">
        <v>453</v>
      </c>
      <c r="P1" s="482"/>
      <c r="Q1" s="482"/>
      <c r="R1" s="482"/>
      <c r="S1" s="482" t="s">
        <v>209</v>
      </c>
      <c r="T1" s="482"/>
      <c r="U1" s="482"/>
      <c r="V1" s="482"/>
      <c r="W1" s="482"/>
      <c r="X1" s="482"/>
      <c r="Y1" s="482" t="s">
        <v>264</v>
      </c>
      <c r="Z1" s="482"/>
      <c r="AA1" s="482" t="s">
        <v>2037</v>
      </c>
      <c r="AB1" s="483"/>
      <c r="AC1" s="483"/>
    </row>
    <row r="2" spans="1:29" ht="26.25" customHeight="1">
      <c r="A2" s="24">
        <v>45930</v>
      </c>
      <c r="B2" s="25" t="s">
        <v>161</v>
      </c>
      <c r="C2" s="2" t="s">
        <v>139</v>
      </c>
      <c r="D2" s="6">
        <f>AVERAGE(N8,N12,N57,N64,N21,N69,N27,N39,N48,N82)</f>
        <v>144.42421843832921</v>
      </c>
      <c r="E2" s="7" t="s">
        <v>11</v>
      </c>
      <c r="F2" s="8">
        <f>F1/D1</f>
        <v>32.269519864724401</v>
      </c>
      <c r="G2" s="1" t="s">
        <v>266</v>
      </c>
      <c r="H2" s="375">
        <f>COUNT(H5:H82)</f>
        <v>20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2038</v>
      </c>
      <c r="B3" s="443" t="s">
        <v>213</v>
      </c>
      <c r="C3" s="443" t="s">
        <v>462</v>
      </c>
      <c r="D3" s="443"/>
      <c r="E3" s="484" t="s">
        <v>215</v>
      </c>
      <c r="F3" s="443" t="s">
        <v>216</v>
      </c>
      <c r="G3" s="484" t="s">
        <v>393</v>
      </c>
      <c r="H3" s="476" t="s">
        <v>466</v>
      </c>
      <c r="I3" s="474" t="s">
        <v>219</v>
      </c>
      <c r="J3" s="479" t="s">
        <v>220</v>
      </c>
      <c r="K3" s="481" t="s">
        <v>139</v>
      </c>
      <c r="L3" s="474" t="s">
        <v>219</v>
      </c>
      <c r="M3" s="479" t="s">
        <v>220</v>
      </c>
      <c r="N3" s="481" t="s">
        <v>139</v>
      </c>
      <c r="O3" s="474" t="s">
        <v>219</v>
      </c>
      <c r="P3" s="481" t="s">
        <v>139</v>
      </c>
      <c r="Q3" s="480" t="s">
        <v>274</v>
      </c>
      <c r="R3" s="451" t="s">
        <v>227</v>
      </c>
      <c r="S3" s="486" t="s">
        <v>25</v>
      </c>
      <c r="T3" s="486"/>
      <c r="U3" s="476" t="s">
        <v>26</v>
      </c>
      <c r="V3" s="476" t="s">
        <v>223</v>
      </c>
      <c r="W3" s="443" t="s">
        <v>474</v>
      </c>
      <c r="X3" s="443"/>
      <c r="Y3" s="477" t="s">
        <v>2039</v>
      </c>
      <c r="Z3" s="478"/>
      <c r="AA3" s="479" t="s">
        <v>220</v>
      </c>
      <c r="AB3" s="480" t="s">
        <v>2040</v>
      </c>
      <c r="AC3" s="451" t="s">
        <v>2041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74" t="s">
        <v>31</v>
      </c>
      <c r="T4" s="374" t="s">
        <v>32</v>
      </c>
      <c r="U4" s="476"/>
      <c r="V4" s="476"/>
      <c r="W4" s="363" t="s">
        <v>2042</v>
      </c>
      <c r="X4" s="363" t="s">
        <v>2043</v>
      </c>
      <c r="Y4" s="478"/>
      <c r="Z4" s="478"/>
      <c r="AA4" s="479"/>
      <c r="AB4" s="480"/>
      <c r="AC4" s="451"/>
    </row>
    <row r="5" spans="1:29">
      <c r="A5" s="473" t="s">
        <v>2044</v>
      </c>
      <c r="B5" s="31" t="s">
        <v>58</v>
      </c>
      <c r="C5" s="475" t="s">
        <v>104</v>
      </c>
      <c r="D5" s="475"/>
      <c r="E5" s="31">
        <v>46.93</v>
      </c>
      <c r="F5" s="374">
        <v>1132</v>
      </c>
      <c r="G5" s="363">
        <f>E5*F5</f>
        <v>53124.76</v>
      </c>
      <c r="H5" s="376" t="s">
        <v>103</v>
      </c>
      <c r="I5" s="372">
        <v>16</v>
      </c>
      <c r="J5" s="26">
        <v>2000</v>
      </c>
      <c r="K5" s="10">
        <f>J5/I5</f>
        <v>125</v>
      </c>
      <c r="L5" s="372">
        <v>16</v>
      </c>
      <c r="M5" s="11">
        <f>F5/V5*60</f>
        <v>1940.5714285714268</v>
      </c>
      <c r="N5" s="10">
        <f>M5/L5</f>
        <v>121.28571428571418</v>
      </c>
      <c r="O5" s="12">
        <f t="shared" ref="O5:O7" si="0">L5-I5</f>
        <v>0</v>
      </c>
      <c r="P5" s="13">
        <f t="shared" ref="P5:P7" si="1">N5-K5</f>
        <v>-3.7142857142858219</v>
      </c>
      <c r="Q5" s="368">
        <f>N5/K5</f>
        <v>0.97028571428571342</v>
      </c>
      <c r="R5" s="442">
        <f>Q8</f>
        <v>0.96315555555555521</v>
      </c>
      <c r="S5" s="28">
        <v>0.70833333333333337</v>
      </c>
      <c r="T5" s="28">
        <v>0.73263888888888895</v>
      </c>
      <c r="U5" s="363"/>
      <c r="V5" s="373">
        <f>(T5-S5)*24*60</f>
        <v>35.000000000000036</v>
      </c>
      <c r="W5" s="16"/>
      <c r="X5" s="17"/>
      <c r="Y5" s="443"/>
      <c r="Z5" s="443"/>
      <c r="AA5" s="12">
        <f t="shared" ref="AA5:AA68" si="2">M5-J5</f>
        <v>-59.42857142857315</v>
      </c>
      <c r="AB5" s="368">
        <f t="shared" ref="AB5:AB7" si="3">M5/J5</f>
        <v>0.97028571428571342</v>
      </c>
      <c r="AC5" s="442">
        <f>AB8</f>
        <v>0.96315555555555521</v>
      </c>
    </row>
    <row r="6" spans="1:29">
      <c r="A6" s="474" t="s">
        <v>2045</v>
      </c>
      <c r="B6" s="31" t="s">
        <v>58</v>
      </c>
      <c r="C6" s="475" t="s">
        <v>105</v>
      </c>
      <c r="D6" s="475"/>
      <c r="E6" s="31">
        <v>50.49</v>
      </c>
      <c r="F6" s="374">
        <v>2392</v>
      </c>
      <c r="G6" s="363">
        <f t="shared" ref="G6:G7" si="4">E6*F6</f>
        <v>120772.08</v>
      </c>
      <c r="H6" s="376" t="s">
        <v>103</v>
      </c>
      <c r="I6" s="372">
        <v>15</v>
      </c>
      <c r="J6" s="26">
        <v>2000</v>
      </c>
      <c r="K6" s="10">
        <f t="shared" ref="K6:K7" si="5">J6/I6</f>
        <v>133.33333333333334</v>
      </c>
      <c r="L6" s="372">
        <v>15</v>
      </c>
      <c r="M6" s="11">
        <f>F6/V6*60</f>
        <v>1913.5999999999985</v>
      </c>
      <c r="N6" s="10">
        <f t="shared" ref="N6:N7" si="6">M6/L6</f>
        <v>127.57333333333324</v>
      </c>
      <c r="O6" s="12">
        <f t="shared" si="0"/>
        <v>0</v>
      </c>
      <c r="P6" s="13">
        <f t="shared" si="1"/>
        <v>-5.7600000000001046</v>
      </c>
      <c r="Q6" s="368">
        <f t="shared" ref="Q6:Q7" si="7">N6/K6</f>
        <v>0.95679999999999921</v>
      </c>
      <c r="R6" s="442"/>
      <c r="S6" s="28">
        <v>0.73750000000000004</v>
      </c>
      <c r="T6" s="28">
        <v>0.78958333333333341</v>
      </c>
      <c r="U6" s="363">
        <f>(S6-T5)*24*60</f>
        <v>6.9999999999999751</v>
      </c>
      <c r="V6" s="373">
        <f>(T6-S6)*24*60</f>
        <v>75.000000000000057</v>
      </c>
      <c r="W6" s="16"/>
      <c r="X6" s="16"/>
      <c r="Y6" s="443"/>
      <c r="Z6" s="443"/>
      <c r="AA6" s="12">
        <f t="shared" si="2"/>
        <v>-86.400000000001455</v>
      </c>
      <c r="AB6" s="368">
        <f t="shared" si="3"/>
        <v>0.95679999999999932</v>
      </c>
      <c r="AC6" s="442"/>
    </row>
    <row r="7" spans="1:29">
      <c r="A7" s="474" t="s">
        <v>296</v>
      </c>
      <c r="B7" s="31" t="s">
        <v>58</v>
      </c>
      <c r="C7" s="471" t="s">
        <v>106</v>
      </c>
      <c r="D7" s="472"/>
      <c r="E7" s="31">
        <v>50.67</v>
      </c>
      <c r="F7" s="374">
        <v>2021</v>
      </c>
      <c r="G7" s="363">
        <f t="shared" si="4"/>
        <v>102404.07</v>
      </c>
      <c r="H7" s="376" t="s">
        <v>103</v>
      </c>
      <c r="I7" s="372">
        <v>17</v>
      </c>
      <c r="J7" s="26">
        <v>2000</v>
      </c>
      <c r="K7" s="10">
        <f t="shared" si="5"/>
        <v>117.64705882352941</v>
      </c>
      <c r="L7" s="372">
        <v>17</v>
      </c>
      <c r="M7" s="11">
        <f t="shared" ref="M7" si="8">F7/V7*60</f>
        <v>1924.7619047619066</v>
      </c>
      <c r="N7" s="10">
        <f t="shared" si="6"/>
        <v>113.22128851540627</v>
      </c>
      <c r="O7" s="12">
        <f t="shared" si="0"/>
        <v>0</v>
      </c>
      <c r="P7" s="13">
        <f t="shared" si="1"/>
        <v>-4.4257703081231341</v>
      </c>
      <c r="Q7" s="368">
        <f t="shared" si="7"/>
        <v>0.96238095238095334</v>
      </c>
      <c r="R7" s="442"/>
      <c r="S7" s="28">
        <v>0.79375000000000007</v>
      </c>
      <c r="T7" s="28">
        <v>0.83750000000000002</v>
      </c>
      <c r="U7" s="363">
        <f t="shared" ref="U7" si="9">(S7-T6)*24*60</f>
        <v>5.9999999999999787</v>
      </c>
      <c r="V7" s="373">
        <f t="shared" ref="V7" si="10">(T7-S7)*24*60</f>
        <v>62.999999999999936</v>
      </c>
      <c r="W7" s="16"/>
      <c r="X7" s="16"/>
      <c r="Y7" s="447"/>
      <c r="Z7" s="448"/>
      <c r="AA7" s="12">
        <f t="shared" si="2"/>
        <v>-75.238095238093365</v>
      </c>
      <c r="AB7" s="368">
        <f t="shared" si="3"/>
        <v>0.96238095238095334</v>
      </c>
      <c r="AC7" s="442"/>
    </row>
    <row r="8" spans="1:29">
      <c r="A8" s="474" t="s">
        <v>296</v>
      </c>
      <c r="B8" s="31" t="s">
        <v>231</v>
      </c>
      <c r="C8" s="446"/>
      <c r="D8" s="446"/>
      <c r="E8" s="362"/>
      <c r="F8" s="33"/>
      <c r="G8" s="10"/>
      <c r="H8" s="374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1926.3111111111104</v>
      </c>
      <c r="N8" s="10">
        <f>M8/L8</f>
        <v>120.3944444444444</v>
      </c>
      <c r="O8" s="12">
        <f>L8-I8</f>
        <v>0</v>
      </c>
      <c r="P8" s="13">
        <f>N8-K8</f>
        <v>-4.6055555555555969</v>
      </c>
      <c r="Q8" s="368">
        <f>N8/K8</f>
        <v>0.96315555555555521</v>
      </c>
      <c r="R8" s="442"/>
      <c r="S8" s="28"/>
      <c r="T8" s="28"/>
      <c r="U8" s="363"/>
      <c r="V8" s="373"/>
      <c r="W8" s="10"/>
      <c r="X8" s="10"/>
      <c r="Y8" s="443"/>
      <c r="Z8" s="443"/>
      <c r="AA8" s="12">
        <f t="shared" si="2"/>
        <v>-73.688888888889551</v>
      </c>
      <c r="AB8" s="368">
        <f>M8/J8</f>
        <v>0.96315555555555521</v>
      </c>
      <c r="AC8" s="442"/>
    </row>
    <row r="9" spans="1:29" ht="15.75" customHeight="1">
      <c r="A9" s="439" t="s">
        <v>232</v>
      </c>
      <c r="B9" s="31" t="s">
        <v>53</v>
      </c>
      <c r="C9" s="471" t="s">
        <v>54</v>
      </c>
      <c r="D9" s="472"/>
      <c r="E9" s="31">
        <v>39.799999999999997</v>
      </c>
      <c r="F9" s="374">
        <v>6000</v>
      </c>
      <c r="G9" s="363">
        <f t="shared" ref="G9:G11" si="11">E9*F9</f>
        <v>238799.99999999997</v>
      </c>
      <c r="H9" s="376">
        <v>2</v>
      </c>
      <c r="I9" s="372">
        <v>17</v>
      </c>
      <c r="J9" s="26">
        <v>1500</v>
      </c>
      <c r="K9" s="10">
        <f t="shared" ref="K9:K11" si="12">J9/I9</f>
        <v>88.235294117647058</v>
      </c>
      <c r="L9" s="372">
        <v>17</v>
      </c>
      <c r="M9" s="11">
        <f t="shared" ref="M9:M11" si="13">F9/V9*60</f>
        <v>1428.5714285714287</v>
      </c>
      <c r="N9" s="10">
        <f t="shared" ref="N9:N11" si="14">M9/L9</f>
        <v>84.033613445378151</v>
      </c>
      <c r="O9" s="12">
        <f t="shared" ref="O9:O11" si="15">L9-I9</f>
        <v>0</v>
      </c>
      <c r="P9" s="13">
        <f>N9-K9</f>
        <v>-4.2016806722689068</v>
      </c>
      <c r="Q9" s="368">
        <f>N9/K9</f>
        <v>0.95238095238095244</v>
      </c>
      <c r="R9" s="442">
        <f>Q12</f>
        <v>0.95456736290789768</v>
      </c>
      <c r="S9" s="28">
        <v>0.20833333333333334</v>
      </c>
      <c r="T9" s="28">
        <v>0.38333333333333336</v>
      </c>
      <c r="U9" s="363"/>
      <c r="V9" s="373">
        <f t="shared" ref="V9:V11" si="16">(T9-S9)*24*60</f>
        <v>252</v>
      </c>
      <c r="W9" s="16"/>
      <c r="X9" s="16"/>
      <c r="Y9" s="443"/>
      <c r="Z9" s="443"/>
      <c r="AA9" s="12">
        <f t="shared" si="2"/>
        <v>-71.428571428571331</v>
      </c>
      <c r="AB9" s="368">
        <f>M9/J9</f>
        <v>0.95238095238095244</v>
      </c>
      <c r="AC9" s="442">
        <f>AB12</f>
        <v>0.95456736290789757</v>
      </c>
    </row>
    <row r="10" spans="1:29" ht="15.75" customHeight="1">
      <c r="A10" s="439" t="s">
        <v>232</v>
      </c>
      <c r="B10" s="31" t="s">
        <v>53</v>
      </c>
      <c r="C10" s="471" t="s">
        <v>163</v>
      </c>
      <c r="D10" s="472"/>
      <c r="E10" s="31">
        <v>39.36</v>
      </c>
      <c r="F10" s="374">
        <v>3560</v>
      </c>
      <c r="G10" s="363">
        <f t="shared" si="11"/>
        <v>140121.60000000001</v>
      </c>
      <c r="H10" s="376" t="s">
        <v>103</v>
      </c>
      <c r="I10" s="372">
        <v>20</v>
      </c>
      <c r="J10" s="26">
        <v>1500</v>
      </c>
      <c r="K10" s="10">
        <f t="shared" si="12"/>
        <v>75</v>
      </c>
      <c r="L10" s="372">
        <v>20</v>
      </c>
      <c r="M10" s="11">
        <f t="shared" si="13"/>
        <v>1433.5570469798654</v>
      </c>
      <c r="N10" s="10">
        <f t="shared" si="14"/>
        <v>71.67785234899327</v>
      </c>
      <c r="O10" s="12">
        <f t="shared" si="15"/>
        <v>0</v>
      </c>
      <c r="P10" s="13">
        <f t="shared" ref="P10:P11" si="17">N10-K10</f>
        <v>-3.3221476510067305</v>
      </c>
      <c r="Q10" s="368">
        <f t="shared" ref="Q10:Q11" si="18">N10/K10</f>
        <v>0.95570469798657698</v>
      </c>
      <c r="R10" s="442"/>
      <c r="S10" s="28">
        <v>0.3888888888888889</v>
      </c>
      <c r="T10" s="28">
        <v>0.49236111111111114</v>
      </c>
      <c r="U10" s="363">
        <f>(S10-T9)*24*60</f>
        <v>7.9999999999999716</v>
      </c>
      <c r="V10" s="373">
        <f t="shared" si="16"/>
        <v>149.00000000000003</v>
      </c>
      <c r="W10" s="16">
        <f>T10</f>
        <v>0.49236111111111114</v>
      </c>
      <c r="X10" s="16">
        <f>S11</f>
        <v>0.57499999999999996</v>
      </c>
      <c r="Y10" s="443"/>
      <c r="Z10" s="443"/>
      <c r="AA10" s="12">
        <f t="shared" si="2"/>
        <v>-66.44295302013461</v>
      </c>
      <c r="AB10" s="368">
        <f t="shared" ref="AB10:AB27" si="19">M10/J10</f>
        <v>0.95570469798657698</v>
      </c>
      <c r="AC10" s="442"/>
    </row>
    <row r="11" spans="1:29" ht="15.75" customHeight="1">
      <c r="A11" s="439" t="s">
        <v>232</v>
      </c>
      <c r="B11" s="31" t="s">
        <v>53</v>
      </c>
      <c r="C11" s="471" t="s">
        <v>54</v>
      </c>
      <c r="D11" s="472"/>
      <c r="E11" s="31">
        <v>39.799999999999997</v>
      </c>
      <c r="F11" s="374">
        <v>1744</v>
      </c>
      <c r="G11" s="363">
        <f t="shared" si="11"/>
        <v>69411.199999999997</v>
      </c>
      <c r="H11" s="376" t="s">
        <v>103</v>
      </c>
      <c r="I11" s="372">
        <v>17</v>
      </c>
      <c r="J11" s="26">
        <v>1500</v>
      </c>
      <c r="K11" s="10">
        <f t="shared" si="12"/>
        <v>88.235294117647058</v>
      </c>
      <c r="L11" s="372">
        <v>17</v>
      </c>
      <c r="M11" s="11">
        <f t="shared" si="13"/>
        <v>1433.4246575342454</v>
      </c>
      <c r="N11" s="10">
        <f t="shared" si="14"/>
        <v>84.319097502014429</v>
      </c>
      <c r="O11" s="12">
        <f t="shared" si="15"/>
        <v>0</v>
      </c>
      <c r="P11" s="13">
        <f t="shared" si="17"/>
        <v>-3.9161966156326287</v>
      </c>
      <c r="Q11" s="368">
        <f t="shared" si="18"/>
        <v>0.9556164383561635</v>
      </c>
      <c r="R11" s="442"/>
      <c r="S11" s="28">
        <v>0.57499999999999996</v>
      </c>
      <c r="T11" s="28">
        <v>0.62569444444444444</v>
      </c>
      <c r="U11" s="363">
        <f t="shared" ref="U11" si="20">(S11-T10)*24*60</f>
        <v>118.9999999999999</v>
      </c>
      <c r="V11" s="373">
        <f t="shared" si="16"/>
        <v>73.000000000000057</v>
      </c>
      <c r="W11" s="16"/>
      <c r="X11" s="16"/>
      <c r="Y11" s="443"/>
      <c r="Z11" s="443"/>
      <c r="AA11" s="12">
        <f t="shared" si="2"/>
        <v>-66.575342465754602</v>
      </c>
      <c r="AB11" s="368">
        <f t="shared" si="19"/>
        <v>0.95561643835616361</v>
      </c>
      <c r="AC11" s="442"/>
    </row>
    <row r="12" spans="1:29" ht="16.5" customHeight="1">
      <c r="A12" s="439" t="s">
        <v>2046</v>
      </c>
      <c r="B12" s="31" t="s">
        <v>2047</v>
      </c>
      <c r="C12" s="446"/>
      <c r="D12" s="446"/>
      <c r="E12" s="362"/>
      <c r="F12" s="26"/>
      <c r="G12" s="11"/>
      <c r="H12" s="374"/>
      <c r="I12" s="19">
        <v>18</v>
      </c>
      <c r="J12" s="26">
        <v>1500</v>
      </c>
      <c r="K12" s="10">
        <f>J12/I12</f>
        <v>83.333333333333329</v>
      </c>
      <c r="L12" s="19">
        <v>18</v>
      </c>
      <c r="M12" s="11">
        <f>AVERAGE(M9:M11)</f>
        <v>1431.8510443618463</v>
      </c>
      <c r="N12" s="10">
        <f>M12/L12</f>
        <v>79.547280242324803</v>
      </c>
      <c r="O12" s="12">
        <f>L12-I12</f>
        <v>0</v>
      </c>
      <c r="P12" s="13">
        <f>N12-K12</f>
        <v>-3.7860530910085259</v>
      </c>
      <c r="Q12" s="368">
        <f>N12/K12</f>
        <v>0.95456736290789768</v>
      </c>
      <c r="R12" s="442"/>
      <c r="S12" s="28"/>
      <c r="T12" s="28"/>
      <c r="U12" s="10"/>
      <c r="V12" s="373"/>
      <c r="W12" s="10"/>
      <c r="X12" s="10"/>
      <c r="Y12" s="443"/>
      <c r="Z12" s="443"/>
      <c r="AA12" s="12">
        <f t="shared" si="2"/>
        <v>-68.148955638153666</v>
      </c>
      <c r="AB12" s="368">
        <f t="shared" si="19"/>
        <v>0.95456736290789757</v>
      </c>
      <c r="AC12" s="442"/>
    </row>
    <row r="13" spans="1:29" ht="16.5" customHeight="1">
      <c r="A13" s="469" t="s">
        <v>162</v>
      </c>
      <c r="B13" s="374" t="s">
        <v>56</v>
      </c>
      <c r="C13" s="464" t="s">
        <v>57</v>
      </c>
      <c r="D13" s="464"/>
      <c r="E13" s="31">
        <v>41</v>
      </c>
      <c r="F13" s="374">
        <v>2111</v>
      </c>
      <c r="G13" s="363">
        <f t="shared" ref="G13:G20" si="21">E13*F13</f>
        <v>86551</v>
      </c>
      <c r="H13" s="376" t="s">
        <v>103</v>
      </c>
      <c r="I13" s="372">
        <v>26</v>
      </c>
      <c r="J13" s="26">
        <v>1500</v>
      </c>
      <c r="K13" s="10">
        <f>J13/I13</f>
        <v>57.692307692307693</v>
      </c>
      <c r="L13" s="372">
        <v>26</v>
      </c>
      <c r="M13" s="11">
        <f>F13/V13*60</f>
        <v>1439.3181818181822</v>
      </c>
      <c r="N13" s="10">
        <f t="shared" ref="N13:N26" si="22">M13/L13</f>
        <v>55.358391608391621</v>
      </c>
      <c r="O13" s="12">
        <f t="shared" ref="O13" si="23">L13-I13</f>
        <v>0</v>
      </c>
      <c r="P13" s="13">
        <f t="shared" ref="P13" si="24">N13-K13</f>
        <v>-2.3339160839160726</v>
      </c>
      <c r="Q13" s="368">
        <f>N13/K13</f>
        <v>0.9595454545454547</v>
      </c>
      <c r="R13" s="442">
        <f>Q21</f>
        <v>0.96042901396104918</v>
      </c>
      <c r="S13" s="28">
        <v>0.20833333333333334</v>
      </c>
      <c r="T13" s="28">
        <v>0.26944444444444443</v>
      </c>
      <c r="U13" s="363"/>
      <c r="V13" s="373">
        <f>(T13-S13)*24*60</f>
        <v>87.999999999999972</v>
      </c>
      <c r="W13" s="18"/>
      <c r="X13" s="18"/>
      <c r="Y13" s="443"/>
      <c r="Z13" s="443"/>
      <c r="AA13" s="12">
        <f t="shared" si="2"/>
        <v>-60.681818181817789</v>
      </c>
      <c r="AB13" s="368">
        <f t="shared" si="19"/>
        <v>0.95954545454545481</v>
      </c>
      <c r="AC13" s="442">
        <f>AB21</f>
        <v>0.96042901396104907</v>
      </c>
    </row>
    <row r="14" spans="1:29" ht="16.5" customHeight="1">
      <c r="A14" s="470" t="s">
        <v>162</v>
      </c>
      <c r="B14" s="374" t="s">
        <v>53</v>
      </c>
      <c r="C14" s="464" t="s">
        <v>107</v>
      </c>
      <c r="D14" s="464"/>
      <c r="E14" s="31">
        <v>39.619999999999997</v>
      </c>
      <c r="F14" s="374">
        <v>2800</v>
      </c>
      <c r="G14" s="363">
        <f t="shared" si="21"/>
        <v>110936</v>
      </c>
      <c r="H14" s="376">
        <v>2</v>
      </c>
      <c r="I14" s="372">
        <v>19</v>
      </c>
      <c r="J14" s="26">
        <v>1500</v>
      </c>
      <c r="K14" s="10">
        <f>J14/I14</f>
        <v>78.94736842105263</v>
      </c>
      <c r="L14" s="372">
        <v>19</v>
      </c>
      <c r="M14" s="11">
        <f>F14/V14*60</f>
        <v>1435.897435897436</v>
      </c>
      <c r="N14" s="10">
        <f t="shared" si="22"/>
        <v>75.573549257759794</v>
      </c>
      <c r="O14" s="12">
        <f>L14-I14</f>
        <v>0</v>
      </c>
      <c r="P14" s="13">
        <f>N14-K14</f>
        <v>-3.3738191632928363</v>
      </c>
      <c r="Q14" s="368">
        <f>N14/K14</f>
        <v>0.95726495726495742</v>
      </c>
      <c r="R14" s="442"/>
      <c r="S14" s="28">
        <v>0.27361111111111108</v>
      </c>
      <c r="T14" s="28">
        <v>0.35486111111111107</v>
      </c>
      <c r="U14" s="363">
        <f>IF(S14=TIME(17,0,0),"",(S14-T13)*24*60)</f>
        <v>5.9999999999999787</v>
      </c>
      <c r="V14" s="373">
        <f>(T14-S14)*24*60</f>
        <v>116.99999999999999</v>
      </c>
      <c r="W14" s="16"/>
      <c r="X14" s="16"/>
      <c r="Y14" s="443"/>
      <c r="Z14" s="443"/>
      <c r="AA14" s="12">
        <f t="shared" si="2"/>
        <v>-64.102564102563974</v>
      </c>
      <c r="AB14" s="368">
        <f t="shared" si="19"/>
        <v>0.95726495726495731</v>
      </c>
      <c r="AC14" s="442"/>
    </row>
    <row r="15" spans="1:29" ht="16.5" customHeight="1">
      <c r="A15" s="470" t="s">
        <v>162</v>
      </c>
      <c r="B15" s="374" t="s">
        <v>67</v>
      </c>
      <c r="C15" s="464" t="s">
        <v>74</v>
      </c>
      <c r="D15" s="464"/>
      <c r="E15" s="31">
        <v>24.45</v>
      </c>
      <c r="F15" s="374">
        <v>1400</v>
      </c>
      <c r="G15" s="363">
        <f t="shared" si="21"/>
        <v>34230</v>
      </c>
      <c r="H15" s="376">
        <v>2</v>
      </c>
      <c r="I15" s="372">
        <v>20</v>
      </c>
      <c r="J15" s="26">
        <v>2400</v>
      </c>
      <c r="K15" s="10">
        <f t="shared" ref="K15:K20" si="25">J15/I15</f>
        <v>120</v>
      </c>
      <c r="L15" s="372">
        <v>20</v>
      </c>
      <c r="M15" s="11">
        <f t="shared" ref="M15:M17" si="26">F15/V15*60</f>
        <v>2333.3333333333312</v>
      </c>
      <c r="N15" s="10">
        <f t="shared" si="22"/>
        <v>116.66666666666656</v>
      </c>
      <c r="O15" s="12">
        <f t="shared" ref="O15:O20" si="27">L15-I15</f>
        <v>0</v>
      </c>
      <c r="P15" s="13">
        <f t="shared" ref="P15:P20" si="28">N15-K15</f>
        <v>-3.3333333333334423</v>
      </c>
      <c r="Q15" s="368">
        <f t="shared" ref="Q15:Q26" si="29">N15/K15</f>
        <v>0.97222222222222132</v>
      </c>
      <c r="R15" s="442"/>
      <c r="S15" s="28">
        <v>0.35972222222222217</v>
      </c>
      <c r="T15" s="28">
        <v>0.38472222222222219</v>
      </c>
      <c r="U15" s="363">
        <f t="shared" ref="U15:U20" si="30">IF(S15=TIME(17,0,0),"",(S15-T14)*24*60)</f>
        <v>6.9999999999999751</v>
      </c>
      <c r="V15" s="373">
        <f t="shared" ref="V15:V20" si="31">(T15-S15)*24*60</f>
        <v>36.000000000000028</v>
      </c>
      <c r="W15" s="16"/>
      <c r="X15" s="16"/>
      <c r="Y15" s="443"/>
      <c r="Z15" s="443"/>
      <c r="AA15" s="12">
        <f t="shared" si="2"/>
        <v>-66.666666666668789</v>
      </c>
      <c r="AB15" s="368">
        <f t="shared" si="19"/>
        <v>0.97222222222222132</v>
      </c>
      <c r="AC15" s="442"/>
    </row>
    <row r="16" spans="1:29" ht="16.5" customHeight="1">
      <c r="A16" s="470" t="s">
        <v>162</v>
      </c>
      <c r="B16" s="374" t="s">
        <v>53</v>
      </c>
      <c r="C16" s="464" t="s">
        <v>107</v>
      </c>
      <c r="D16" s="464"/>
      <c r="E16" s="31">
        <v>39.619999999999997</v>
      </c>
      <c r="F16" s="374">
        <v>2326</v>
      </c>
      <c r="G16" s="363">
        <f t="shared" si="21"/>
        <v>92156.12</v>
      </c>
      <c r="H16" s="376" t="s">
        <v>103</v>
      </c>
      <c r="I16" s="372">
        <v>19</v>
      </c>
      <c r="J16" s="26">
        <v>1500</v>
      </c>
      <c r="K16" s="10">
        <f t="shared" si="25"/>
        <v>78.94736842105263</v>
      </c>
      <c r="L16" s="372">
        <v>19</v>
      </c>
      <c r="M16" s="11">
        <f t="shared" si="26"/>
        <v>1438.7628865979386</v>
      </c>
      <c r="N16" s="10">
        <f t="shared" si="22"/>
        <v>75.724362452523081</v>
      </c>
      <c r="O16" s="12">
        <f t="shared" si="27"/>
        <v>0</v>
      </c>
      <c r="P16" s="13">
        <f t="shared" si="28"/>
        <v>-3.2230059685295487</v>
      </c>
      <c r="Q16" s="368">
        <f t="shared" si="29"/>
        <v>0.959175257731959</v>
      </c>
      <c r="R16" s="442"/>
      <c r="S16" s="28">
        <v>0.38958333333333328</v>
      </c>
      <c r="T16" s="28">
        <v>0.45694444444444438</v>
      </c>
      <c r="U16" s="363">
        <f t="shared" si="30"/>
        <v>6.9999999999999751</v>
      </c>
      <c r="V16" s="373">
        <f t="shared" si="31"/>
        <v>96.999999999999972</v>
      </c>
      <c r="W16" s="16">
        <f>T16</f>
        <v>0.45694444444444438</v>
      </c>
      <c r="X16" s="16">
        <f>S17</f>
        <v>0.53819444444444442</v>
      </c>
      <c r="Y16" s="443"/>
      <c r="Z16" s="443"/>
      <c r="AA16" s="12">
        <f t="shared" si="2"/>
        <v>-61.237113402061368</v>
      </c>
      <c r="AB16" s="368">
        <f t="shared" si="19"/>
        <v>0.95917525773195911</v>
      </c>
      <c r="AC16" s="442"/>
    </row>
    <row r="17" spans="1:29" ht="16.5" customHeight="1">
      <c r="A17" s="470" t="s">
        <v>162</v>
      </c>
      <c r="B17" s="374" t="s">
        <v>67</v>
      </c>
      <c r="C17" s="464" t="s">
        <v>1616</v>
      </c>
      <c r="D17" s="464"/>
      <c r="E17" s="31">
        <v>24.25</v>
      </c>
      <c r="F17" s="374">
        <v>2772</v>
      </c>
      <c r="G17" s="363">
        <f t="shared" si="21"/>
        <v>67221</v>
      </c>
      <c r="H17" s="376" t="s">
        <v>103</v>
      </c>
      <c r="I17" s="372">
        <v>14</v>
      </c>
      <c r="J17" s="26">
        <v>2400</v>
      </c>
      <c r="K17" s="10">
        <f t="shared" si="25"/>
        <v>171.42857142857142</v>
      </c>
      <c r="L17" s="372">
        <v>14</v>
      </c>
      <c r="M17" s="11">
        <f t="shared" si="26"/>
        <v>2309.9999999999982</v>
      </c>
      <c r="N17" s="10">
        <f t="shared" si="22"/>
        <v>164.99999999999986</v>
      </c>
      <c r="O17" s="12">
        <f t="shared" si="27"/>
        <v>0</v>
      </c>
      <c r="P17" s="13">
        <f t="shared" si="28"/>
        <v>-6.4285714285715585</v>
      </c>
      <c r="Q17" s="368">
        <f t="shared" si="29"/>
        <v>0.96249999999999925</v>
      </c>
      <c r="R17" s="442"/>
      <c r="S17" s="28">
        <v>0.53819444444444442</v>
      </c>
      <c r="T17" s="28">
        <v>0.58819444444444446</v>
      </c>
      <c r="U17" s="363">
        <f t="shared" si="30"/>
        <v>117.00000000000006</v>
      </c>
      <c r="V17" s="373">
        <f t="shared" si="31"/>
        <v>72.000000000000057</v>
      </c>
      <c r="W17" s="16"/>
      <c r="X17" s="16"/>
      <c r="Y17" s="443"/>
      <c r="Z17" s="443"/>
      <c r="AA17" s="12">
        <f t="shared" si="2"/>
        <v>-90.000000000001819</v>
      </c>
      <c r="AB17" s="368">
        <f t="shared" si="19"/>
        <v>0.96249999999999925</v>
      </c>
      <c r="AC17" s="442"/>
    </row>
    <row r="18" spans="1:29" ht="16.5" customHeight="1">
      <c r="A18" s="470" t="s">
        <v>2048</v>
      </c>
      <c r="B18" s="374" t="s">
        <v>67</v>
      </c>
      <c r="C18" s="465" t="s">
        <v>101</v>
      </c>
      <c r="D18" s="466"/>
      <c r="E18" s="31">
        <v>25</v>
      </c>
      <c r="F18" s="374">
        <v>2231</v>
      </c>
      <c r="G18" s="363">
        <f t="shared" si="21"/>
        <v>55775</v>
      </c>
      <c r="H18" s="376" t="s">
        <v>103</v>
      </c>
      <c r="I18" s="372">
        <v>15</v>
      </c>
      <c r="J18" s="26">
        <v>2400</v>
      </c>
      <c r="K18" s="10">
        <f t="shared" si="25"/>
        <v>160</v>
      </c>
      <c r="L18" s="372">
        <v>15</v>
      </c>
      <c r="M18" s="11">
        <f>F18/V18*60</f>
        <v>2307.9310344827604</v>
      </c>
      <c r="N18" s="10">
        <f t="shared" si="22"/>
        <v>153.86206896551735</v>
      </c>
      <c r="O18" s="12">
        <f t="shared" si="27"/>
        <v>0</v>
      </c>
      <c r="P18" s="13">
        <f t="shared" si="28"/>
        <v>-6.1379310344826479</v>
      </c>
      <c r="Q18" s="368">
        <f t="shared" si="29"/>
        <v>0.96163793103448347</v>
      </c>
      <c r="R18" s="442"/>
      <c r="S18" s="28">
        <v>0.59375</v>
      </c>
      <c r="T18" s="28">
        <v>0.63402777777777775</v>
      </c>
      <c r="U18" s="363">
        <f t="shared" si="30"/>
        <v>7.9999999999999716</v>
      </c>
      <c r="V18" s="373">
        <f t="shared" si="31"/>
        <v>57.999999999999957</v>
      </c>
      <c r="W18" s="16"/>
      <c r="X18" s="16"/>
      <c r="Y18" s="447"/>
      <c r="Z18" s="448"/>
      <c r="AA18" s="12">
        <f t="shared" si="2"/>
        <v>-92.068965517239576</v>
      </c>
      <c r="AB18" s="368">
        <f t="shared" si="19"/>
        <v>0.96163793103448347</v>
      </c>
      <c r="AC18" s="442"/>
    </row>
    <row r="19" spans="1:29" ht="16.5" customHeight="1">
      <c r="A19" s="470" t="s">
        <v>162</v>
      </c>
      <c r="B19" s="374" t="s">
        <v>58</v>
      </c>
      <c r="C19" s="370" t="s">
        <v>59</v>
      </c>
      <c r="D19" s="371"/>
      <c r="E19" s="31">
        <v>50.98</v>
      </c>
      <c r="F19" s="374">
        <v>3055</v>
      </c>
      <c r="G19" s="363">
        <f t="shared" si="21"/>
        <v>155743.9</v>
      </c>
      <c r="H19" s="376" t="s">
        <v>103</v>
      </c>
      <c r="I19" s="372">
        <v>16</v>
      </c>
      <c r="J19" s="26">
        <v>2000</v>
      </c>
      <c r="K19" s="10">
        <f t="shared" si="25"/>
        <v>125</v>
      </c>
      <c r="L19" s="372">
        <v>16</v>
      </c>
      <c r="M19" s="11">
        <f t="shared" ref="M19:M20" si="32">F19/V19*60</f>
        <v>1909.3750000000005</v>
      </c>
      <c r="N19" s="10">
        <f t="shared" si="22"/>
        <v>119.33593750000003</v>
      </c>
      <c r="O19" s="12">
        <f t="shared" si="27"/>
        <v>0</v>
      </c>
      <c r="P19" s="13">
        <f t="shared" si="28"/>
        <v>-5.6640624999999716</v>
      </c>
      <c r="Q19" s="368">
        <f t="shared" si="29"/>
        <v>0.95468750000000024</v>
      </c>
      <c r="R19" s="442"/>
      <c r="S19" s="28">
        <v>0.70833333333333337</v>
      </c>
      <c r="T19" s="28">
        <v>0.77500000000000002</v>
      </c>
      <c r="U19" s="363" t="str">
        <f t="shared" si="30"/>
        <v/>
      </c>
      <c r="V19" s="373">
        <f t="shared" si="31"/>
        <v>95.999999999999972</v>
      </c>
      <c r="W19" s="16"/>
      <c r="X19" s="16"/>
      <c r="Y19" s="447"/>
      <c r="Z19" s="448"/>
      <c r="AA19" s="12">
        <f t="shared" si="2"/>
        <v>-90.624999999999545</v>
      </c>
      <c r="AB19" s="368">
        <f t="shared" si="19"/>
        <v>0.95468750000000024</v>
      </c>
      <c r="AC19" s="442"/>
    </row>
    <row r="20" spans="1:29" ht="16.5" customHeight="1">
      <c r="A20" s="470" t="s">
        <v>162</v>
      </c>
      <c r="B20" s="374" t="s">
        <v>58</v>
      </c>
      <c r="C20" s="370" t="s">
        <v>60</v>
      </c>
      <c r="D20" s="371"/>
      <c r="E20" s="31">
        <v>50.92</v>
      </c>
      <c r="F20" s="374">
        <v>3237</v>
      </c>
      <c r="G20" s="363">
        <f t="shared" si="21"/>
        <v>164828.04</v>
      </c>
      <c r="H20" s="376" t="s">
        <v>103</v>
      </c>
      <c r="I20" s="372">
        <v>15</v>
      </c>
      <c r="J20" s="26">
        <v>2000</v>
      </c>
      <c r="K20" s="10">
        <f t="shared" si="25"/>
        <v>133.33333333333334</v>
      </c>
      <c r="L20" s="372">
        <v>15</v>
      </c>
      <c r="M20" s="11">
        <f t="shared" si="32"/>
        <v>1904.1176470588243</v>
      </c>
      <c r="N20" s="10">
        <f t="shared" si="22"/>
        <v>126.94117647058829</v>
      </c>
      <c r="O20" s="12">
        <f t="shared" si="27"/>
        <v>0</v>
      </c>
      <c r="P20" s="13">
        <f t="shared" si="28"/>
        <v>-6.392156862745054</v>
      </c>
      <c r="Q20" s="368">
        <f t="shared" si="29"/>
        <v>0.95205882352941207</v>
      </c>
      <c r="R20" s="442"/>
      <c r="S20" s="28">
        <v>0.77986111111111112</v>
      </c>
      <c r="T20" s="28">
        <v>0.85069444444444442</v>
      </c>
      <c r="U20" s="363">
        <f t="shared" si="30"/>
        <v>6.9999999999999751</v>
      </c>
      <c r="V20" s="373">
        <f t="shared" si="31"/>
        <v>101.99999999999996</v>
      </c>
      <c r="W20" s="16"/>
      <c r="X20" s="16"/>
      <c r="Y20" s="447"/>
      <c r="Z20" s="448"/>
      <c r="AA20" s="12">
        <f t="shared" si="2"/>
        <v>-95.882352941175668</v>
      </c>
      <c r="AB20" s="368">
        <f t="shared" si="19"/>
        <v>0.95205882352941218</v>
      </c>
      <c r="AC20" s="442"/>
    </row>
    <row r="21" spans="1:29" ht="16.5" customHeight="1">
      <c r="A21" s="470" t="s">
        <v>162</v>
      </c>
      <c r="B21" s="31" t="s">
        <v>231</v>
      </c>
      <c r="C21" s="446"/>
      <c r="D21" s="446"/>
      <c r="E21" s="362"/>
      <c r="F21" s="33"/>
      <c r="G21" s="10"/>
      <c r="H21" s="374"/>
      <c r="I21" s="19">
        <v>18</v>
      </c>
      <c r="J21" s="26">
        <v>1962.5</v>
      </c>
      <c r="K21" s="10">
        <f>J21/I21</f>
        <v>109.02777777777777</v>
      </c>
      <c r="L21" s="19">
        <v>18</v>
      </c>
      <c r="M21" s="11">
        <f>AVERAGE(M13:M20)</f>
        <v>1884.8419398985588</v>
      </c>
      <c r="N21" s="10">
        <f t="shared" si="22"/>
        <v>104.7134411054755</v>
      </c>
      <c r="O21" s="12">
        <f>L21-I21</f>
        <v>0</v>
      </c>
      <c r="P21" s="13">
        <f>N21-K21</f>
        <v>-4.3143366723022751</v>
      </c>
      <c r="Q21" s="368">
        <f t="shared" si="29"/>
        <v>0.96042901396104918</v>
      </c>
      <c r="R21" s="442"/>
      <c r="S21" s="28"/>
      <c r="T21" s="28"/>
      <c r="U21" s="363"/>
      <c r="V21" s="373"/>
      <c r="W21" s="10"/>
      <c r="X21" s="10"/>
      <c r="Y21" s="443"/>
      <c r="Z21" s="443"/>
      <c r="AA21" s="12">
        <f t="shared" si="2"/>
        <v>-77.658060101441151</v>
      </c>
      <c r="AB21" s="368">
        <f t="shared" si="19"/>
        <v>0.96042901396104907</v>
      </c>
      <c r="AC21" s="442"/>
    </row>
    <row r="22" spans="1:29" ht="15.75" customHeight="1">
      <c r="A22" s="467" t="s">
        <v>243</v>
      </c>
      <c r="B22" s="31" t="s">
        <v>56</v>
      </c>
      <c r="C22" s="464" t="s">
        <v>61</v>
      </c>
      <c r="D22" s="464"/>
      <c r="E22" s="31">
        <v>43.14</v>
      </c>
      <c r="F22" s="374">
        <v>1399</v>
      </c>
      <c r="G22" s="363">
        <f t="shared" ref="G22:G26" si="33">E22*F22</f>
        <v>60352.86</v>
      </c>
      <c r="H22" s="376" t="s">
        <v>103</v>
      </c>
      <c r="I22" s="372">
        <v>17</v>
      </c>
      <c r="J22" s="26">
        <v>2000</v>
      </c>
      <c r="K22" s="10">
        <f t="shared" ref="K22:K27" si="34">J22/I22</f>
        <v>117.64705882352941</v>
      </c>
      <c r="L22" s="372">
        <v>17</v>
      </c>
      <c r="M22" s="11">
        <f t="shared" ref="M22:M26" si="35">F22/V22*60</f>
        <v>1907.7272727272727</v>
      </c>
      <c r="N22" s="10">
        <f t="shared" si="22"/>
        <v>112.2192513368984</v>
      </c>
      <c r="O22" s="12">
        <f t="shared" ref="O22:O26" si="36">L22-I22</f>
        <v>0</v>
      </c>
      <c r="P22" s="13">
        <f t="shared" ref="P22:P26" si="37">N22-K22</f>
        <v>-5.4278074866310106</v>
      </c>
      <c r="Q22" s="368">
        <f t="shared" si="29"/>
        <v>0.95386363636363636</v>
      </c>
      <c r="R22" s="442">
        <f>Q27</f>
        <v>0.95849631682626746</v>
      </c>
      <c r="S22" s="28">
        <v>0.20833333333333334</v>
      </c>
      <c r="T22" s="28">
        <v>0.2388888888888889</v>
      </c>
      <c r="U22" s="363"/>
      <c r="V22" s="373">
        <f>(T22-S22)*24*60</f>
        <v>44</v>
      </c>
      <c r="W22" s="18"/>
      <c r="X22" s="18"/>
      <c r="Y22" s="443"/>
      <c r="Z22" s="443"/>
      <c r="AA22" s="12">
        <f t="shared" si="2"/>
        <v>-92.272727272727252</v>
      </c>
      <c r="AB22" s="368">
        <f t="shared" si="19"/>
        <v>0.95386363636363636</v>
      </c>
      <c r="AC22" s="442">
        <f>AB27</f>
        <v>0.95849631682626746</v>
      </c>
    </row>
    <row r="23" spans="1:29" ht="15.75" customHeight="1">
      <c r="A23" s="468" t="s">
        <v>243</v>
      </c>
      <c r="B23" s="31" t="s">
        <v>58</v>
      </c>
      <c r="C23" s="464" t="s">
        <v>62</v>
      </c>
      <c r="D23" s="464"/>
      <c r="E23" s="31">
        <v>57.73</v>
      </c>
      <c r="F23" s="374">
        <v>2997</v>
      </c>
      <c r="G23" s="363">
        <f t="shared" si="33"/>
        <v>173016.81</v>
      </c>
      <c r="H23" s="376" t="s">
        <v>103</v>
      </c>
      <c r="I23" s="372">
        <v>15</v>
      </c>
      <c r="J23" s="26">
        <v>2000</v>
      </c>
      <c r="K23" s="10">
        <f t="shared" si="34"/>
        <v>133.33333333333334</v>
      </c>
      <c r="L23" s="372">
        <v>15</v>
      </c>
      <c r="M23" s="11">
        <f t="shared" si="35"/>
        <v>1912.9787234042556</v>
      </c>
      <c r="N23" s="10">
        <f t="shared" si="22"/>
        <v>127.53191489361704</v>
      </c>
      <c r="O23" s="12">
        <f t="shared" si="36"/>
        <v>0</v>
      </c>
      <c r="P23" s="13">
        <f t="shared" si="37"/>
        <v>-5.8014184397163007</v>
      </c>
      <c r="Q23" s="368">
        <f t="shared" si="29"/>
        <v>0.95648936170212773</v>
      </c>
      <c r="R23" s="442"/>
      <c r="S23" s="28">
        <v>0.24444444444444446</v>
      </c>
      <c r="T23" s="28">
        <v>0.30972222222222223</v>
      </c>
      <c r="U23" s="363">
        <f>IF(S23=TIME(17,0,0),"",(S23-T22)*24*60)</f>
        <v>8.0000000000000107</v>
      </c>
      <c r="V23" s="373">
        <f t="shared" ref="V23:V26" si="38">(T23-S23)*24*60</f>
        <v>93.999999999999986</v>
      </c>
      <c r="W23" s="16"/>
      <c r="X23" s="363"/>
      <c r="Y23" s="443"/>
      <c r="Z23" s="443"/>
      <c r="AA23" s="12">
        <f t="shared" si="2"/>
        <v>-87.021276595744439</v>
      </c>
      <c r="AB23" s="368">
        <f t="shared" si="19"/>
        <v>0.95648936170212773</v>
      </c>
      <c r="AC23" s="442"/>
    </row>
    <row r="24" spans="1:29" ht="15.75" customHeight="1">
      <c r="A24" s="468" t="s">
        <v>243</v>
      </c>
      <c r="B24" s="31" t="s">
        <v>58</v>
      </c>
      <c r="C24" s="464" t="s">
        <v>63</v>
      </c>
      <c r="D24" s="464"/>
      <c r="E24" s="31">
        <v>53.68</v>
      </c>
      <c r="F24" s="374">
        <v>1963</v>
      </c>
      <c r="G24" s="363">
        <f t="shared" si="33"/>
        <v>105373.84</v>
      </c>
      <c r="H24" s="376" t="s">
        <v>103</v>
      </c>
      <c r="I24" s="372">
        <v>16</v>
      </c>
      <c r="J24" s="26">
        <v>2000</v>
      </c>
      <c r="K24" s="10">
        <f t="shared" si="34"/>
        <v>125</v>
      </c>
      <c r="L24" s="372">
        <v>16</v>
      </c>
      <c r="M24" s="11">
        <f t="shared" si="35"/>
        <v>1930.8196721311467</v>
      </c>
      <c r="N24" s="10">
        <f t="shared" si="22"/>
        <v>120.67622950819667</v>
      </c>
      <c r="O24" s="12">
        <f t="shared" si="36"/>
        <v>0</v>
      </c>
      <c r="P24" s="13">
        <f t="shared" si="37"/>
        <v>-4.3237704918033302</v>
      </c>
      <c r="Q24" s="368">
        <f t="shared" si="29"/>
        <v>0.9654098360655734</v>
      </c>
      <c r="R24" s="442"/>
      <c r="S24" s="28">
        <v>0.31388888888888888</v>
      </c>
      <c r="T24" s="28">
        <v>0.35625000000000001</v>
      </c>
      <c r="U24" s="363">
        <f t="shared" ref="U24:U26" si="39">IF(S24=TIME(17,0,0),"",(S24-T23)*24*60)</f>
        <v>5.9999999999999787</v>
      </c>
      <c r="V24" s="373">
        <f t="shared" si="38"/>
        <v>61.000000000000021</v>
      </c>
      <c r="W24" s="16"/>
      <c r="X24" s="363"/>
      <c r="Y24" s="443"/>
      <c r="Z24" s="443"/>
      <c r="AA24" s="12">
        <f t="shared" si="2"/>
        <v>-69.180327868853283</v>
      </c>
      <c r="AB24" s="368">
        <f t="shared" si="19"/>
        <v>0.9654098360655734</v>
      </c>
      <c r="AC24" s="442"/>
    </row>
    <row r="25" spans="1:29" ht="15.75" customHeight="1">
      <c r="A25" s="468" t="s">
        <v>243</v>
      </c>
      <c r="B25" s="31" t="s">
        <v>58</v>
      </c>
      <c r="C25" s="464" t="s">
        <v>1170</v>
      </c>
      <c r="D25" s="464"/>
      <c r="E25" s="31">
        <v>53.27</v>
      </c>
      <c r="F25" s="374">
        <v>2055</v>
      </c>
      <c r="G25" s="363">
        <f t="shared" si="33"/>
        <v>109469.85</v>
      </c>
      <c r="H25" s="376" t="s">
        <v>103</v>
      </c>
      <c r="I25" s="372">
        <v>16</v>
      </c>
      <c r="J25" s="26">
        <v>2000</v>
      </c>
      <c r="K25" s="10">
        <f t="shared" si="34"/>
        <v>125</v>
      </c>
      <c r="L25" s="372">
        <v>16</v>
      </c>
      <c r="M25" s="11">
        <f t="shared" si="35"/>
        <v>1926.5624999999995</v>
      </c>
      <c r="N25" s="10">
        <f t="shared" si="22"/>
        <v>120.41015624999997</v>
      </c>
      <c r="O25" s="12">
        <f t="shared" si="36"/>
        <v>0</v>
      </c>
      <c r="P25" s="13">
        <f t="shared" si="37"/>
        <v>-4.5898437500000284</v>
      </c>
      <c r="Q25" s="368">
        <f t="shared" si="29"/>
        <v>0.96328124999999976</v>
      </c>
      <c r="R25" s="442"/>
      <c r="S25" s="28">
        <v>0.36180555555555555</v>
      </c>
      <c r="T25" s="28">
        <v>0.40625</v>
      </c>
      <c r="U25" s="363">
        <f t="shared" si="39"/>
        <v>7.9999999999999716</v>
      </c>
      <c r="V25" s="373">
        <f t="shared" si="38"/>
        <v>64.000000000000014</v>
      </c>
      <c r="W25" s="16"/>
      <c r="X25" s="363"/>
      <c r="Y25" s="443"/>
      <c r="Z25" s="443"/>
      <c r="AA25" s="12">
        <f t="shared" si="2"/>
        <v>-73.437500000000455</v>
      </c>
      <c r="AB25" s="368">
        <f t="shared" si="19"/>
        <v>0.96328124999999976</v>
      </c>
      <c r="AC25" s="442"/>
    </row>
    <row r="26" spans="1:29" ht="15.75" customHeight="1">
      <c r="A26" s="468" t="s">
        <v>243</v>
      </c>
      <c r="B26" s="31" t="s">
        <v>58</v>
      </c>
      <c r="C26" s="464" t="s">
        <v>65</v>
      </c>
      <c r="D26" s="464"/>
      <c r="E26" s="31">
        <v>54.09</v>
      </c>
      <c r="F26" s="374">
        <v>3051</v>
      </c>
      <c r="G26" s="363">
        <f t="shared" si="33"/>
        <v>165028.59</v>
      </c>
      <c r="H26" s="376" t="s">
        <v>103</v>
      </c>
      <c r="I26" s="372">
        <v>19</v>
      </c>
      <c r="J26" s="26">
        <v>2000</v>
      </c>
      <c r="K26" s="10">
        <f t="shared" si="34"/>
        <v>105.26315789473684</v>
      </c>
      <c r="L26" s="372">
        <v>19</v>
      </c>
      <c r="M26" s="11">
        <f t="shared" si="35"/>
        <v>1906.8750000000007</v>
      </c>
      <c r="N26" s="10">
        <f t="shared" si="22"/>
        <v>100.36184210526319</v>
      </c>
      <c r="O26" s="12">
        <f t="shared" si="36"/>
        <v>0</v>
      </c>
      <c r="P26" s="13">
        <f t="shared" si="37"/>
        <v>-4.9013157894736423</v>
      </c>
      <c r="Q26" s="368">
        <f t="shared" si="29"/>
        <v>0.95343750000000038</v>
      </c>
      <c r="R26" s="442"/>
      <c r="S26" s="28">
        <v>0.70833333333333337</v>
      </c>
      <c r="T26" s="28">
        <v>0.77500000000000002</v>
      </c>
      <c r="U26" s="363" t="str">
        <f t="shared" si="39"/>
        <v/>
      </c>
      <c r="V26" s="373">
        <f t="shared" si="38"/>
        <v>95.999999999999972</v>
      </c>
      <c r="W26" s="16"/>
      <c r="X26" s="363"/>
      <c r="Y26" s="443"/>
      <c r="Z26" s="443"/>
      <c r="AA26" s="12">
        <f t="shared" si="2"/>
        <v>-93.124999999999318</v>
      </c>
      <c r="AB26" s="368">
        <f t="shared" si="19"/>
        <v>0.95343750000000038</v>
      </c>
      <c r="AC26" s="442"/>
    </row>
    <row r="27" spans="1:29" ht="15.75" customHeight="1">
      <c r="A27" s="468" t="s">
        <v>243</v>
      </c>
      <c r="B27" s="31" t="s">
        <v>231</v>
      </c>
      <c r="C27" s="446"/>
      <c r="D27" s="446"/>
      <c r="E27" s="362"/>
      <c r="F27" s="374"/>
      <c r="G27" s="363"/>
      <c r="H27" s="374"/>
      <c r="I27" s="19">
        <v>16.600000000000001</v>
      </c>
      <c r="J27" s="26">
        <v>2000</v>
      </c>
      <c r="K27" s="10">
        <f t="shared" si="34"/>
        <v>120.48192771084337</v>
      </c>
      <c r="L27" s="19">
        <v>16.600000000000001</v>
      </c>
      <c r="M27" s="11">
        <f>AVERAGE(M22:M26)</f>
        <v>1916.992633652535</v>
      </c>
      <c r="N27" s="10">
        <f>M27/L27</f>
        <v>115.48148395497198</v>
      </c>
      <c r="O27" s="12">
        <f>L27-I27</f>
        <v>0</v>
      </c>
      <c r="P27" s="13">
        <f>N27-K27</f>
        <v>-5.0004437558713875</v>
      </c>
      <c r="Q27" s="368">
        <f>N27/K27</f>
        <v>0.95849631682626746</v>
      </c>
      <c r="R27" s="442"/>
      <c r="S27" s="28"/>
      <c r="T27" s="28"/>
      <c r="U27" s="10"/>
      <c r="V27" s="373"/>
      <c r="W27" s="10"/>
      <c r="X27" s="10"/>
      <c r="Y27" s="443"/>
      <c r="Z27" s="443"/>
      <c r="AA27" s="12">
        <f t="shared" si="2"/>
        <v>-83.007366347464995</v>
      </c>
      <c r="AB27" s="368">
        <f t="shared" si="19"/>
        <v>0.95849631682626746</v>
      </c>
      <c r="AC27" s="442"/>
    </row>
    <row r="28" spans="1:29" ht="15.75" customHeight="1">
      <c r="A28" s="463" t="s">
        <v>291</v>
      </c>
      <c r="B28" s="31" t="s">
        <v>67</v>
      </c>
      <c r="C28" s="464" t="s">
        <v>68</v>
      </c>
      <c r="D28" s="464"/>
      <c r="E28" s="31">
        <v>26.2</v>
      </c>
      <c r="F28" s="374">
        <v>3200</v>
      </c>
      <c r="G28" s="363">
        <f t="shared" ref="G28:G38" si="40">E28*F28</f>
        <v>83840</v>
      </c>
      <c r="H28" s="376">
        <v>2</v>
      </c>
      <c r="I28" s="372">
        <v>20</v>
      </c>
      <c r="J28" s="26">
        <v>2400</v>
      </c>
      <c r="K28" s="10">
        <f>J28/I28</f>
        <v>120</v>
      </c>
      <c r="L28" s="372">
        <v>20</v>
      </c>
      <c r="M28" s="11">
        <f t="shared" ref="M28:M38" si="41">F28/V28*60</f>
        <v>2285.7142857142862</v>
      </c>
      <c r="N28" s="10">
        <f t="shared" ref="N28:N38" si="42">M28/L28</f>
        <v>114.28571428571431</v>
      </c>
      <c r="O28" s="12">
        <f t="shared" ref="O28:O38" si="43">L28-I28</f>
        <v>0</v>
      </c>
      <c r="P28" s="13">
        <f t="shared" ref="P28:P38" si="44">N28-K28</f>
        <v>-5.714285714285694</v>
      </c>
      <c r="Q28" s="368">
        <f t="shared" ref="Q28:Q33" si="45">N28/K28</f>
        <v>0.95238095238095255</v>
      </c>
      <c r="R28" s="442">
        <f>Q39</f>
        <v>0.95901949084320048</v>
      </c>
      <c r="S28" s="28">
        <v>0.125</v>
      </c>
      <c r="T28" s="28">
        <v>0.18333333333333332</v>
      </c>
      <c r="U28" s="363"/>
      <c r="V28" s="373">
        <f t="shared" ref="V28:V38" si="46">(T28-S28)*24*60</f>
        <v>83.999999999999986</v>
      </c>
      <c r="W28" s="16">
        <f>T28</f>
        <v>0.18333333333333332</v>
      </c>
      <c r="X28" s="16">
        <f>S29</f>
        <v>0.2048611111111111</v>
      </c>
      <c r="Y28" s="443"/>
      <c r="Z28" s="443"/>
      <c r="AA28" s="12">
        <f t="shared" si="2"/>
        <v>-114.28571428571377</v>
      </c>
      <c r="AB28" s="368">
        <f>M28/J28</f>
        <v>0.95238095238095255</v>
      </c>
      <c r="AC28" s="442">
        <f>AB39</f>
        <v>0.95901949084320048</v>
      </c>
    </row>
    <row r="29" spans="1:29" ht="15.75" customHeight="1">
      <c r="A29" s="463" t="s">
        <v>291</v>
      </c>
      <c r="B29" s="31" t="s">
        <v>67</v>
      </c>
      <c r="C29" s="464" t="s">
        <v>69</v>
      </c>
      <c r="D29" s="464"/>
      <c r="E29" s="31">
        <v>31.29</v>
      </c>
      <c r="F29" s="374">
        <v>4400</v>
      </c>
      <c r="G29" s="363">
        <f t="shared" si="40"/>
        <v>137676</v>
      </c>
      <c r="H29" s="376">
        <v>2</v>
      </c>
      <c r="I29" s="372">
        <v>18</v>
      </c>
      <c r="J29" s="26">
        <v>2400</v>
      </c>
      <c r="K29" s="10">
        <f t="shared" ref="K29:K39" si="47">J29/I29</f>
        <v>133.33333333333334</v>
      </c>
      <c r="L29" s="372">
        <v>18</v>
      </c>
      <c r="M29" s="11">
        <f t="shared" si="41"/>
        <v>2295.652173913044</v>
      </c>
      <c r="N29" s="10">
        <f t="shared" si="42"/>
        <v>127.536231884058</v>
      </c>
      <c r="O29" s="12">
        <f t="shared" si="43"/>
        <v>0</v>
      </c>
      <c r="P29" s="13">
        <f t="shared" si="44"/>
        <v>-5.7971014492753454</v>
      </c>
      <c r="Q29" s="368">
        <f t="shared" si="45"/>
        <v>0.95652173913043492</v>
      </c>
      <c r="R29" s="442"/>
      <c r="S29" s="28">
        <v>0.2048611111111111</v>
      </c>
      <c r="T29" s="28">
        <v>0.28472222222222221</v>
      </c>
      <c r="U29" s="363">
        <f>(S29-T28)*24*60</f>
        <v>31.000000000000011</v>
      </c>
      <c r="V29" s="373">
        <f t="shared" si="46"/>
        <v>114.99999999999999</v>
      </c>
      <c r="W29" s="16"/>
      <c r="X29" s="16"/>
      <c r="Y29" s="443"/>
      <c r="Z29" s="443"/>
      <c r="AA29" s="12">
        <f t="shared" si="2"/>
        <v>-104.34782608695605</v>
      </c>
      <c r="AB29" s="368">
        <f t="shared" ref="AB29:AB38" si="48">M29/J29</f>
        <v>0.95652173913043503</v>
      </c>
      <c r="AC29" s="442"/>
    </row>
    <row r="30" spans="1:29" ht="15.75" customHeight="1">
      <c r="A30" s="463" t="s">
        <v>291</v>
      </c>
      <c r="B30" s="31" t="s">
        <v>67</v>
      </c>
      <c r="C30" s="464" t="s">
        <v>101</v>
      </c>
      <c r="D30" s="464"/>
      <c r="E30" s="31">
        <v>25</v>
      </c>
      <c r="F30" s="374">
        <v>2700</v>
      </c>
      <c r="G30" s="363">
        <f t="shared" si="40"/>
        <v>67500</v>
      </c>
      <c r="H30" s="376">
        <v>2</v>
      </c>
      <c r="I30" s="372">
        <v>15</v>
      </c>
      <c r="J30" s="26">
        <v>2400</v>
      </c>
      <c r="K30" s="10">
        <f t="shared" si="47"/>
        <v>160</v>
      </c>
      <c r="L30" s="372">
        <v>15</v>
      </c>
      <c r="M30" s="11">
        <f t="shared" si="41"/>
        <v>2314.2857142857147</v>
      </c>
      <c r="N30" s="10">
        <f t="shared" si="42"/>
        <v>154.28571428571431</v>
      </c>
      <c r="O30" s="12">
        <f t="shared" si="43"/>
        <v>0</v>
      </c>
      <c r="P30" s="13">
        <f t="shared" si="44"/>
        <v>-5.714285714285694</v>
      </c>
      <c r="Q30" s="368">
        <f t="shared" si="45"/>
        <v>0.96428571428571441</v>
      </c>
      <c r="R30" s="442"/>
      <c r="S30" s="28">
        <v>0.29027777777777775</v>
      </c>
      <c r="T30" s="28">
        <v>0.33888888888888885</v>
      </c>
      <c r="U30" s="363">
        <f t="shared" ref="U30:U38" si="49">(S30-T29)*24*60</f>
        <v>7.9999999999999716</v>
      </c>
      <c r="V30" s="373">
        <f t="shared" si="46"/>
        <v>69.999999999999986</v>
      </c>
      <c r="W30" s="16"/>
      <c r="X30" s="16"/>
      <c r="Y30" s="443"/>
      <c r="Z30" s="443"/>
      <c r="AA30" s="12">
        <f t="shared" si="2"/>
        <v>-85.714285714285325</v>
      </c>
      <c r="AB30" s="368">
        <f t="shared" si="48"/>
        <v>0.96428571428571441</v>
      </c>
      <c r="AC30" s="442"/>
    </row>
    <row r="31" spans="1:29" ht="15.75" customHeight="1">
      <c r="A31" s="463" t="s">
        <v>291</v>
      </c>
      <c r="B31" s="31" t="s">
        <v>67</v>
      </c>
      <c r="C31" s="464" t="s">
        <v>165</v>
      </c>
      <c r="D31" s="464"/>
      <c r="E31" s="31">
        <v>26.18</v>
      </c>
      <c r="F31" s="374">
        <v>2800</v>
      </c>
      <c r="G31" s="363">
        <f t="shared" si="40"/>
        <v>73304</v>
      </c>
      <c r="H31" s="376">
        <v>2</v>
      </c>
      <c r="I31" s="372">
        <v>19</v>
      </c>
      <c r="J31" s="26">
        <v>2400</v>
      </c>
      <c r="K31" s="10">
        <f t="shared" si="47"/>
        <v>126.31578947368421</v>
      </c>
      <c r="L31" s="372">
        <v>19</v>
      </c>
      <c r="M31" s="11">
        <f t="shared" si="41"/>
        <v>2301.3698630136987</v>
      </c>
      <c r="N31" s="10">
        <f t="shared" si="42"/>
        <v>121.12472963229993</v>
      </c>
      <c r="O31" s="12">
        <f t="shared" si="43"/>
        <v>0</v>
      </c>
      <c r="P31" s="13">
        <f t="shared" si="44"/>
        <v>-5.1910598413842735</v>
      </c>
      <c r="Q31" s="368">
        <f t="shared" si="45"/>
        <v>0.95890410958904115</v>
      </c>
      <c r="R31" s="442"/>
      <c r="S31" s="28">
        <v>0.34444444444444439</v>
      </c>
      <c r="T31" s="28">
        <v>0.39513888888888882</v>
      </c>
      <c r="U31" s="363">
        <f t="shared" si="49"/>
        <v>7.9999999999999716</v>
      </c>
      <c r="V31" s="373">
        <f t="shared" si="46"/>
        <v>72.999999999999986</v>
      </c>
      <c r="W31" s="16"/>
      <c r="X31" s="16"/>
      <c r="Y31" s="443"/>
      <c r="Z31" s="443"/>
      <c r="AA31" s="12">
        <f t="shared" si="2"/>
        <v>-98.630136986301295</v>
      </c>
      <c r="AB31" s="368">
        <f t="shared" si="48"/>
        <v>0.95890410958904115</v>
      </c>
      <c r="AC31" s="442"/>
    </row>
    <row r="32" spans="1:29" ht="15.75" customHeight="1">
      <c r="A32" s="463" t="s">
        <v>291</v>
      </c>
      <c r="B32" s="31" t="s">
        <v>67</v>
      </c>
      <c r="C32" s="464" t="s">
        <v>77</v>
      </c>
      <c r="D32" s="464"/>
      <c r="E32" s="31">
        <v>26.2</v>
      </c>
      <c r="F32" s="374">
        <v>2900</v>
      </c>
      <c r="G32" s="363">
        <f t="shared" si="40"/>
        <v>75980</v>
      </c>
      <c r="H32" s="376">
        <v>2</v>
      </c>
      <c r="I32" s="372">
        <v>19</v>
      </c>
      <c r="J32" s="26">
        <v>2400</v>
      </c>
      <c r="K32" s="10">
        <f t="shared" si="47"/>
        <v>126.31578947368421</v>
      </c>
      <c r="L32" s="372">
        <v>19</v>
      </c>
      <c r="M32" s="11">
        <f t="shared" si="41"/>
        <v>2289.4736842105272</v>
      </c>
      <c r="N32" s="10">
        <f t="shared" si="42"/>
        <v>120.4986149584488</v>
      </c>
      <c r="O32" s="12">
        <f t="shared" si="43"/>
        <v>0</v>
      </c>
      <c r="P32" s="13">
        <f t="shared" si="44"/>
        <v>-5.8171745152354077</v>
      </c>
      <c r="Q32" s="368">
        <f t="shared" si="45"/>
        <v>0.95394736842105299</v>
      </c>
      <c r="R32" s="442"/>
      <c r="S32" s="28">
        <v>0.40069444444444435</v>
      </c>
      <c r="T32" s="28">
        <v>0.45347222222222211</v>
      </c>
      <c r="U32" s="363">
        <f t="shared" si="49"/>
        <v>7.9999999999999716</v>
      </c>
      <c r="V32" s="373">
        <f t="shared" si="46"/>
        <v>75.999999999999972</v>
      </c>
      <c r="W32" s="16"/>
      <c r="X32" s="16"/>
      <c r="Y32" s="443"/>
      <c r="Z32" s="443"/>
      <c r="AA32" s="12">
        <f t="shared" si="2"/>
        <v>-110.52631578947285</v>
      </c>
      <c r="AB32" s="368">
        <f t="shared" si="48"/>
        <v>0.95394736842105299</v>
      </c>
      <c r="AC32" s="442"/>
    </row>
    <row r="33" spans="1:29" ht="15.75" customHeight="1">
      <c r="A33" s="463" t="s">
        <v>291</v>
      </c>
      <c r="B33" s="31" t="s">
        <v>67</v>
      </c>
      <c r="C33" s="464" t="s">
        <v>76</v>
      </c>
      <c r="D33" s="464"/>
      <c r="E33" s="31">
        <v>20.52</v>
      </c>
      <c r="F33" s="374">
        <v>2300</v>
      </c>
      <c r="G33" s="363">
        <f t="shared" si="40"/>
        <v>47196</v>
      </c>
      <c r="H33" s="376">
        <v>2</v>
      </c>
      <c r="I33" s="372">
        <v>18</v>
      </c>
      <c r="J33" s="26">
        <v>2400</v>
      </c>
      <c r="K33" s="10">
        <f t="shared" si="47"/>
        <v>133.33333333333334</v>
      </c>
      <c r="L33" s="372">
        <v>18</v>
      </c>
      <c r="M33" s="11">
        <f t="shared" si="41"/>
        <v>2299.9999999999991</v>
      </c>
      <c r="N33" s="10">
        <f t="shared" si="42"/>
        <v>127.77777777777773</v>
      </c>
      <c r="O33" s="12">
        <f t="shared" si="43"/>
        <v>0</v>
      </c>
      <c r="P33" s="13">
        <f t="shared" si="44"/>
        <v>-5.555555555555614</v>
      </c>
      <c r="Q33" s="368">
        <f t="shared" si="45"/>
        <v>0.95833333333333293</v>
      </c>
      <c r="R33" s="442"/>
      <c r="S33" s="28">
        <v>0.45763888888888876</v>
      </c>
      <c r="T33" s="28">
        <v>0.49930555555555545</v>
      </c>
      <c r="U33" s="363">
        <f t="shared" si="49"/>
        <v>5.9999999999999787</v>
      </c>
      <c r="V33" s="373">
        <f t="shared" si="46"/>
        <v>60.000000000000028</v>
      </c>
      <c r="W33" s="16"/>
      <c r="X33" s="16"/>
      <c r="Y33" s="443"/>
      <c r="Z33" s="443"/>
      <c r="AA33" s="12">
        <f t="shared" si="2"/>
        <v>-100.00000000000091</v>
      </c>
      <c r="AB33" s="368">
        <f t="shared" si="48"/>
        <v>0.95833333333333293</v>
      </c>
      <c r="AC33" s="442"/>
    </row>
    <row r="34" spans="1:29" ht="15.75" customHeight="1">
      <c r="A34" s="463" t="s">
        <v>291</v>
      </c>
      <c r="B34" s="31" t="s">
        <v>67</v>
      </c>
      <c r="C34" s="464" t="s">
        <v>69</v>
      </c>
      <c r="D34" s="464"/>
      <c r="E34" s="31">
        <v>31.29</v>
      </c>
      <c r="F34" s="374">
        <v>6311</v>
      </c>
      <c r="G34" s="363">
        <f t="shared" si="40"/>
        <v>197471.19</v>
      </c>
      <c r="H34" s="376" t="s">
        <v>103</v>
      </c>
      <c r="I34" s="372">
        <v>18</v>
      </c>
      <c r="J34" s="26">
        <v>2400</v>
      </c>
      <c r="K34" s="10">
        <f t="shared" si="47"/>
        <v>133.33333333333334</v>
      </c>
      <c r="L34" s="372">
        <v>18</v>
      </c>
      <c r="M34" s="11">
        <f t="shared" si="41"/>
        <v>2294.9090909090901</v>
      </c>
      <c r="N34" s="10">
        <f t="shared" si="42"/>
        <v>127.49494949494945</v>
      </c>
      <c r="O34" s="12">
        <f t="shared" si="43"/>
        <v>0</v>
      </c>
      <c r="P34" s="13">
        <f t="shared" si="44"/>
        <v>-5.8383838383838906</v>
      </c>
      <c r="Q34" s="368">
        <f>N34/K34</f>
        <v>0.95621212121212085</v>
      </c>
      <c r="R34" s="442"/>
      <c r="S34" s="28">
        <v>0.5034722222222221</v>
      </c>
      <c r="T34" s="28">
        <v>0.61805555555555547</v>
      </c>
      <c r="U34" s="363">
        <f t="shared" si="49"/>
        <v>5.9999999999999787</v>
      </c>
      <c r="V34" s="373">
        <f t="shared" si="46"/>
        <v>165.00000000000006</v>
      </c>
      <c r="W34" s="16"/>
      <c r="X34" s="16"/>
      <c r="Y34" s="443"/>
      <c r="Z34" s="443"/>
      <c r="AA34" s="12">
        <f t="shared" si="2"/>
        <v>-105.09090909090992</v>
      </c>
      <c r="AB34" s="368">
        <f t="shared" si="48"/>
        <v>0.95621212121212085</v>
      </c>
      <c r="AC34" s="442"/>
    </row>
    <row r="35" spans="1:29" ht="15.75" customHeight="1">
      <c r="A35" s="463" t="s">
        <v>291</v>
      </c>
      <c r="B35" s="31" t="s">
        <v>67</v>
      </c>
      <c r="C35" s="464" t="s">
        <v>165</v>
      </c>
      <c r="D35" s="464"/>
      <c r="E35" s="31">
        <v>26.18</v>
      </c>
      <c r="F35" s="374">
        <v>2039</v>
      </c>
      <c r="G35" s="363">
        <f t="shared" si="40"/>
        <v>53381.02</v>
      </c>
      <c r="H35" s="376" t="s">
        <v>103</v>
      </c>
      <c r="I35" s="372">
        <v>19</v>
      </c>
      <c r="J35" s="26">
        <v>2400</v>
      </c>
      <c r="K35" s="10">
        <f t="shared" si="47"/>
        <v>126.31578947368421</v>
      </c>
      <c r="L35" s="372">
        <v>19</v>
      </c>
      <c r="M35" s="11">
        <f t="shared" si="41"/>
        <v>2308.3018867924538</v>
      </c>
      <c r="N35" s="10">
        <f t="shared" si="42"/>
        <v>121.48957298907652</v>
      </c>
      <c r="O35" s="12">
        <f t="shared" si="43"/>
        <v>0</v>
      </c>
      <c r="P35" s="13">
        <f t="shared" si="44"/>
        <v>-4.8262164846076843</v>
      </c>
      <c r="Q35" s="368">
        <f>N35/K35</f>
        <v>0.96179245283018922</v>
      </c>
      <c r="R35" s="442"/>
      <c r="S35" s="28">
        <v>0.62361111111111101</v>
      </c>
      <c r="T35" s="28">
        <v>0.66041666666666654</v>
      </c>
      <c r="U35" s="363">
        <f t="shared" si="49"/>
        <v>7.9999999999999716</v>
      </c>
      <c r="V35" s="373">
        <f t="shared" si="46"/>
        <v>52.999999999999972</v>
      </c>
      <c r="W35" s="16"/>
      <c r="X35" s="16"/>
      <c r="Y35" s="443"/>
      <c r="Z35" s="443"/>
      <c r="AA35" s="12">
        <f t="shared" si="2"/>
        <v>-91.698113207546157</v>
      </c>
      <c r="AB35" s="368">
        <f t="shared" si="48"/>
        <v>0.9617924528301891</v>
      </c>
      <c r="AC35" s="442"/>
    </row>
    <row r="36" spans="1:29" ht="15.75" customHeight="1">
      <c r="A36" s="463" t="s">
        <v>291</v>
      </c>
      <c r="B36" s="31" t="s">
        <v>67</v>
      </c>
      <c r="C36" s="465" t="s">
        <v>68</v>
      </c>
      <c r="D36" s="466"/>
      <c r="E36" s="31">
        <v>26.2</v>
      </c>
      <c r="F36" s="374">
        <v>2391</v>
      </c>
      <c r="G36" s="363">
        <f t="shared" si="40"/>
        <v>62644.2</v>
      </c>
      <c r="H36" s="376" t="s">
        <v>103</v>
      </c>
      <c r="I36" s="372">
        <v>20</v>
      </c>
      <c r="J36" s="26">
        <v>2400</v>
      </c>
      <c r="K36" s="10">
        <f t="shared" si="47"/>
        <v>120</v>
      </c>
      <c r="L36" s="372">
        <v>20</v>
      </c>
      <c r="M36" s="11">
        <f t="shared" si="41"/>
        <v>2313.8709677419374</v>
      </c>
      <c r="N36" s="10">
        <f t="shared" si="42"/>
        <v>115.69354838709687</v>
      </c>
      <c r="O36" s="12">
        <f t="shared" si="43"/>
        <v>0</v>
      </c>
      <c r="P36" s="13">
        <f t="shared" si="44"/>
        <v>-4.3064516129031318</v>
      </c>
      <c r="Q36" s="368">
        <f t="shared" ref="Q36" si="50">N36/K36</f>
        <v>0.96411290322580723</v>
      </c>
      <c r="R36" s="442"/>
      <c r="S36" s="28">
        <v>0.66388888888888875</v>
      </c>
      <c r="T36" s="28">
        <v>0.70694444444444426</v>
      </c>
      <c r="U36" s="363">
        <f t="shared" si="49"/>
        <v>4.9999999999999822</v>
      </c>
      <c r="V36" s="373">
        <f t="shared" si="46"/>
        <v>61.999999999999943</v>
      </c>
      <c r="W36" s="16"/>
      <c r="X36" s="16"/>
      <c r="Y36" s="447"/>
      <c r="Z36" s="448"/>
      <c r="AA36" s="12">
        <f t="shared" si="2"/>
        <v>-86.12903225806258</v>
      </c>
      <c r="AB36" s="368">
        <f t="shared" si="48"/>
        <v>0.96411290322580723</v>
      </c>
      <c r="AC36" s="442"/>
    </row>
    <row r="37" spans="1:29" ht="15.75" customHeight="1">
      <c r="A37" s="463" t="s">
        <v>291</v>
      </c>
      <c r="B37" s="31" t="s">
        <v>67</v>
      </c>
      <c r="C37" s="465" t="s">
        <v>77</v>
      </c>
      <c r="D37" s="466"/>
      <c r="E37" s="31">
        <v>26.2</v>
      </c>
      <c r="F37" s="374">
        <v>1899</v>
      </c>
      <c r="G37" s="363">
        <f t="shared" si="40"/>
        <v>49753.799999999996</v>
      </c>
      <c r="H37" s="376" t="s">
        <v>103</v>
      </c>
      <c r="I37" s="372">
        <v>19</v>
      </c>
      <c r="J37" s="26">
        <v>2400</v>
      </c>
      <c r="K37" s="10">
        <f t="shared" si="47"/>
        <v>126.31578947368421</v>
      </c>
      <c r="L37" s="372">
        <v>19</v>
      </c>
      <c r="M37" s="11">
        <f t="shared" si="41"/>
        <v>2325.3061224489802</v>
      </c>
      <c r="N37" s="10">
        <f t="shared" si="42"/>
        <v>122.38453276047264</v>
      </c>
      <c r="O37" s="12">
        <f t="shared" si="43"/>
        <v>0</v>
      </c>
      <c r="P37" s="13">
        <f t="shared" si="44"/>
        <v>-3.9312567132115674</v>
      </c>
      <c r="Q37" s="368">
        <f>N37/K37</f>
        <v>0.9688775510204084</v>
      </c>
      <c r="R37" s="442"/>
      <c r="S37" s="28">
        <v>0.71180555555555536</v>
      </c>
      <c r="T37" s="28">
        <v>0.74583333333333313</v>
      </c>
      <c r="U37" s="363">
        <f t="shared" si="49"/>
        <v>6.9999999999999751</v>
      </c>
      <c r="V37" s="373">
        <f t="shared" si="46"/>
        <v>48.999999999999986</v>
      </c>
      <c r="W37" s="16"/>
      <c r="X37" s="16"/>
      <c r="Y37" s="447"/>
      <c r="Z37" s="448"/>
      <c r="AA37" s="12">
        <f t="shared" si="2"/>
        <v>-74.693877551019796</v>
      </c>
      <c r="AB37" s="368">
        <f t="shared" si="48"/>
        <v>0.9688775510204084</v>
      </c>
      <c r="AC37" s="442"/>
    </row>
    <row r="38" spans="1:29" ht="15.6" customHeight="1">
      <c r="A38" s="463" t="s">
        <v>291</v>
      </c>
      <c r="B38" s="31" t="s">
        <v>67</v>
      </c>
      <c r="C38" s="465" t="s">
        <v>76</v>
      </c>
      <c r="D38" s="466"/>
      <c r="E38" s="31">
        <v>20.52</v>
      </c>
      <c r="F38" s="374">
        <v>1488</v>
      </c>
      <c r="G38" s="363">
        <f t="shared" si="40"/>
        <v>30533.759999999998</v>
      </c>
      <c r="H38" s="376" t="s">
        <v>103</v>
      </c>
      <c r="I38" s="372">
        <v>18</v>
      </c>
      <c r="J38" s="26">
        <v>2400</v>
      </c>
      <c r="K38" s="10">
        <f t="shared" si="47"/>
        <v>133.33333333333334</v>
      </c>
      <c r="L38" s="372">
        <v>18</v>
      </c>
      <c r="M38" s="11">
        <f t="shared" si="41"/>
        <v>2289.2307692307677</v>
      </c>
      <c r="N38" s="10">
        <f t="shared" si="42"/>
        <v>127.1794871794871</v>
      </c>
      <c r="O38" s="12">
        <f t="shared" si="43"/>
        <v>0</v>
      </c>
      <c r="P38" s="13">
        <f t="shared" si="44"/>
        <v>-6.1538461538462457</v>
      </c>
      <c r="Q38" s="368">
        <f t="shared" ref="Q38" si="51">N38/K38</f>
        <v>0.95384615384615312</v>
      </c>
      <c r="R38" s="442"/>
      <c r="S38" s="28">
        <v>0.75138888888888866</v>
      </c>
      <c r="T38" s="28">
        <v>0.77847222222222201</v>
      </c>
      <c r="U38" s="363">
        <f t="shared" si="49"/>
        <v>7.9999999999999716</v>
      </c>
      <c r="V38" s="373">
        <f t="shared" si="46"/>
        <v>39.000000000000021</v>
      </c>
      <c r="W38" s="16"/>
      <c r="X38" s="16"/>
      <c r="Y38" s="447"/>
      <c r="Z38" s="448"/>
      <c r="AA38" s="12">
        <f t="shared" si="2"/>
        <v>-110.76923076923231</v>
      </c>
      <c r="AB38" s="368">
        <f t="shared" si="48"/>
        <v>0.95384615384615323</v>
      </c>
      <c r="AC38" s="442"/>
    </row>
    <row r="39" spans="1:29" ht="15.75" customHeight="1">
      <c r="A39" s="463" t="s">
        <v>291</v>
      </c>
      <c r="B39" s="31" t="s">
        <v>231</v>
      </c>
      <c r="C39" s="446"/>
      <c r="D39" s="446"/>
      <c r="E39" s="362"/>
      <c r="F39" s="374"/>
      <c r="G39" s="363"/>
      <c r="H39" s="374"/>
      <c r="I39" s="19">
        <v>18.454545454545453</v>
      </c>
      <c r="J39" s="26">
        <v>2400</v>
      </c>
      <c r="K39" s="10">
        <f t="shared" si="47"/>
        <v>130.04926108374386</v>
      </c>
      <c r="L39" s="19">
        <v>18.454545454545453</v>
      </c>
      <c r="M39" s="11">
        <f>AVERAGE(M28:M38)</f>
        <v>2301.6467780236812</v>
      </c>
      <c r="N39" s="10">
        <f>M39/L39</f>
        <v>124.71977614906648</v>
      </c>
      <c r="O39" s="12">
        <f>L39-I39</f>
        <v>0</v>
      </c>
      <c r="P39" s="13">
        <f>N39-K39</f>
        <v>-5.3294849346773816</v>
      </c>
      <c r="Q39" s="368">
        <f>N39/K39</f>
        <v>0.95901949084320048</v>
      </c>
      <c r="R39" s="442"/>
      <c r="S39" s="28"/>
      <c r="T39" s="28"/>
      <c r="U39" s="363"/>
      <c r="V39" s="373"/>
      <c r="W39" s="363"/>
      <c r="X39" s="363"/>
      <c r="Y39" s="443"/>
      <c r="Z39" s="443"/>
      <c r="AA39" s="12">
        <f t="shared" si="2"/>
        <v>-98.353221976318764</v>
      </c>
      <c r="AB39" s="368">
        <f>M39/J39</f>
        <v>0.95901949084320048</v>
      </c>
      <c r="AC39" s="442"/>
    </row>
    <row r="40" spans="1:29" ht="15.75" customHeight="1">
      <c r="A40" s="461" t="s">
        <v>716</v>
      </c>
      <c r="B40" s="31" t="s">
        <v>67</v>
      </c>
      <c r="C40" s="441" t="s">
        <v>73</v>
      </c>
      <c r="D40" s="441"/>
      <c r="E40" s="31">
        <v>26.2</v>
      </c>
      <c r="F40" s="374">
        <v>4500</v>
      </c>
      <c r="G40" s="363">
        <f t="shared" ref="G40:G47" si="52">E40*F40</f>
        <v>117900</v>
      </c>
      <c r="H40" s="376">
        <v>2</v>
      </c>
      <c r="I40" s="372">
        <v>18</v>
      </c>
      <c r="J40" s="26">
        <v>2400</v>
      </c>
      <c r="K40" s="10">
        <f>J40/I40</f>
        <v>133.33333333333334</v>
      </c>
      <c r="L40" s="372">
        <v>18</v>
      </c>
      <c r="M40" s="11">
        <f>F40/V40*60</f>
        <v>2288.1355932203396</v>
      </c>
      <c r="N40" s="10">
        <f>M40/L40</f>
        <v>127.11864406779665</v>
      </c>
      <c r="O40" s="12">
        <f t="shared" ref="O40:O47" si="53">L40-I40</f>
        <v>0</v>
      </c>
      <c r="P40" s="13">
        <f t="shared" ref="P40:P57" si="54">N40-K40</f>
        <v>-6.2146892655366912</v>
      </c>
      <c r="Q40" s="368">
        <f t="shared" ref="Q40:Q52" si="55">N40/K40</f>
        <v>0.95338983050847481</v>
      </c>
      <c r="R40" s="442">
        <f>Q48</f>
        <v>0.95327439521401558</v>
      </c>
      <c r="S40" s="28">
        <v>0.125</v>
      </c>
      <c r="T40" s="28">
        <v>0.20694444444444443</v>
      </c>
      <c r="U40" s="363"/>
      <c r="V40" s="373">
        <f t="shared" ref="V40:V47" si="56">(T40-S40)*24*60</f>
        <v>117.99999999999999</v>
      </c>
      <c r="W40" s="18">
        <f>T40</f>
        <v>0.20694444444444443</v>
      </c>
      <c r="X40" s="18">
        <f>S41</f>
        <v>0.22708333333333333</v>
      </c>
      <c r="Y40" s="443"/>
      <c r="Z40" s="443"/>
      <c r="AA40" s="12">
        <f t="shared" si="2"/>
        <v>-111.86440677966038</v>
      </c>
      <c r="AB40" s="368">
        <f>M40/J40</f>
        <v>0.95338983050847481</v>
      </c>
      <c r="AC40" s="442">
        <f>AB48</f>
        <v>0.95327439521401558</v>
      </c>
    </row>
    <row r="41" spans="1:29" ht="15.75" customHeight="1">
      <c r="A41" s="461" t="s">
        <v>716</v>
      </c>
      <c r="B41" s="31" t="s">
        <v>67</v>
      </c>
      <c r="C41" s="441" t="s">
        <v>75</v>
      </c>
      <c r="D41" s="441"/>
      <c r="E41" s="31">
        <v>26.39</v>
      </c>
      <c r="F41" s="374">
        <v>4300</v>
      </c>
      <c r="G41" s="363">
        <f t="shared" si="52"/>
        <v>113477</v>
      </c>
      <c r="H41" s="376">
        <v>2</v>
      </c>
      <c r="I41" s="372">
        <v>19</v>
      </c>
      <c r="J41" s="26">
        <v>2400</v>
      </c>
      <c r="K41" s="10">
        <f t="shared" ref="K41:K56" si="57">J41/I41</f>
        <v>126.31578947368421</v>
      </c>
      <c r="L41" s="372">
        <v>19</v>
      </c>
      <c r="M41" s="11">
        <f t="shared" ref="M41:M47" si="58">F41/V41*60</f>
        <v>2283.1858407079635</v>
      </c>
      <c r="N41" s="10">
        <f t="shared" ref="N41:N47" si="59">M41/L41</f>
        <v>120.16767582673492</v>
      </c>
      <c r="O41" s="12">
        <f t="shared" si="53"/>
        <v>0</v>
      </c>
      <c r="P41" s="13">
        <f t="shared" si="54"/>
        <v>-6.1481136469492839</v>
      </c>
      <c r="Q41" s="368">
        <f t="shared" si="55"/>
        <v>0.95132743362831818</v>
      </c>
      <c r="R41" s="442"/>
      <c r="S41" s="28">
        <v>0.22708333333333333</v>
      </c>
      <c r="T41" s="28">
        <v>0.30555555555555558</v>
      </c>
      <c r="U41" s="363">
        <f>(S41-T40)*24*60</f>
        <v>29.000000000000018</v>
      </c>
      <c r="V41" s="373">
        <f t="shared" si="56"/>
        <v>113.00000000000004</v>
      </c>
      <c r="W41" s="363"/>
      <c r="X41" s="363"/>
      <c r="Y41" s="443"/>
      <c r="Z41" s="443"/>
      <c r="AA41" s="12">
        <f t="shared" si="2"/>
        <v>-116.81415929203649</v>
      </c>
      <c r="AB41" s="368">
        <f t="shared" ref="AB41:AB69" si="60">M41/J41</f>
        <v>0.95132743362831818</v>
      </c>
      <c r="AC41" s="442"/>
    </row>
    <row r="42" spans="1:29">
      <c r="A42" s="462" t="s">
        <v>716</v>
      </c>
      <c r="B42" s="31" t="s">
        <v>67</v>
      </c>
      <c r="C42" s="441" t="s">
        <v>1167</v>
      </c>
      <c r="D42" s="441"/>
      <c r="E42" s="31">
        <v>24.43</v>
      </c>
      <c r="F42" s="374">
        <v>5250</v>
      </c>
      <c r="G42" s="363">
        <f t="shared" si="52"/>
        <v>128257.5</v>
      </c>
      <c r="H42" s="376">
        <v>2</v>
      </c>
      <c r="I42" s="372">
        <v>15</v>
      </c>
      <c r="J42" s="26">
        <v>2400</v>
      </c>
      <c r="K42" s="10">
        <f t="shared" si="57"/>
        <v>160</v>
      </c>
      <c r="L42" s="372">
        <v>15</v>
      </c>
      <c r="M42" s="11">
        <f t="shared" si="58"/>
        <v>2282.608695652174</v>
      </c>
      <c r="N42" s="10">
        <f t="shared" si="59"/>
        <v>152.17391304347828</v>
      </c>
      <c r="O42" s="12">
        <f t="shared" si="53"/>
        <v>0</v>
      </c>
      <c r="P42" s="13">
        <f t="shared" si="54"/>
        <v>-7.8260869565217206</v>
      </c>
      <c r="Q42" s="368">
        <f t="shared" si="55"/>
        <v>0.95108695652173925</v>
      </c>
      <c r="R42" s="442"/>
      <c r="S42" s="28">
        <v>0.31111111111111112</v>
      </c>
      <c r="T42" s="28">
        <v>0.40694444444444444</v>
      </c>
      <c r="U42" s="363">
        <f t="shared" ref="U42:U47" si="61">(S42-T41)*24*60</f>
        <v>7.9999999999999716</v>
      </c>
      <c r="V42" s="373">
        <f t="shared" si="56"/>
        <v>138</v>
      </c>
      <c r="W42" s="363"/>
      <c r="X42" s="363"/>
      <c r="Y42" s="443"/>
      <c r="Z42" s="443"/>
      <c r="AA42" s="12">
        <f t="shared" si="2"/>
        <v>-117.39130434782601</v>
      </c>
      <c r="AB42" s="368">
        <f t="shared" si="60"/>
        <v>0.95108695652173914</v>
      </c>
      <c r="AC42" s="442"/>
    </row>
    <row r="43" spans="1:29">
      <c r="A43" s="462" t="s">
        <v>716</v>
      </c>
      <c r="B43" s="31" t="s">
        <v>67</v>
      </c>
      <c r="C43" s="441" t="s">
        <v>1616</v>
      </c>
      <c r="D43" s="441"/>
      <c r="E43" s="31">
        <v>24.25</v>
      </c>
      <c r="F43" s="374">
        <v>4000</v>
      </c>
      <c r="G43" s="363">
        <f t="shared" si="52"/>
        <v>97000</v>
      </c>
      <c r="H43" s="376">
        <v>2</v>
      </c>
      <c r="I43" s="372">
        <v>14</v>
      </c>
      <c r="J43" s="26">
        <v>2400</v>
      </c>
      <c r="K43" s="10">
        <f t="shared" si="57"/>
        <v>171.42857142857142</v>
      </c>
      <c r="L43" s="372">
        <v>14</v>
      </c>
      <c r="M43" s="11">
        <f t="shared" si="58"/>
        <v>2285.7142857142853</v>
      </c>
      <c r="N43" s="10">
        <f t="shared" si="59"/>
        <v>163.26530612244895</v>
      </c>
      <c r="O43" s="12">
        <f t="shared" si="53"/>
        <v>0</v>
      </c>
      <c r="P43" s="13">
        <f t="shared" si="54"/>
        <v>-8.1632653061224687</v>
      </c>
      <c r="Q43" s="368">
        <f t="shared" si="55"/>
        <v>0.95238095238095222</v>
      </c>
      <c r="R43" s="442"/>
      <c r="S43" s="28">
        <v>0.41041666666666665</v>
      </c>
      <c r="T43" s="28">
        <v>0.48333333333333334</v>
      </c>
      <c r="U43" s="363">
        <f t="shared" si="61"/>
        <v>4.9999999999999822</v>
      </c>
      <c r="V43" s="373">
        <f t="shared" si="56"/>
        <v>105.00000000000003</v>
      </c>
      <c r="W43" s="16"/>
      <c r="X43" s="16"/>
      <c r="Y43" s="443"/>
      <c r="Z43" s="443"/>
      <c r="AA43" s="12">
        <f t="shared" si="2"/>
        <v>-114.28571428571468</v>
      </c>
      <c r="AB43" s="368">
        <f t="shared" si="60"/>
        <v>0.95238095238095222</v>
      </c>
      <c r="AC43" s="442"/>
    </row>
    <row r="44" spans="1:29">
      <c r="A44" s="462" t="s">
        <v>716</v>
      </c>
      <c r="B44" s="31" t="s">
        <v>67</v>
      </c>
      <c r="C44" s="441" t="s">
        <v>78</v>
      </c>
      <c r="D44" s="441"/>
      <c r="E44" s="31">
        <v>25.98</v>
      </c>
      <c r="F44" s="374">
        <v>2405</v>
      </c>
      <c r="G44" s="363">
        <f t="shared" si="52"/>
        <v>62481.9</v>
      </c>
      <c r="H44" s="376" t="s">
        <v>103</v>
      </c>
      <c r="I44" s="372">
        <v>17</v>
      </c>
      <c r="J44" s="26">
        <v>2400</v>
      </c>
      <c r="K44" s="10">
        <f t="shared" si="57"/>
        <v>141.1764705882353</v>
      </c>
      <c r="L44" s="372">
        <v>17</v>
      </c>
      <c r="M44" s="11">
        <f t="shared" si="58"/>
        <v>2290.4761904761899</v>
      </c>
      <c r="N44" s="10">
        <f t="shared" si="59"/>
        <v>134.73389355742293</v>
      </c>
      <c r="O44" s="12">
        <f t="shared" si="53"/>
        <v>0</v>
      </c>
      <c r="P44" s="13">
        <f t="shared" si="54"/>
        <v>-6.4425770308123731</v>
      </c>
      <c r="Q44" s="368">
        <f t="shared" si="55"/>
        <v>0.95436507936507897</v>
      </c>
      <c r="R44" s="442"/>
      <c r="S44" s="28">
        <v>0.48749999999999999</v>
      </c>
      <c r="T44" s="28">
        <v>0.53125</v>
      </c>
      <c r="U44" s="363">
        <f t="shared" si="61"/>
        <v>5.9999999999999787</v>
      </c>
      <c r="V44" s="373">
        <f t="shared" si="56"/>
        <v>63.000000000000014</v>
      </c>
      <c r="W44" s="16">
        <f>T44</f>
        <v>0.53125</v>
      </c>
      <c r="X44" s="16">
        <f>S45</f>
        <v>0.57361111111111107</v>
      </c>
      <c r="Y44" s="443"/>
      <c r="Z44" s="443"/>
      <c r="AA44" s="12">
        <f t="shared" si="2"/>
        <v>-109.52380952381009</v>
      </c>
      <c r="AB44" s="368">
        <f t="shared" si="60"/>
        <v>0.95436507936507908</v>
      </c>
      <c r="AC44" s="442"/>
    </row>
    <row r="45" spans="1:29">
      <c r="A45" s="462" t="s">
        <v>716</v>
      </c>
      <c r="B45" s="31" t="s">
        <v>67</v>
      </c>
      <c r="C45" s="441" t="s">
        <v>73</v>
      </c>
      <c r="D45" s="441"/>
      <c r="E45" s="31">
        <v>26.2</v>
      </c>
      <c r="F45" s="374">
        <v>3490</v>
      </c>
      <c r="G45" s="363">
        <f t="shared" si="52"/>
        <v>91438</v>
      </c>
      <c r="H45" s="376" t="s">
        <v>103</v>
      </c>
      <c r="I45" s="372">
        <v>18</v>
      </c>
      <c r="J45" s="26">
        <v>2400</v>
      </c>
      <c r="K45" s="10">
        <f t="shared" si="57"/>
        <v>133.33333333333334</v>
      </c>
      <c r="L45" s="372">
        <v>18</v>
      </c>
      <c r="M45" s="11">
        <f t="shared" si="58"/>
        <v>2301.098901098901</v>
      </c>
      <c r="N45" s="10">
        <f t="shared" si="59"/>
        <v>127.83882783882784</v>
      </c>
      <c r="O45" s="12">
        <f t="shared" si="53"/>
        <v>0</v>
      </c>
      <c r="P45" s="13">
        <f t="shared" si="54"/>
        <v>-5.4945054945055034</v>
      </c>
      <c r="Q45" s="368">
        <f t="shared" si="55"/>
        <v>0.95879120879120872</v>
      </c>
      <c r="R45" s="442"/>
      <c r="S45" s="28">
        <v>0.57361111111111107</v>
      </c>
      <c r="T45" s="28">
        <v>0.63680555555555551</v>
      </c>
      <c r="U45" s="363">
        <f t="shared" si="61"/>
        <v>60.999999999999943</v>
      </c>
      <c r="V45" s="373">
        <f t="shared" si="56"/>
        <v>91</v>
      </c>
      <c r="W45" s="16"/>
      <c r="X45" s="16"/>
      <c r="Y45" s="443"/>
      <c r="Z45" s="443"/>
      <c r="AA45" s="12">
        <f t="shared" si="2"/>
        <v>-98.901098901098976</v>
      </c>
      <c r="AB45" s="368">
        <f t="shared" si="60"/>
        <v>0.95879120879120872</v>
      </c>
      <c r="AC45" s="442"/>
    </row>
    <row r="46" spans="1:29">
      <c r="A46" s="462" t="s">
        <v>716</v>
      </c>
      <c r="B46" s="31" t="s">
        <v>67</v>
      </c>
      <c r="C46" s="441" t="s">
        <v>1167</v>
      </c>
      <c r="D46" s="441"/>
      <c r="E46" s="31">
        <v>24.43</v>
      </c>
      <c r="F46" s="374">
        <v>3999</v>
      </c>
      <c r="G46" s="363">
        <f t="shared" si="52"/>
        <v>97695.569999999992</v>
      </c>
      <c r="H46" s="376" t="s">
        <v>103</v>
      </c>
      <c r="I46" s="372">
        <v>15</v>
      </c>
      <c r="J46" s="26">
        <v>2400</v>
      </c>
      <c r="K46" s="10">
        <f t="shared" si="57"/>
        <v>160</v>
      </c>
      <c r="L46" s="372">
        <v>15</v>
      </c>
      <c r="M46" s="11">
        <f t="shared" si="58"/>
        <v>2285.1428571428582</v>
      </c>
      <c r="N46" s="10">
        <f t="shared" si="59"/>
        <v>152.34285714285721</v>
      </c>
      <c r="O46" s="12">
        <f t="shared" si="53"/>
        <v>0</v>
      </c>
      <c r="P46" s="13">
        <f t="shared" si="54"/>
        <v>-7.6571428571427873</v>
      </c>
      <c r="Q46" s="368">
        <f t="shared" si="55"/>
        <v>0.95214285714285762</v>
      </c>
      <c r="R46" s="442"/>
      <c r="S46" s="28">
        <v>0.64027777777777772</v>
      </c>
      <c r="T46" s="28">
        <v>0.71319444444444435</v>
      </c>
      <c r="U46" s="363">
        <f t="shared" si="61"/>
        <v>4.9999999999999822</v>
      </c>
      <c r="V46" s="373">
        <f t="shared" si="56"/>
        <v>104.99999999999994</v>
      </c>
      <c r="W46" s="16"/>
      <c r="X46" s="16"/>
      <c r="Y46" s="447"/>
      <c r="Z46" s="448"/>
      <c r="AA46" s="12">
        <f t="shared" si="2"/>
        <v>-114.85714285714175</v>
      </c>
      <c r="AB46" s="368">
        <f t="shared" si="60"/>
        <v>0.95214285714285762</v>
      </c>
      <c r="AC46" s="442"/>
    </row>
    <row r="47" spans="1:29">
      <c r="A47" s="462" t="s">
        <v>716</v>
      </c>
      <c r="B47" s="31" t="s">
        <v>67</v>
      </c>
      <c r="C47" s="441" t="s">
        <v>75</v>
      </c>
      <c r="D47" s="441"/>
      <c r="E47" s="31">
        <v>26.39</v>
      </c>
      <c r="F47" s="374">
        <v>3163</v>
      </c>
      <c r="G47" s="363">
        <f t="shared" si="52"/>
        <v>83471.570000000007</v>
      </c>
      <c r="H47" s="376" t="s">
        <v>103</v>
      </c>
      <c r="I47" s="372">
        <v>19</v>
      </c>
      <c r="J47" s="26">
        <v>2400</v>
      </c>
      <c r="K47" s="10">
        <f t="shared" si="57"/>
        <v>126.31578947368421</v>
      </c>
      <c r="L47" s="372">
        <v>19</v>
      </c>
      <c r="M47" s="11">
        <f t="shared" si="58"/>
        <v>2286.5060240963849</v>
      </c>
      <c r="N47" s="10">
        <f t="shared" si="59"/>
        <v>120.34242232086235</v>
      </c>
      <c r="O47" s="12">
        <f t="shared" si="53"/>
        <v>0</v>
      </c>
      <c r="P47" s="13">
        <f t="shared" si="54"/>
        <v>-5.9733671528218508</v>
      </c>
      <c r="Q47" s="368">
        <f t="shared" si="55"/>
        <v>0.95271084337349365</v>
      </c>
      <c r="R47" s="442"/>
      <c r="S47" s="28">
        <v>0.71666666666666656</v>
      </c>
      <c r="T47" s="28">
        <v>0.77430555555555547</v>
      </c>
      <c r="U47" s="363">
        <f t="shared" si="61"/>
        <v>4.9999999999999822</v>
      </c>
      <c r="V47" s="373">
        <f t="shared" si="56"/>
        <v>83.000000000000028</v>
      </c>
      <c r="W47" s="16"/>
      <c r="X47" s="16"/>
      <c r="Y47" s="447"/>
      <c r="Z47" s="448"/>
      <c r="AA47" s="12">
        <f t="shared" si="2"/>
        <v>-113.49397590361514</v>
      </c>
      <c r="AB47" s="368">
        <f t="shared" si="60"/>
        <v>0.95271084337349365</v>
      </c>
      <c r="AC47" s="442"/>
    </row>
    <row r="48" spans="1:29">
      <c r="A48" s="462" t="s">
        <v>716</v>
      </c>
      <c r="B48" s="33" t="s">
        <v>231</v>
      </c>
      <c r="C48" s="446"/>
      <c r="D48" s="446"/>
      <c r="E48" s="362"/>
      <c r="F48" s="33"/>
      <c r="G48" s="10"/>
      <c r="H48" s="374"/>
      <c r="I48" s="19">
        <v>16.875</v>
      </c>
      <c r="J48" s="26">
        <v>2400</v>
      </c>
      <c r="K48" s="10">
        <f t="shared" si="57"/>
        <v>142.22222222222223</v>
      </c>
      <c r="L48" s="19">
        <v>16.875</v>
      </c>
      <c r="M48" s="11">
        <f>AVERAGE(M40:M47)</f>
        <v>2287.8585485136373</v>
      </c>
      <c r="N48" s="10">
        <f>M48/L48</f>
        <v>135.57680287488222</v>
      </c>
      <c r="O48" s="12">
        <f>L48-I48</f>
        <v>0</v>
      </c>
      <c r="P48" s="13">
        <f t="shared" si="54"/>
        <v>-6.6454193473400096</v>
      </c>
      <c r="Q48" s="368">
        <f t="shared" si="55"/>
        <v>0.95327439521401558</v>
      </c>
      <c r="R48" s="442"/>
      <c r="S48" s="28"/>
      <c r="T48" s="28"/>
      <c r="U48" s="10"/>
      <c r="V48" s="373"/>
      <c r="W48" s="10"/>
      <c r="X48" s="10"/>
      <c r="Y48" s="443"/>
      <c r="Z48" s="443"/>
      <c r="AA48" s="12">
        <f t="shared" si="2"/>
        <v>-112.14145148636271</v>
      </c>
      <c r="AB48" s="368">
        <f t="shared" si="60"/>
        <v>0.95327439521401558</v>
      </c>
      <c r="AC48" s="442"/>
    </row>
    <row r="49" spans="1:29" ht="15.75" customHeight="1">
      <c r="A49" s="453" t="s">
        <v>166</v>
      </c>
      <c r="B49" s="31" t="s">
        <v>79</v>
      </c>
      <c r="C49" s="444" t="s">
        <v>80</v>
      </c>
      <c r="D49" s="445"/>
      <c r="E49" s="31">
        <v>21.13</v>
      </c>
      <c r="F49" s="374">
        <v>3200</v>
      </c>
      <c r="G49" s="363">
        <f t="shared" ref="G49:G56" si="62">E49*F49</f>
        <v>67616</v>
      </c>
      <c r="H49" s="376">
        <v>2</v>
      </c>
      <c r="I49" s="372">
        <v>10</v>
      </c>
      <c r="J49" s="26">
        <v>3000</v>
      </c>
      <c r="K49" s="10">
        <f t="shared" si="57"/>
        <v>300</v>
      </c>
      <c r="L49" s="372">
        <v>10</v>
      </c>
      <c r="M49" s="11">
        <f t="shared" ref="M49:M50" si="63">F49/V49*60</f>
        <v>2865.6716417910466</v>
      </c>
      <c r="N49" s="11">
        <f t="shared" ref="N49:N57" si="64">M49/L49</f>
        <v>286.56716417910468</v>
      </c>
      <c r="O49" s="12">
        <f t="shared" ref="O49:O57" si="65">L49-I49</f>
        <v>0</v>
      </c>
      <c r="P49" s="13">
        <f t="shared" si="54"/>
        <v>-13.43283582089532</v>
      </c>
      <c r="Q49" s="368">
        <f t="shared" si="55"/>
        <v>0.95522388059701557</v>
      </c>
      <c r="R49" s="456">
        <f>Q57</f>
        <v>0.95709842233692688</v>
      </c>
      <c r="S49" s="28">
        <v>0.20833333333333334</v>
      </c>
      <c r="T49" s="28">
        <v>0.25486111111111109</v>
      </c>
      <c r="U49" s="18"/>
      <c r="V49" s="373">
        <f t="shared" ref="V49:V56" si="66">(T49-S49)*24*60</f>
        <v>66.999999999999957</v>
      </c>
      <c r="W49" s="16"/>
      <c r="X49" s="16"/>
      <c r="Y49" s="447"/>
      <c r="Z49" s="448"/>
      <c r="AA49" s="12">
        <f t="shared" si="2"/>
        <v>-134.32835820895343</v>
      </c>
      <c r="AB49" s="368">
        <f t="shared" si="60"/>
        <v>0.95522388059701557</v>
      </c>
      <c r="AC49" s="456">
        <f>AB57</f>
        <v>0.95709842233692677</v>
      </c>
    </row>
    <row r="50" spans="1:29" ht="15.75" customHeight="1">
      <c r="A50" s="454" t="s">
        <v>166</v>
      </c>
      <c r="B50" s="31" t="s">
        <v>79</v>
      </c>
      <c r="C50" s="444" t="s">
        <v>81</v>
      </c>
      <c r="D50" s="445"/>
      <c r="E50" s="31">
        <v>27.17</v>
      </c>
      <c r="F50" s="374">
        <v>4200</v>
      </c>
      <c r="G50" s="363">
        <f t="shared" si="62"/>
        <v>114114</v>
      </c>
      <c r="H50" s="376">
        <v>2</v>
      </c>
      <c r="I50" s="372">
        <v>10</v>
      </c>
      <c r="J50" s="26">
        <v>3000</v>
      </c>
      <c r="K50" s="10">
        <f t="shared" si="57"/>
        <v>300</v>
      </c>
      <c r="L50" s="372">
        <v>10</v>
      </c>
      <c r="M50" s="11">
        <f t="shared" si="63"/>
        <v>2863.6363636363635</v>
      </c>
      <c r="N50" s="11">
        <f t="shared" si="64"/>
        <v>286.36363636363637</v>
      </c>
      <c r="O50" s="12">
        <f t="shared" si="65"/>
        <v>0</v>
      </c>
      <c r="P50" s="13">
        <f t="shared" si="54"/>
        <v>-13.636363636363626</v>
      </c>
      <c r="Q50" s="368">
        <f t="shared" si="55"/>
        <v>0.95454545454545459</v>
      </c>
      <c r="R50" s="457"/>
      <c r="S50" s="28">
        <v>0.26041666666666663</v>
      </c>
      <c r="T50" s="28">
        <v>0.32152777777777775</v>
      </c>
      <c r="U50" s="363">
        <f>(S50-T49)*24*60</f>
        <v>7.9999999999999716</v>
      </c>
      <c r="V50" s="373">
        <f t="shared" si="66"/>
        <v>88</v>
      </c>
      <c r="W50" s="16"/>
      <c r="X50" s="16"/>
      <c r="Y50" s="447"/>
      <c r="Z50" s="448"/>
      <c r="AA50" s="12">
        <f t="shared" si="2"/>
        <v>-136.36363636363649</v>
      </c>
      <c r="AB50" s="368">
        <f t="shared" si="60"/>
        <v>0.95454545454545447</v>
      </c>
      <c r="AC50" s="457"/>
    </row>
    <row r="51" spans="1:29" ht="15.75" customHeight="1">
      <c r="A51" s="454" t="s">
        <v>166</v>
      </c>
      <c r="B51" s="31" t="s">
        <v>79</v>
      </c>
      <c r="C51" s="444" t="s">
        <v>82</v>
      </c>
      <c r="D51" s="445"/>
      <c r="E51" s="31">
        <v>35.119999999999997</v>
      </c>
      <c r="F51" s="374">
        <v>5161</v>
      </c>
      <c r="G51" s="363">
        <f t="shared" si="62"/>
        <v>181254.31999999998</v>
      </c>
      <c r="H51" s="376" t="s">
        <v>103</v>
      </c>
      <c r="I51" s="372">
        <v>10</v>
      </c>
      <c r="J51" s="26">
        <v>3000</v>
      </c>
      <c r="K51" s="10">
        <f t="shared" si="57"/>
        <v>300</v>
      </c>
      <c r="L51" s="372">
        <v>10</v>
      </c>
      <c r="M51" s="11">
        <f>F51/V51*60</f>
        <v>2867.2222222222217</v>
      </c>
      <c r="N51" s="11">
        <f t="shared" si="64"/>
        <v>286.72222222222217</v>
      </c>
      <c r="O51" s="12">
        <f t="shared" si="65"/>
        <v>0</v>
      </c>
      <c r="P51" s="13">
        <f t="shared" si="54"/>
        <v>-13.277777777777828</v>
      </c>
      <c r="Q51" s="368">
        <f t="shared" si="55"/>
        <v>0.95574074074074056</v>
      </c>
      <c r="R51" s="457"/>
      <c r="S51" s="28">
        <v>0.3256944444444444</v>
      </c>
      <c r="T51" s="28">
        <v>0.40069444444444441</v>
      </c>
      <c r="U51" s="363">
        <f t="shared" ref="U51:U56" si="67">(S51-T50)*24*60</f>
        <v>5.9999999999999787</v>
      </c>
      <c r="V51" s="373">
        <f t="shared" si="66"/>
        <v>108.00000000000001</v>
      </c>
      <c r="W51" s="16"/>
      <c r="X51" s="16"/>
      <c r="Y51" s="447"/>
      <c r="Z51" s="448"/>
      <c r="AA51" s="12">
        <f t="shared" si="2"/>
        <v>-132.77777777777828</v>
      </c>
      <c r="AB51" s="368">
        <f t="shared" si="60"/>
        <v>0.95574074074074056</v>
      </c>
      <c r="AC51" s="457"/>
    </row>
    <row r="52" spans="1:29" ht="15.75" customHeight="1">
      <c r="A52" s="454" t="s">
        <v>166</v>
      </c>
      <c r="B52" s="31" t="s">
        <v>79</v>
      </c>
      <c r="C52" s="444" t="s">
        <v>85</v>
      </c>
      <c r="D52" s="445"/>
      <c r="E52" s="31">
        <v>35.869999999999997</v>
      </c>
      <c r="F52" s="374">
        <v>3199</v>
      </c>
      <c r="G52" s="363">
        <f t="shared" si="62"/>
        <v>114748.12999999999</v>
      </c>
      <c r="H52" s="376" t="s">
        <v>103</v>
      </c>
      <c r="I52" s="372">
        <v>10</v>
      </c>
      <c r="J52" s="26">
        <v>3000</v>
      </c>
      <c r="K52" s="10">
        <f t="shared" si="57"/>
        <v>300</v>
      </c>
      <c r="L52" s="372">
        <v>10</v>
      </c>
      <c r="M52" s="11">
        <f t="shared" ref="M52:M56" si="68">F52/V52*60</f>
        <v>2864.7761194029849</v>
      </c>
      <c r="N52" s="11">
        <f t="shared" si="64"/>
        <v>286.47761194029852</v>
      </c>
      <c r="O52" s="12">
        <f t="shared" si="65"/>
        <v>0</v>
      </c>
      <c r="P52" s="13">
        <f t="shared" si="54"/>
        <v>-13.522388059701484</v>
      </c>
      <c r="Q52" s="368">
        <f t="shared" si="55"/>
        <v>0.95492537313432835</v>
      </c>
      <c r="R52" s="457"/>
      <c r="S52" s="28">
        <v>0.4055555555555555</v>
      </c>
      <c r="T52" s="28">
        <v>0.45208333333333328</v>
      </c>
      <c r="U52" s="363">
        <f t="shared" si="67"/>
        <v>6.9999999999999751</v>
      </c>
      <c r="V52" s="373">
        <f t="shared" si="66"/>
        <v>67</v>
      </c>
      <c r="W52" s="16"/>
      <c r="X52" s="16"/>
      <c r="Y52" s="447"/>
      <c r="Z52" s="448"/>
      <c r="AA52" s="12">
        <f t="shared" si="2"/>
        <v>-135.22388059701507</v>
      </c>
      <c r="AB52" s="368">
        <f t="shared" si="60"/>
        <v>0.95492537313432835</v>
      </c>
      <c r="AC52" s="457"/>
    </row>
    <row r="53" spans="1:29" ht="15.75" customHeight="1">
      <c r="A53" s="454" t="s">
        <v>166</v>
      </c>
      <c r="B53" s="31" t="s">
        <v>79</v>
      </c>
      <c r="C53" s="444" t="s">
        <v>86</v>
      </c>
      <c r="D53" s="445"/>
      <c r="E53" s="31">
        <v>36.14</v>
      </c>
      <c r="F53" s="374">
        <v>2215</v>
      </c>
      <c r="G53" s="363">
        <f t="shared" si="62"/>
        <v>80050.100000000006</v>
      </c>
      <c r="H53" s="376" t="s">
        <v>103</v>
      </c>
      <c r="I53" s="372">
        <v>8</v>
      </c>
      <c r="J53" s="26">
        <v>3000</v>
      </c>
      <c r="K53" s="10">
        <f t="shared" si="57"/>
        <v>375</v>
      </c>
      <c r="L53" s="372">
        <v>8</v>
      </c>
      <c r="M53" s="11">
        <f t="shared" si="68"/>
        <v>2889.1304347826085</v>
      </c>
      <c r="N53" s="11">
        <f t="shared" si="64"/>
        <v>361.14130434782606</v>
      </c>
      <c r="O53" s="12">
        <f t="shared" si="65"/>
        <v>0</v>
      </c>
      <c r="P53" s="13">
        <f t="shared" si="54"/>
        <v>-13.858695652173935</v>
      </c>
      <c r="Q53" s="368">
        <f>N53/K53</f>
        <v>0.96304347826086956</v>
      </c>
      <c r="R53" s="457"/>
      <c r="S53" s="28">
        <v>0.45763888888888882</v>
      </c>
      <c r="T53" s="28">
        <v>0.48958333333333326</v>
      </c>
      <c r="U53" s="363">
        <f t="shared" si="67"/>
        <v>7.9999999999999716</v>
      </c>
      <c r="V53" s="373">
        <f t="shared" si="66"/>
        <v>46</v>
      </c>
      <c r="W53" s="16"/>
      <c r="X53" s="16"/>
      <c r="Y53" s="447"/>
      <c r="Z53" s="448"/>
      <c r="AA53" s="12">
        <f t="shared" si="2"/>
        <v>-110.86956521739148</v>
      </c>
      <c r="AB53" s="368">
        <f t="shared" si="60"/>
        <v>0.96304347826086956</v>
      </c>
      <c r="AC53" s="457"/>
    </row>
    <row r="54" spans="1:29" ht="15.75" customHeight="1">
      <c r="A54" s="454" t="s">
        <v>166</v>
      </c>
      <c r="B54" s="31" t="s">
        <v>79</v>
      </c>
      <c r="C54" s="444" t="s">
        <v>95</v>
      </c>
      <c r="D54" s="445"/>
      <c r="E54" s="31">
        <v>35.369999999999997</v>
      </c>
      <c r="F54" s="374">
        <v>1818</v>
      </c>
      <c r="G54" s="363">
        <f t="shared" si="62"/>
        <v>64302.659999999996</v>
      </c>
      <c r="H54" s="376" t="s">
        <v>103</v>
      </c>
      <c r="I54" s="372">
        <v>10</v>
      </c>
      <c r="J54" s="26">
        <v>3000</v>
      </c>
      <c r="K54" s="10">
        <f t="shared" si="57"/>
        <v>300</v>
      </c>
      <c r="L54" s="372">
        <v>10</v>
      </c>
      <c r="M54" s="11">
        <f t="shared" si="68"/>
        <v>2870.5263157894715</v>
      </c>
      <c r="N54" s="11">
        <f t="shared" si="64"/>
        <v>287.05263157894717</v>
      </c>
      <c r="O54" s="12">
        <f t="shared" si="65"/>
        <v>0</v>
      </c>
      <c r="P54" s="13">
        <f t="shared" si="54"/>
        <v>-12.947368421052829</v>
      </c>
      <c r="Q54" s="368">
        <f t="shared" ref="Q54:Q57" si="69">N54/K54</f>
        <v>0.95684210526315727</v>
      </c>
      <c r="R54" s="457"/>
      <c r="S54" s="28">
        <v>0.49374999999999991</v>
      </c>
      <c r="T54" s="28">
        <v>0.52013888888888882</v>
      </c>
      <c r="U54" s="363">
        <f t="shared" si="67"/>
        <v>5.9999999999999787</v>
      </c>
      <c r="V54" s="373">
        <f t="shared" si="66"/>
        <v>38.000000000000028</v>
      </c>
      <c r="W54" s="16">
        <f>T54</f>
        <v>0.52013888888888882</v>
      </c>
      <c r="X54" s="16">
        <f>S55</f>
        <v>0.56111111111111101</v>
      </c>
      <c r="Y54" s="447"/>
      <c r="Z54" s="448"/>
      <c r="AA54" s="12">
        <f t="shared" si="2"/>
        <v>-129.47368421052852</v>
      </c>
      <c r="AB54" s="368">
        <f t="shared" si="60"/>
        <v>0.95684210526315716</v>
      </c>
      <c r="AC54" s="457"/>
    </row>
    <row r="55" spans="1:29" ht="15.75" customHeight="1">
      <c r="A55" s="454" t="s">
        <v>166</v>
      </c>
      <c r="B55" s="31" t="s">
        <v>79</v>
      </c>
      <c r="C55" s="444" t="s">
        <v>81</v>
      </c>
      <c r="D55" s="445"/>
      <c r="E55" s="31">
        <v>27.17</v>
      </c>
      <c r="F55" s="374">
        <v>3041</v>
      </c>
      <c r="G55" s="363">
        <f t="shared" si="62"/>
        <v>82623.97</v>
      </c>
      <c r="H55" s="376" t="s">
        <v>103</v>
      </c>
      <c r="I55" s="372">
        <v>10</v>
      </c>
      <c r="J55" s="26">
        <v>3000</v>
      </c>
      <c r="K55" s="10">
        <f t="shared" si="57"/>
        <v>300</v>
      </c>
      <c r="L55" s="372">
        <v>10</v>
      </c>
      <c r="M55" s="11">
        <f t="shared" si="68"/>
        <v>2850.9375000000032</v>
      </c>
      <c r="N55" s="11">
        <f t="shared" si="64"/>
        <v>285.09375000000034</v>
      </c>
      <c r="O55" s="12">
        <f t="shared" si="65"/>
        <v>0</v>
      </c>
      <c r="P55" s="13">
        <f t="shared" si="54"/>
        <v>-14.906249999999659</v>
      </c>
      <c r="Q55" s="368">
        <f t="shared" si="69"/>
        <v>0.95031250000000111</v>
      </c>
      <c r="R55" s="457"/>
      <c r="S55" s="28">
        <v>0.56111111111111101</v>
      </c>
      <c r="T55" s="28">
        <v>0.6055555555555554</v>
      </c>
      <c r="U55" s="363">
        <f t="shared" si="67"/>
        <v>58.99999999999995</v>
      </c>
      <c r="V55" s="373">
        <f t="shared" si="66"/>
        <v>63.999999999999929</v>
      </c>
      <c r="W55" s="16"/>
      <c r="X55" s="16"/>
      <c r="Y55" s="447"/>
      <c r="Z55" s="448"/>
      <c r="AA55" s="12">
        <f t="shared" si="2"/>
        <v>-149.06249999999682</v>
      </c>
      <c r="AB55" s="368">
        <f t="shared" si="60"/>
        <v>0.95031250000000111</v>
      </c>
      <c r="AC55" s="457"/>
    </row>
    <row r="56" spans="1:29" ht="15.75" customHeight="1">
      <c r="A56" s="454" t="s">
        <v>166</v>
      </c>
      <c r="B56" s="31" t="s">
        <v>79</v>
      </c>
      <c r="C56" s="444" t="s">
        <v>80</v>
      </c>
      <c r="D56" s="445"/>
      <c r="E56" s="31">
        <v>21.13</v>
      </c>
      <c r="F56" s="374">
        <v>2512</v>
      </c>
      <c r="G56" s="363">
        <f t="shared" si="62"/>
        <v>53078.559999999998</v>
      </c>
      <c r="H56" s="376" t="s">
        <v>103</v>
      </c>
      <c r="I56" s="372">
        <v>10</v>
      </c>
      <c r="J56" s="26">
        <v>3000</v>
      </c>
      <c r="K56" s="10">
        <f t="shared" si="57"/>
        <v>300</v>
      </c>
      <c r="L56" s="372">
        <v>10</v>
      </c>
      <c r="M56" s="11">
        <f t="shared" si="68"/>
        <v>2898.4615384615399</v>
      </c>
      <c r="N56" s="11">
        <f t="shared" si="64"/>
        <v>289.84615384615398</v>
      </c>
      <c r="O56" s="12">
        <f t="shared" si="65"/>
        <v>0</v>
      </c>
      <c r="P56" s="13">
        <f t="shared" si="54"/>
        <v>-10.153846153846018</v>
      </c>
      <c r="Q56" s="368">
        <f t="shared" si="69"/>
        <v>0.96615384615384658</v>
      </c>
      <c r="R56" s="457"/>
      <c r="S56" s="28">
        <v>0.6104166666666665</v>
      </c>
      <c r="T56" s="28">
        <v>0.64652777777777759</v>
      </c>
      <c r="U56" s="363">
        <f t="shared" si="67"/>
        <v>6.9999999999999751</v>
      </c>
      <c r="V56" s="373">
        <f t="shared" si="66"/>
        <v>51.999999999999972</v>
      </c>
      <c r="W56" s="16"/>
      <c r="X56" s="16"/>
      <c r="Y56" s="447"/>
      <c r="Z56" s="448"/>
      <c r="AA56" s="12">
        <f t="shared" si="2"/>
        <v>-101.53846153846007</v>
      </c>
      <c r="AB56" s="368">
        <f t="shared" si="60"/>
        <v>0.9661538461538467</v>
      </c>
      <c r="AC56" s="457"/>
    </row>
    <row r="57" spans="1:29" ht="15.75" customHeight="1">
      <c r="A57" s="455" t="s">
        <v>166</v>
      </c>
      <c r="B57" s="31" t="s">
        <v>231</v>
      </c>
      <c r="C57" s="459"/>
      <c r="D57" s="460"/>
      <c r="E57" s="369"/>
      <c r="F57" s="374"/>
      <c r="G57" s="363"/>
      <c r="H57" s="374"/>
      <c r="I57" s="19">
        <v>9.75</v>
      </c>
      <c r="J57" s="26">
        <v>3000</v>
      </c>
      <c r="K57" s="10">
        <f>J57/I57</f>
        <v>307.69230769230768</v>
      </c>
      <c r="L57" s="19">
        <v>9.75</v>
      </c>
      <c r="M57" s="11">
        <f>AVERAGE(M49:M56)</f>
        <v>2871.2952670107802</v>
      </c>
      <c r="N57" s="10">
        <f t="shared" si="64"/>
        <v>294.49182225751593</v>
      </c>
      <c r="O57" s="12">
        <f t="shared" si="65"/>
        <v>0</v>
      </c>
      <c r="P57" s="13">
        <f t="shared" si="54"/>
        <v>-13.200485434791744</v>
      </c>
      <c r="Q57" s="368">
        <f t="shared" si="69"/>
        <v>0.95709842233692688</v>
      </c>
      <c r="R57" s="458"/>
      <c r="S57" s="28"/>
      <c r="T57" s="28"/>
      <c r="U57" s="363"/>
      <c r="V57" s="373"/>
      <c r="W57" s="16"/>
      <c r="X57" s="16"/>
      <c r="Y57" s="447"/>
      <c r="Z57" s="448"/>
      <c r="AA57" s="12">
        <f t="shared" si="2"/>
        <v>-128.70473298921979</v>
      </c>
      <c r="AB57" s="368">
        <f t="shared" si="60"/>
        <v>0.95709842233692677</v>
      </c>
      <c r="AC57" s="458"/>
    </row>
    <row r="58" spans="1:29" ht="15.75" customHeight="1">
      <c r="A58" s="451" t="s">
        <v>287</v>
      </c>
      <c r="B58" s="31" t="s">
        <v>53</v>
      </c>
      <c r="C58" s="441" t="s">
        <v>87</v>
      </c>
      <c r="D58" s="441"/>
      <c r="E58" s="31">
        <v>46</v>
      </c>
      <c r="F58" s="35">
        <v>3364</v>
      </c>
      <c r="G58" s="363">
        <f t="shared" ref="G58:G63" si="70">E58*F58</f>
        <v>154744</v>
      </c>
      <c r="H58" s="376" t="s">
        <v>103</v>
      </c>
      <c r="I58" s="372">
        <v>17</v>
      </c>
      <c r="J58" s="26">
        <v>2000</v>
      </c>
      <c r="K58" s="10">
        <f t="shared" ref="K58:K63" si="71">J58/I58</f>
        <v>117.64705882352941</v>
      </c>
      <c r="L58" s="372">
        <v>17</v>
      </c>
      <c r="M58" s="11">
        <f t="shared" ref="M58:M63" si="72">F58/V58*60</f>
        <v>1904.150943396226</v>
      </c>
      <c r="N58" s="11">
        <f>M58/L58</f>
        <v>112.00887902330741</v>
      </c>
      <c r="O58" s="12">
        <f>L58-I58</f>
        <v>0</v>
      </c>
      <c r="P58" s="13">
        <f>N58-K58</f>
        <v>-5.6381798002219909</v>
      </c>
      <c r="Q58" s="368">
        <f>N58/K58</f>
        <v>0.95207547169811313</v>
      </c>
      <c r="R58" s="442">
        <f>Q64</f>
        <v>0.95758794075140108</v>
      </c>
      <c r="S58" s="28">
        <v>0.29166666666666669</v>
      </c>
      <c r="T58" s="28">
        <v>0.36527777777777781</v>
      </c>
      <c r="U58" s="18"/>
      <c r="V58" s="373">
        <f t="shared" ref="V58:V63" si="73">(T58-S58)*24*60</f>
        <v>106.00000000000003</v>
      </c>
      <c r="W58" s="18"/>
      <c r="X58" s="18"/>
      <c r="Y58" s="443"/>
      <c r="Z58" s="443"/>
      <c r="AA58" s="12">
        <f t="shared" si="2"/>
        <v>-95.849056603773988</v>
      </c>
      <c r="AB58" s="368">
        <f t="shared" si="60"/>
        <v>0.95207547169811302</v>
      </c>
      <c r="AC58" s="442">
        <f>AB64</f>
        <v>0.95758794075140097</v>
      </c>
    </row>
    <row r="59" spans="1:29" ht="15.75" customHeight="1">
      <c r="A59" s="451" t="s">
        <v>287</v>
      </c>
      <c r="B59" s="31" t="s">
        <v>53</v>
      </c>
      <c r="C59" s="441" t="s">
        <v>88</v>
      </c>
      <c r="D59" s="441"/>
      <c r="E59" s="31">
        <v>46</v>
      </c>
      <c r="F59" s="35">
        <v>3328</v>
      </c>
      <c r="G59" s="363">
        <f t="shared" si="70"/>
        <v>153088</v>
      </c>
      <c r="H59" s="376" t="s">
        <v>103</v>
      </c>
      <c r="I59" s="372">
        <v>17</v>
      </c>
      <c r="J59" s="26">
        <v>2000</v>
      </c>
      <c r="K59" s="10">
        <f t="shared" si="71"/>
        <v>117.64705882352941</v>
      </c>
      <c r="L59" s="372">
        <v>17</v>
      </c>
      <c r="M59" s="11">
        <f t="shared" si="72"/>
        <v>1919.9999999999995</v>
      </c>
      <c r="N59" s="11">
        <f t="shared" ref="N59:N63" si="74">M59/L59</f>
        <v>112.9411764705882</v>
      </c>
      <c r="O59" s="12">
        <f t="shared" ref="O59:O63" si="75">L59-I59</f>
        <v>0</v>
      </c>
      <c r="P59" s="13">
        <f t="shared" ref="P59:P63" si="76">N59-K59</f>
        <v>-4.7058823529412024</v>
      </c>
      <c r="Q59" s="368">
        <f t="shared" ref="Q59:Q63" si="77">N59/K59</f>
        <v>0.95999999999999974</v>
      </c>
      <c r="R59" s="442"/>
      <c r="S59" s="28">
        <v>0.36875000000000002</v>
      </c>
      <c r="T59" s="28">
        <v>0.44097222222222227</v>
      </c>
      <c r="U59" s="363">
        <f>IF(S59=TIME(17,0,0),"",(S59-T58)*24*60)</f>
        <v>4.9999999999999822</v>
      </c>
      <c r="V59" s="373">
        <f t="shared" si="73"/>
        <v>104.00000000000003</v>
      </c>
      <c r="W59" s="16"/>
      <c r="X59" s="16"/>
      <c r="Y59" s="443"/>
      <c r="Z59" s="443"/>
      <c r="AA59" s="12">
        <f t="shared" si="2"/>
        <v>-80.000000000000455</v>
      </c>
      <c r="AB59" s="368">
        <f t="shared" si="60"/>
        <v>0.95999999999999974</v>
      </c>
      <c r="AC59" s="442"/>
    </row>
    <row r="60" spans="1:29" ht="15.75" customHeight="1">
      <c r="A60" s="451" t="s">
        <v>287</v>
      </c>
      <c r="B60" s="31" t="s">
        <v>58</v>
      </c>
      <c r="C60" s="444" t="s">
        <v>168</v>
      </c>
      <c r="D60" s="445"/>
      <c r="E60" s="31">
        <v>54.09</v>
      </c>
      <c r="F60" s="35">
        <v>1544</v>
      </c>
      <c r="G60" s="363">
        <f t="shared" si="70"/>
        <v>83514.960000000006</v>
      </c>
      <c r="H60" s="376" t="s">
        <v>103</v>
      </c>
      <c r="I60" s="372">
        <v>16</v>
      </c>
      <c r="J60" s="26">
        <v>2000</v>
      </c>
      <c r="K60" s="10">
        <f t="shared" si="71"/>
        <v>125</v>
      </c>
      <c r="L60" s="372">
        <v>16</v>
      </c>
      <c r="M60" s="11">
        <f t="shared" si="72"/>
        <v>1930.0000000000007</v>
      </c>
      <c r="N60" s="11">
        <f t="shared" si="74"/>
        <v>120.62500000000004</v>
      </c>
      <c r="O60" s="12">
        <f t="shared" si="75"/>
        <v>0</v>
      </c>
      <c r="P60" s="13">
        <f t="shared" si="76"/>
        <v>-4.3749999999999574</v>
      </c>
      <c r="Q60" s="368">
        <f t="shared" si="77"/>
        <v>0.9650000000000003</v>
      </c>
      <c r="R60" s="442"/>
      <c r="S60" s="28">
        <v>0.44583333333333336</v>
      </c>
      <c r="T60" s="28">
        <v>0.47916666666666669</v>
      </c>
      <c r="U60" s="363">
        <f t="shared" ref="U60:U63" si="78">IF(S60=TIME(17,0,0),"",(S60-T59)*24*60)</f>
        <v>6.9999999999999751</v>
      </c>
      <c r="V60" s="373">
        <f t="shared" si="73"/>
        <v>47.999999999999986</v>
      </c>
      <c r="W60" s="16"/>
      <c r="X60" s="16"/>
      <c r="Y60" s="366"/>
      <c r="Z60" s="367"/>
      <c r="AA60" s="12">
        <f t="shared" si="2"/>
        <v>-69.999999999999318</v>
      </c>
      <c r="AB60" s="368">
        <f t="shared" si="60"/>
        <v>0.9650000000000003</v>
      </c>
      <c r="AC60" s="442"/>
    </row>
    <row r="61" spans="1:29" ht="15.75" customHeight="1">
      <c r="A61" s="451" t="s">
        <v>287</v>
      </c>
      <c r="B61" s="31" t="s">
        <v>58</v>
      </c>
      <c r="C61" s="364" t="s">
        <v>89</v>
      </c>
      <c r="D61" s="365"/>
      <c r="E61" s="31">
        <v>55.56</v>
      </c>
      <c r="F61" s="35">
        <v>2519</v>
      </c>
      <c r="G61" s="363">
        <f t="shared" si="70"/>
        <v>139955.64000000001</v>
      </c>
      <c r="H61" s="376" t="s">
        <v>103</v>
      </c>
      <c r="I61" s="372">
        <v>17</v>
      </c>
      <c r="J61" s="26">
        <v>2000</v>
      </c>
      <c r="K61" s="10">
        <f t="shared" si="71"/>
        <v>117.64705882352941</v>
      </c>
      <c r="L61" s="372">
        <v>17</v>
      </c>
      <c r="M61" s="11">
        <f t="shared" si="72"/>
        <v>1913.1645569620243</v>
      </c>
      <c r="N61" s="11">
        <f t="shared" si="74"/>
        <v>112.53909158600143</v>
      </c>
      <c r="O61" s="12">
        <f t="shared" si="75"/>
        <v>0</v>
      </c>
      <c r="P61" s="13">
        <f t="shared" si="76"/>
        <v>-5.1079672375279728</v>
      </c>
      <c r="Q61" s="368">
        <f t="shared" si="77"/>
        <v>0.95658227848101218</v>
      </c>
      <c r="R61" s="442"/>
      <c r="S61" s="28">
        <v>0.70833333333333337</v>
      </c>
      <c r="T61" s="28">
        <v>0.76319444444444451</v>
      </c>
      <c r="U61" s="363" t="str">
        <f t="shared" si="78"/>
        <v/>
      </c>
      <c r="V61" s="373">
        <f t="shared" si="73"/>
        <v>79.000000000000043</v>
      </c>
      <c r="W61" s="16"/>
      <c r="X61" s="16"/>
      <c r="Y61" s="366"/>
      <c r="Z61" s="367"/>
      <c r="AA61" s="12">
        <f t="shared" si="2"/>
        <v>-86.835443037975665</v>
      </c>
      <c r="AB61" s="368">
        <f t="shared" si="60"/>
        <v>0.95658227848101218</v>
      </c>
      <c r="AC61" s="442"/>
    </row>
    <row r="62" spans="1:29" ht="15.75" customHeight="1">
      <c r="A62" s="451" t="s">
        <v>287</v>
      </c>
      <c r="B62" s="31" t="s">
        <v>58</v>
      </c>
      <c r="C62" s="364" t="s">
        <v>90</v>
      </c>
      <c r="D62" s="365"/>
      <c r="E62" s="31">
        <v>55.32</v>
      </c>
      <c r="F62" s="35">
        <v>1946</v>
      </c>
      <c r="G62" s="363">
        <f t="shared" si="70"/>
        <v>107652.72</v>
      </c>
      <c r="H62" s="376" t="s">
        <v>103</v>
      </c>
      <c r="I62" s="372">
        <v>15</v>
      </c>
      <c r="J62" s="26">
        <v>2000</v>
      </c>
      <c r="K62" s="10">
        <f t="shared" si="71"/>
        <v>133.33333333333334</v>
      </c>
      <c r="L62" s="372">
        <v>15</v>
      </c>
      <c r="M62" s="11">
        <f t="shared" si="72"/>
        <v>1914.0983606557395</v>
      </c>
      <c r="N62" s="11">
        <f t="shared" si="74"/>
        <v>127.6065573770493</v>
      </c>
      <c r="O62" s="12">
        <f t="shared" si="75"/>
        <v>0</v>
      </c>
      <c r="P62" s="13">
        <f t="shared" si="76"/>
        <v>-5.7267759562840439</v>
      </c>
      <c r="Q62" s="368">
        <f t="shared" si="77"/>
        <v>0.95704918032786968</v>
      </c>
      <c r="R62" s="442"/>
      <c r="S62" s="28">
        <v>0.76736111111111116</v>
      </c>
      <c r="T62" s="28">
        <v>0.80972222222222223</v>
      </c>
      <c r="U62" s="363">
        <f t="shared" si="78"/>
        <v>5.9999999999999787</v>
      </c>
      <c r="V62" s="373">
        <f t="shared" si="73"/>
        <v>60.999999999999943</v>
      </c>
      <c r="W62" s="16"/>
      <c r="X62" s="16"/>
      <c r="Y62" s="366"/>
      <c r="Z62" s="367"/>
      <c r="AA62" s="12">
        <f t="shared" si="2"/>
        <v>-85.901639344260502</v>
      </c>
      <c r="AB62" s="368">
        <f t="shared" si="60"/>
        <v>0.95704918032786979</v>
      </c>
      <c r="AC62" s="442"/>
    </row>
    <row r="63" spans="1:29" ht="15.75" customHeight="1">
      <c r="A63" s="451" t="s">
        <v>287</v>
      </c>
      <c r="B63" s="31" t="s">
        <v>58</v>
      </c>
      <c r="C63" s="444" t="s">
        <v>91</v>
      </c>
      <c r="D63" s="445"/>
      <c r="E63" s="31">
        <v>57.73</v>
      </c>
      <c r="F63" s="35">
        <v>1407</v>
      </c>
      <c r="G63" s="363">
        <f t="shared" si="70"/>
        <v>81226.11</v>
      </c>
      <c r="H63" s="376" t="s">
        <v>103</v>
      </c>
      <c r="I63" s="372">
        <v>16</v>
      </c>
      <c r="J63" s="26">
        <v>1500</v>
      </c>
      <c r="K63" s="10">
        <f t="shared" si="71"/>
        <v>93.75</v>
      </c>
      <c r="L63" s="372">
        <v>16</v>
      </c>
      <c r="M63" s="11">
        <f t="shared" si="72"/>
        <v>1430.8474576271199</v>
      </c>
      <c r="N63" s="11">
        <f t="shared" si="74"/>
        <v>89.427966101694992</v>
      </c>
      <c r="O63" s="12">
        <f t="shared" si="75"/>
        <v>0</v>
      </c>
      <c r="P63" s="13">
        <f t="shared" si="76"/>
        <v>-4.3220338983050084</v>
      </c>
      <c r="Q63" s="368">
        <f t="shared" si="77"/>
        <v>0.9538983050847466</v>
      </c>
      <c r="R63" s="442"/>
      <c r="S63" s="28">
        <v>0.81527777777777777</v>
      </c>
      <c r="T63" s="28">
        <v>0.85624999999999996</v>
      </c>
      <c r="U63" s="363">
        <f t="shared" si="78"/>
        <v>7.9999999999999716</v>
      </c>
      <c r="V63" s="373">
        <f t="shared" si="73"/>
        <v>58.99999999999995</v>
      </c>
      <c r="W63" s="16"/>
      <c r="X63" s="16"/>
      <c r="Y63" s="447"/>
      <c r="Z63" s="448"/>
      <c r="AA63" s="12">
        <f t="shared" si="2"/>
        <v>-69.152542372880134</v>
      </c>
      <c r="AB63" s="368">
        <f t="shared" si="60"/>
        <v>0.9538983050847466</v>
      </c>
      <c r="AC63" s="442"/>
    </row>
    <row r="64" spans="1:29">
      <c r="A64" s="452" t="s">
        <v>287</v>
      </c>
      <c r="B64" s="31" t="s">
        <v>231</v>
      </c>
      <c r="C64" s="446"/>
      <c r="D64" s="446"/>
      <c r="E64" s="362"/>
      <c r="F64" s="33"/>
      <c r="G64" s="10"/>
      <c r="H64" s="374"/>
      <c r="I64" s="19">
        <v>16.333333333333332</v>
      </c>
      <c r="J64" s="26">
        <v>1916.6666666666667</v>
      </c>
      <c r="K64" s="10">
        <f>J64/I64</f>
        <v>117.34693877551021</v>
      </c>
      <c r="L64" s="19">
        <v>16.333333333333332</v>
      </c>
      <c r="M64" s="11">
        <f>AVERAGE(M58:M63)</f>
        <v>1835.3768864401852</v>
      </c>
      <c r="N64" s="10">
        <f>M64/L64</f>
        <v>112.37001345552156</v>
      </c>
      <c r="O64" s="12">
        <f>L64-I64</f>
        <v>0</v>
      </c>
      <c r="P64" s="13">
        <f>N64-K64</f>
        <v>-4.9769253199886521</v>
      </c>
      <c r="Q64" s="368">
        <f>N64/K64</f>
        <v>0.95758794075140108</v>
      </c>
      <c r="R64" s="442"/>
      <c r="S64" s="29"/>
      <c r="T64" s="28"/>
      <c r="U64" s="10"/>
      <c r="V64" s="373"/>
      <c r="W64" s="10"/>
      <c r="X64" s="10"/>
      <c r="Y64" s="443"/>
      <c r="Z64" s="443"/>
      <c r="AA64" s="12">
        <f t="shared" si="2"/>
        <v>-81.289780226481525</v>
      </c>
      <c r="AB64" s="368">
        <f t="shared" si="60"/>
        <v>0.95758794075140097</v>
      </c>
      <c r="AC64" s="442"/>
    </row>
    <row r="65" spans="1:29" ht="15.75" customHeight="1">
      <c r="A65" s="449" t="s">
        <v>254</v>
      </c>
      <c r="B65" s="374" t="s">
        <v>79</v>
      </c>
      <c r="C65" s="441" t="s">
        <v>94</v>
      </c>
      <c r="D65" s="441"/>
      <c r="E65" s="31">
        <v>26.78</v>
      </c>
      <c r="F65" s="35">
        <v>2978</v>
      </c>
      <c r="G65" s="363">
        <f t="shared" ref="G65:G68" si="79">E65*F65</f>
        <v>79750.84</v>
      </c>
      <c r="H65" s="376" t="s">
        <v>103</v>
      </c>
      <c r="I65" s="372">
        <v>10</v>
      </c>
      <c r="J65" s="26">
        <v>3000</v>
      </c>
      <c r="K65" s="10">
        <f t="shared" ref="K65:K68" si="80">J65/I65</f>
        <v>300</v>
      </c>
      <c r="L65" s="19">
        <v>10</v>
      </c>
      <c r="M65" s="11">
        <f t="shared" ref="M65:M68" si="81">F65/V65*60</f>
        <v>2881.9354838709687</v>
      </c>
      <c r="N65" s="10">
        <f>M65/L65</f>
        <v>288.19354838709688</v>
      </c>
      <c r="O65" s="12">
        <f t="shared" ref="O65:O68" si="82">L65-I65</f>
        <v>0</v>
      </c>
      <c r="P65" s="13">
        <f t="shared" ref="P65:P68" si="83">N65-K65</f>
        <v>-11.806451612903118</v>
      </c>
      <c r="Q65" s="368">
        <f>N65/K65</f>
        <v>0.96064516129032296</v>
      </c>
      <c r="R65" s="442">
        <f>Q69</f>
        <v>0.95837348039859538</v>
      </c>
      <c r="S65" s="28">
        <v>0.20833333333333334</v>
      </c>
      <c r="T65" s="28">
        <v>0.25138888888888888</v>
      </c>
      <c r="U65" s="363"/>
      <c r="V65" s="373">
        <f t="shared" ref="V65:V68" si="84">(T65-S65)*24*60</f>
        <v>61.999999999999979</v>
      </c>
      <c r="W65" s="18"/>
      <c r="X65" s="18"/>
      <c r="Y65" s="443"/>
      <c r="Z65" s="443"/>
      <c r="AA65" s="12">
        <f t="shared" si="2"/>
        <v>-118.06451612903129</v>
      </c>
      <c r="AB65" s="368">
        <f t="shared" si="60"/>
        <v>0.96064516129032296</v>
      </c>
      <c r="AC65" s="442">
        <f>AB69</f>
        <v>0.95837348039859549</v>
      </c>
    </row>
    <row r="66" spans="1:29" ht="15.75" customHeight="1">
      <c r="A66" s="449" t="s">
        <v>254</v>
      </c>
      <c r="B66" s="374" t="s">
        <v>79</v>
      </c>
      <c r="C66" s="441" t="s">
        <v>97</v>
      </c>
      <c r="D66" s="441"/>
      <c r="E66" s="31">
        <v>35.119999999999997</v>
      </c>
      <c r="F66" s="35">
        <v>1383</v>
      </c>
      <c r="G66" s="363">
        <f t="shared" si="79"/>
        <v>48570.96</v>
      </c>
      <c r="H66" s="376" t="s">
        <v>103</v>
      </c>
      <c r="I66" s="372">
        <v>13</v>
      </c>
      <c r="J66" s="26">
        <v>2000</v>
      </c>
      <c r="K66" s="10">
        <f t="shared" si="80"/>
        <v>153.84615384615384</v>
      </c>
      <c r="L66" s="19">
        <v>13</v>
      </c>
      <c r="M66" s="11">
        <f t="shared" si="81"/>
        <v>1929.7674418604647</v>
      </c>
      <c r="N66" s="10">
        <f t="shared" ref="N66:N68" si="85">M66/L66</f>
        <v>148.4436493738819</v>
      </c>
      <c r="O66" s="12">
        <f t="shared" si="82"/>
        <v>0</v>
      </c>
      <c r="P66" s="13">
        <f t="shared" si="83"/>
        <v>-5.4025044722719429</v>
      </c>
      <c r="Q66" s="368">
        <f t="shared" ref="Q66:Q68" si="86">N66/K66</f>
        <v>0.96488372093023234</v>
      </c>
      <c r="R66" s="442"/>
      <c r="S66" s="28">
        <v>0.25486111111111109</v>
      </c>
      <c r="T66" s="28">
        <v>0.28472222222222221</v>
      </c>
      <c r="U66" s="363">
        <f>(S66-T65)*24*60</f>
        <v>4.9999999999999822</v>
      </c>
      <c r="V66" s="373">
        <f t="shared" si="84"/>
        <v>43.000000000000007</v>
      </c>
      <c r="W66" s="363"/>
      <c r="X66" s="363"/>
      <c r="Y66" s="443"/>
      <c r="Z66" s="443"/>
      <c r="AA66" s="12">
        <f t="shared" si="2"/>
        <v>-70.232558139535286</v>
      </c>
      <c r="AB66" s="368">
        <f t="shared" si="60"/>
        <v>0.96488372093023234</v>
      </c>
      <c r="AC66" s="442"/>
    </row>
    <row r="67" spans="1:29" ht="15.75" customHeight="1">
      <c r="A67" s="449" t="s">
        <v>254</v>
      </c>
      <c r="B67" s="374" t="s">
        <v>79</v>
      </c>
      <c r="C67" s="441" t="s">
        <v>98</v>
      </c>
      <c r="D67" s="441"/>
      <c r="E67" s="31">
        <v>35.869999999999997</v>
      </c>
      <c r="F67" s="35">
        <v>2427</v>
      </c>
      <c r="G67" s="363">
        <f t="shared" si="79"/>
        <v>87056.489999999991</v>
      </c>
      <c r="H67" s="376" t="s">
        <v>103</v>
      </c>
      <c r="I67" s="372">
        <v>10</v>
      </c>
      <c r="J67" s="26">
        <v>3000</v>
      </c>
      <c r="K67" s="10">
        <f t="shared" si="80"/>
        <v>300</v>
      </c>
      <c r="L67" s="19">
        <v>10</v>
      </c>
      <c r="M67" s="11">
        <f t="shared" si="81"/>
        <v>2855.2941176470599</v>
      </c>
      <c r="N67" s="10">
        <f t="shared" si="85"/>
        <v>285.52941176470597</v>
      </c>
      <c r="O67" s="12">
        <f t="shared" si="82"/>
        <v>0</v>
      </c>
      <c r="P67" s="13">
        <f t="shared" si="83"/>
        <v>-14.470588235294031</v>
      </c>
      <c r="Q67" s="368">
        <f t="shared" si="86"/>
        <v>0.95176470588235318</v>
      </c>
      <c r="R67" s="442"/>
      <c r="S67" s="28">
        <v>0.2895833333333333</v>
      </c>
      <c r="T67" s="28">
        <v>0.32499999999999996</v>
      </c>
      <c r="U67" s="363">
        <f t="shared" ref="U67:U68" si="87">(S67-T66)*24*60</f>
        <v>6.9999999999999751</v>
      </c>
      <c r="V67" s="373">
        <f t="shared" si="84"/>
        <v>50.999999999999979</v>
      </c>
      <c r="W67" s="363"/>
      <c r="X67" s="363"/>
      <c r="Y67" s="443"/>
      <c r="Z67" s="443"/>
      <c r="AA67" s="12">
        <f t="shared" si="2"/>
        <v>-144.70588235294008</v>
      </c>
      <c r="AB67" s="368">
        <f t="shared" si="60"/>
        <v>0.95176470588235329</v>
      </c>
      <c r="AC67" s="442"/>
    </row>
    <row r="68" spans="1:29" ht="15.75" customHeight="1">
      <c r="A68" s="449" t="s">
        <v>254</v>
      </c>
      <c r="B68" s="374" t="s">
        <v>53</v>
      </c>
      <c r="C68" s="441" t="s">
        <v>96</v>
      </c>
      <c r="D68" s="441"/>
      <c r="E68" s="31">
        <v>26.97</v>
      </c>
      <c r="F68" s="35">
        <v>3522</v>
      </c>
      <c r="G68" s="363">
        <f t="shared" si="79"/>
        <v>94988.34</v>
      </c>
      <c r="H68" s="376" t="s">
        <v>103</v>
      </c>
      <c r="I68" s="372">
        <v>8</v>
      </c>
      <c r="J68" s="26">
        <v>1500</v>
      </c>
      <c r="K68" s="10">
        <f t="shared" si="80"/>
        <v>187.5</v>
      </c>
      <c r="L68" s="19">
        <v>8</v>
      </c>
      <c r="M68" s="11">
        <f t="shared" si="81"/>
        <v>1437.5510204081629</v>
      </c>
      <c r="N68" s="10">
        <f t="shared" si="85"/>
        <v>179.69387755102036</v>
      </c>
      <c r="O68" s="12">
        <f t="shared" si="82"/>
        <v>0</v>
      </c>
      <c r="P68" s="13">
        <f t="shared" si="83"/>
        <v>-7.8061224489796359</v>
      </c>
      <c r="Q68" s="368">
        <f t="shared" si="86"/>
        <v>0.95836734693877523</v>
      </c>
      <c r="R68" s="442"/>
      <c r="S68" s="28">
        <v>0.32916666666666661</v>
      </c>
      <c r="T68" s="28">
        <v>0.43124999999999997</v>
      </c>
      <c r="U68" s="363">
        <f t="shared" si="87"/>
        <v>5.9999999999999787</v>
      </c>
      <c r="V68" s="373">
        <f t="shared" si="84"/>
        <v>147.00000000000003</v>
      </c>
      <c r="W68" s="363"/>
      <c r="X68" s="363"/>
      <c r="Y68" s="443"/>
      <c r="Z68" s="443"/>
      <c r="AA68" s="12">
        <f t="shared" si="2"/>
        <v>-62.448979591837087</v>
      </c>
      <c r="AB68" s="368">
        <f t="shared" si="60"/>
        <v>0.95836734693877523</v>
      </c>
      <c r="AC68" s="442"/>
    </row>
    <row r="69" spans="1:29">
      <c r="A69" s="450" t="s">
        <v>254</v>
      </c>
      <c r="B69" s="31" t="s">
        <v>231</v>
      </c>
      <c r="C69" s="446"/>
      <c r="D69" s="446"/>
      <c r="E69" s="362"/>
      <c r="F69" s="33"/>
      <c r="G69" s="10"/>
      <c r="H69" s="374"/>
      <c r="I69" s="19">
        <v>10.25</v>
      </c>
      <c r="J69" s="26">
        <v>2375</v>
      </c>
      <c r="K69" s="10">
        <f>J69/I69</f>
        <v>231.70731707317074</v>
      </c>
      <c r="L69" s="19">
        <v>10.25</v>
      </c>
      <c r="M69" s="11">
        <f>AVERAGE(M65:M68)</f>
        <v>2276.1370159466642</v>
      </c>
      <c r="N69" s="10">
        <f>M69/L69</f>
        <v>222.06214789723552</v>
      </c>
      <c r="O69" s="12">
        <f>L69-I69</f>
        <v>0</v>
      </c>
      <c r="P69" s="13">
        <f>N69-K69</f>
        <v>-9.6451691759352229</v>
      </c>
      <c r="Q69" s="368">
        <f>N69/K69</f>
        <v>0.95837348039859538</v>
      </c>
      <c r="R69" s="442"/>
      <c r="S69" s="28"/>
      <c r="T69" s="28"/>
      <c r="U69" s="10"/>
      <c r="V69" s="373"/>
      <c r="W69" s="10"/>
      <c r="X69" s="10"/>
      <c r="Y69" s="443"/>
      <c r="Z69" s="443"/>
      <c r="AA69" s="12">
        <f t="shared" ref="AA69:AA82" si="88">M69-J69</f>
        <v>-98.862984053335822</v>
      </c>
      <c r="AB69" s="368">
        <f t="shared" si="60"/>
        <v>0.95837348039859549</v>
      </c>
      <c r="AC69" s="442"/>
    </row>
    <row r="70" spans="1:29" ht="15.75" customHeight="1">
      <c r="A70" s="439" t="s">
        <v>235</v>
      </c>
      <c r="B70" s="374" t="s">
        <v>67</v>
      </c>
      <c r="C70" s="441" t="s">
        <v>99</v>
      </c>
      <c r="D70" s="441"/>
      <c r="E70" s="31">
        <v>20.2</v>
      </c>
      <c r="F70" s="374">
        <v>2970</v>
      </c>
      <c r="G70" s="363">
        <f t="shared" ref="G70:G81" si="89">E70*F70</f>
        <v>59994</v>
      </c>
      <c r="H70" s="376" t="s">
        <v>103</v>
      </c>
      <c r="I70" s="372">
        <v>19</v>
      </c>
      <c r="J70" s="26">
        <v>2400</v>
      </c>
      <c r="K70" s="10">
        <f t="shared" ref="K70:K72" si="90">J70/I70</f>
        <v>126.31578947368421</v>
      </c>
      <c r="L70" s="19">
        <v>19</v>
      </c>
      <c r="M70" s="11">
        <f>F70/V70*60</f>
        <v>2314.2857142857142</v>
      </c>
      <c r="N70" s="10">
        <f t="shared" ref="N70:N81" si="91">M70/L70</f>
        <v>121.80451127819549</v>
      </c>
      <c r="O70" s="12">
        <f t="shared" ref="O70:O81" si="92">L70-I70</f>
        <v>0</v>
      </c>
      <c r="P70" s="13">
        <f t="shared" ref="P70:P81" si="93">N70-K70</f>
        <v>-4.511278195488714</v>
      </c>
      <c r="Q70" s="368">
        <f>N70/K70</f>
        <v>0.9642857142857143</v>
      </c>
      <c r="R70" s="442">
        <f>Q82</f>
        <v>0.96105542551320711</v>
      </c>
      <c r="S70" s="28">
        <v>0.125</v>
      </c>
      <c r="T70" s="28">
        <v>0.17847222222222223</v>
      </c>
      <c r="U70" s="18"/>
      <c r="V70" s="373">
        <f t="shared" ref="V70:V81" si="94">(T70-S70)*24*60</f>
        <v>77</v>
      </c>
      <c r="W70" s="16">
        <f>T70</f>
        <v>0.17847222222222223</v>
      </c>
      <c r="X70" s="16">
        <f>S71</f>
        <v>0.19861111111111113</v>
      </c>
      <c r="Y70" s="443"/>
      <c r="Z70" s="443"/>
      <c r="AA70" s="12">
        <f t="shared" si="88"/>
        <v>-85.714285714285779</v>
      </c>
      <c r="AB70" s="368">
        <f>M70/J70</f>
        <v>0.9642857142857143</v>
      </c>
      <c r="AC70" s="442">
        <f>AB82</f>
        <v>0.96105542551320711</v>
      </c>
    </row>
    <row r="71" spans="1:29" ht="15.75" customHeight="1">
      <c r="A71" s="439" t="s">
        <v>235</v>
      </c>
      <c r="B71" s="374" t="s">
        <v>67</v>
      </c>
      <c r="C71" s="441" t="s">
        <v>100</v>
      </c>
      <c r="D71" s="441"/>
      <c r="E71" s="31">
        <v>19.02</v>
      </c>
      <c r="F71" s="374">
        <v>6400</v>
      </c>
      <c r="G71" s="363">
        <f t="shared" si="89"/>
        <v>121728</v>
      </c>
      <c r="H71" s="376">
        <v>2</v>
      </c>
      <c r="I71" s="372">
        <v>15</v>
      </c>
      <c r="J71" s="26">
        <v>2400</v>
      </c>
      <c r="K71" s="10">
        <f t="shared" si="90"/>
        <v>160</v>
      </c>
      <c r="L71" s="19">
        <v>15</v>
      </c>
      <c r="M71" s="11">
        <f t="shared" ref="M71:M81" si="95">F71/V71*60</f>
        <v>2285.7142857142862</v>
      </c>
      <c r="N71" s="10">
        <f t="shared" si="91"/>
        <v>152.38095238095241</v>
      </c>
      <c r="O71" s="12">
        <f t="shared" si="92"/>
        <v>0</v>
      </c>
      <c r="P71" s="13">
        <f t="shared" si="93"/>
        <v>-7.619047619047592</v>
      </c>
      <c r="Q71" s="368">
        <f t="shared" ref="Q71:Q82" si="96">N71/K71</f>
        <v>0.95238095238095255</v>
      </c>
      <c r="R71" s="442"/>
      <c r="S71" s="28">
        <v>0.19861111111111113</v>
      </c>
      <c r="T71" s="28">
        <v>0.31527777777777777</v>
      </c>
      <c r="U71" s="363">
        <f>(S71-T70)*24*60</f>
        <v>29.000000000000018</v>
      </c>
      <c r="V71" s="373">
        <f t="shared" si="94"/>
        <v>167.99999999999997</v>
      </c>
      <c r="W71" s="16"/>
      <c r="X71" s="16"/>
      <c r="Y71" s="443"/>
      <c r="Z71" s="443"/>
      <c r="AA71" s="12">
        <f t="shared" si="88"/>
        <v>-114.28571428571377</v>
      </c>
      <c r="AB71" s="368">
        <f t="shared" ref="AB71:AB82" si="97">M71/J71</f>
        <v>0.95238095238095255</v>
      </c>
      <c r="AC71" s="442"/>
    </row>
    <row r="72" spans="1:29" ht="15.75" customHeight="1">
      <c r="A72" s="439" t="s">
        <v>235</v>
      </c>
      <c r="B72" s="374" t="s">
        <v>67</v>
      </c>
      <c r="C72" s="441" t="s">
        <v>70</v>
      </c>
      <c r="D72" s="441"/>
      <c r="E72" s="31">
        <v>24.25</v>
      </c>
      <c r="F72" s="374">
        <v>1900</v>
      </c>
      <c r="G72" s="363">
        <f t="shared" si="89"/>
        <v>46075</v>
      </c>
      <c r="H72" s="376">
        <v>2</v>
      </c>
      <c r="I72" s="372">
        <v>18</v>
      </c>
      <c r="J72" s="26">
        <v>2400</v>
      </c>
      <c r="K72" s="10">
        <f t="shared" si="90"/>
        <v>133.33333333333334</v>
      </c>
      <c r="L72" s="19">
        <v>18</v>
      </c>
      <c r="M72" s="11">
        <f t="shared" si="95"/>
        <v>2326.5306122448983</v>
      </c>
      <c r="N72" s="10">
        <f t="shared" si="91"/>
        <v>129.25170068027214</v>
      </c>
      <c r="O72" s="12">
        <f t="shared" si="92"/>
        <v>0</v>
      </c>
      <c r="P72" s="13">
        <f t="shared" si="93"/>
        <v>-4.0816326530612059</v>
      </c>
      <c r="Q72" s="368">
        <f t="shared" si="96"/>
        <v>0.969387755102041</v>
      </c>
      <c r="R72" s="442"/>
      <c r="S72" s="28">
        <v>0.3208333333333333</v>
      </c>
      <c r="T72" s="28">
        <v>0.35486111111111107</v>
      </c>
      <c r="U72" s="363">
        <f t="shared" ref="U72:U81" si="98">(S72-T71)*24*60</f>
        <v>7.9999999999999716</v>
      </c>
      <c r="V72" s="373">
        <f t="shared" si="94"/>
        <v>48.999999999999986</v>
      </c>
      <c r="W72" s="16"/>
      <c r="X72" s="16"/>
      <c r="Y72" s="443"/>
      <c r="Z72" s="443"/>
      <c r="AA72" s="12">
        <f t="shared" si="88"/>
        <v>-73.469387755101707</v>
      </c>
      <c r="AB72" s="368">
        <f t="shared" si="97"/>
        <v>0.969387755102041</v>
      </c>
      <c r="AC72" s="442"/>
    </row>
    <row r="73" spans="1:29" ht="15.75" customHeight="1">
      <c r="A73" s="439" t="s">
        <v>235</v>
      </c>
      <c r="B73" s="374" t="s">
        <v>67</v>
      </c>
      <c r="C73" s="441" t="s">
        <v>102</v>
      </c>
      <c r="D73" s="441"/>
      <c r="E73" s="31">
        <v>20.52</v>
      </c>
      <c r="F73" s="374">
        <v>2950</v>
      </c>
      <c r="G73" s="363">
        <f t="shared" si="89"/>
        <v>60534</v>
      </c>
      <c r="H73" s="376">
        <v>2</v>
      </c>
      <c r="I73" s="372">
        <v>18</v>
      </c>
      <c r="J73" s="26">
        <v>2400</v>
      </c>
      <c r="K73" s="10">
        <f>J73/I73</f>
        <v>133.33333333333334</v>
      </c>
      <c r="L73" s="19">
        <v>18</v>
      </c>
      <c r="M73" s="11">
        <f t="shared" si="95"/>
        <v>2298.7012987012977</v>
      </c>
      <c r="N73" s="10">
        <f t="shared" si="91"/>
        <v>127.70562770562765</v>
      </c>
      <c r="O73" s="12">
        <f t="shared" si="92"/>
        <v>0</v>
      </c>
      <c r="P73" s="13">
        <f t="shared" si="93"/>
        <v>-5.6277056277056943</v>
      </c>
      <c r="Q73" s="368">
        <f t="shared" si="96"/>
        <v>0.95779220779220731</v>
      </c>
      <c r="R73" s="442"/>
      <c r="S73" s="28">
        <v>0.35902777777777772</v>
      </c>
      <c r="T73" s="28">
        <v>0.41249999999999998</v>
      </c>
      <c r="U73" s="363">
        <f t="shared" si="98"/>
        <v>5.9999999999999787</v>
      </c>
      <c r="V73" s="373">
        <f t="shared" si="94"/>
        <v>77.000000000000043</v>
      </c>
      <c r="W73" s="16"/>
      <c r="X73" s="16"/>
      <c r="Y73" s="443"/>
      <c r="Z73" s="443"/>
      <c r="AA73" s="12">
        <f t="shared" si="88"/>
        <v>-101.29870129870233</v>
      </c>
      <c r="AB73" s="368">
        <f t="shared" si="97"/>
        <v>0.95779220779220742</v>
      </c>
      <c r="AC73" s="442"/>
    </row>
    <row r="74" spans="1:29" ht="15.75" customHeight="1">
      <c r="A74" s="439" t="s">
        <v>235</v>
      </c>
      <c r="B74" s="374" t="s">
        <v>67</v>
      </c>
      <c r="C74" s="441" t="s">
        <v>1161</v>
      </c>
      <c r="D74" s="441"/>
      <c r="E74" s="31">
        <v>24.25</v>
      </c>
      <c r="F74" s="374">
        <v>2900</v>
      </c>
      <c r="G74" s="363">
        <f t="shared" si="89"/>
        <v>70325</v>
      </c>
      <c r="H74" s="376">
        <v>2</v>
      </c>
      <c r="I74" s="372">
        <v>17</v>
      </c>
      <c r="J74" s="26">
        <v>2400</v>
      </c>
      <c r="K74" s="10">
        <f t="shared" ref="K74:K82" si="99">J74/I74</f>
        <v>141.1764705882353</v>
      </c>
      <c r="L74" s="19">
        <v>17</v>
      </c>
      <c r="M74" s="11">
        <f t="shared" si="95"/>
        <v>2289.4736842105272</v>
      </c>
      <c r="N74" s="10">
        <f t="shared" si="91"/>
        <v>134.67492260061925</v>
      </c>
      <c r="O74" s="12">
        <f t="shared" si="92"/>
        <v>0</v>
      </c>
      <c r="P74" s="13">
        <f t="shared" si="93"/>
        <v>-6.5015479876160498</v>
      </c>
      <c r="Q74" s="368">
        <f t="shared" si="96"/>
        <v>0.95394736842105299</v>
      </c>
      <c r="R74" s="442"/>
      <c r="S74" s="28">
        <v>0.41666666666666663</v>
      </c>
      <c r="T74" s="28">
        <v>0.46944444444444439</v>
      </c>
      <c r="U74" s="363">
        <f t="shared" si="98"/>
        <v>5.9999999999999787</v>
      </c>
      <c r="V74" s="373">
        <f t="shared" si="94"/>
        <v>75.999999999999972</v>
      </c>
      <c r="W74" s="16"/>
      <c r="X74" s="16"/>
      <c r="Y74" s="443"/>
      <c r="Z74" s="443"/>
      <c r="AA74" s="12">
        <f t="shared" si="88"/>
        <v>-110.52631578947285</v>
      </c>
      <c r="AB74" s="368">
        <f t="shared" si="97"/>
        <v>0.95394736842105299</v>
      </c>
      <c r="AC74" s="442"/>
    </row>
    <row r="75" spans="1:29" ht="15.75" customHeight="1">
      <c r="A75" s="439" t="s">
        <v>235</v>
      </c>
      <c r="B75" s="374" t="s">
        <v>67</v>
      </c>
      <c r="C75" s="441" t="s">
        <v>71</v>
      </c>
      <c r="D75" s="441"/>
      <c r="E75" s="31">
        <v>22.35</v>
      </c>
      <c r="F75" s="374">
        <v>1200</v>
      </c>
      <c r="G75" s="363">
        <f t="shared" si="89"/>
        <v>26820</v>
      </c>
      <c r="H75" s="376">
        <v>2</v>
      </c>
      <c r="I75" s="372">
        <v>16</v>
      </c>
      <c r="J75" s="26">
        <v>2400</v>
      </c>
      <c r="K75" s="10">
        <f t="shared" si="99"/>
        <v>150</v>
      </c>
      <c r="L75" s="19">
        <v>16</v>
      </c>
      <c r="M75" s="11">
        <f t="shared" si="95"/>
        <v>2322.5806451612925</v>
      </c>
      <c r="N75" s="10">
        <f t="shared" si="91"/>
        <v>145.16129032258078</v>
      </c>
      <c r="O75" s="12">
        <f t="shared" si="92"/>
        <v>0</v>
      </c>
      <c r="P75" s="13">
        <f t="shared" si="93"/>
        <v>-4.8387096774192173</v>
      </c>
      <c r="Q75" s="368">
        <f t="shared" si="96"/>
        <v>0.96774193548387188</v>
      </c>
      <c r="R75" s="442"/>
      <c r="S75" s="28">
        <v>0.4729166666666666</v>
      </c>
      <c r="T75" s="28">
        <v>0.49444444444444435</v>
      </c>
      <c r="U75" s="363">
        <f t="shared" si="98"/>
        <v>4.9999999999999822</v>
      </c>
      <c r="V75" s="373">
        <f t="shared" si="94"/>
        <v>30.999999999999972</v>
      </c>
      <c r="W75" s="16"/>
      <c r="X75" s="16"/>
      <c r="Y75" s="443"/>
      <c r="Z75" s="443"/>
      <c r="AA75" s="12">
        <f t="shared" si="88"/>
        <v>-77.419354838707477</v>
      </c>
      <c r="AB75" s="368">
        <f t="shared" si="97"/>
        <v>0.96774193548387188</v>
      </c>
      <c r="AC75" s="442"/>
    </row>
    <row r="76" spans="1:29" ht="15.75" customHeight="1">
      <c r="A76" s="439" t="s">
        <v>235</v>
      </c>
      <c r="B76" s="374" t="s">
        <v>67</v>
      </c>
      <c r="C76" s="444" t="s">
        <v>74</v>
      </c>
      <c r="D76" s="445"/>
      <c r="E76" s="31">
        <v>24.45</v>
      </c>
      <c r="F76" s="374">
        <v>1177</v>
      </c>
      <c r="G76" s="363">
        <f t="shared" si="89"/>
        <v>28777.649999999998</v>
      </c>
      <c r="H76" s="376" t="s">
        <v>103</v>
      </c>
      <c r="I76" s="372">
        <v>20</v>
      </c>
      <c r="J76" s="26">
        <v>2400</v>
      </c>
      <c r="K76" s="10">
        <f t="shared" si="99"/>
        <v>120</v>
      </c>
      <c r="L76" s="19">
        <v>20</v>
      </c>
      <c r="M76" s="11">
        <f t="shared" si="95"/>
        <v>2353.9999999999959</v>
      </c>
      <c r="N76" s="10">
        <f t="shared" si="91"/>
        <v>117.69999999999979</v>
      </c>
      <c r="O76" s="12">
        <f t="shared" si="92"/>
        <v>0</v>
      </c>
      <c r="P76" s="13">
        <f t="shared" si="93"/>
        <v>-2.3000000000002103</v>
      </c>
      <c r="Q76" s="368">
        <f t="shared" si="96"/>
        <v>0.98083333333333156</v>
      </c>
      <c r="R76" s="442"/>
      <c r="S76" s="28">
        <v>0.49999999999999989</v>
      </c>
      <c r="T76" s="28">
        <v>0.52083333333333326</v>
      </c>
      <c r="U76" s="363">
        <f t="shared" si="98"/>
        <v>7.9999999999999716</v>
      </c>
      <c r="V76" s="373">
        <f t="shared" si="94"/>
        <v>30.000000000000053</v>
      </c>
      <c r="W76" s="16"/>
      <c r="X76" s="16"/>
      <c r="Y76" s="447"/>
      <c r="Z76" s="448"/>
      <c r="AA76" s="12">
        <f t="shared" si="88"/>
        <v>-46.000000000004093</v>
      </c>
      <c r="AB76" s="368">
        <f t="shared" si="97"/>
        <v>0.98083333333333167</v>
      </c>
      <c r="AC76" s="442"/>
    </row>
    <row r="77" spans="1:29" ht="15.75" customHeight="1">
      <c r="A77" s="439" t="s">
        <v>235</v>
      </c>
      <c r="B77" s="374" t="s">
        <v>67</v>
      </c>
      <c r="C77" s="444" t="s">
        <v>100</v>
      </c>
      <c r="D77" s="445"/>
      <c r="E77" s="31">
        <v>19.02</v>
      </c>
      <c r="F77" s="374">
        <v>5067</v>
      </c>
      <c r="G77" s="363">
        <f t="shared" si="89"/>
        <v>96374.34</v>
      </c>
      <c r="H77" s="376" t="s">
        <v>103</v>
      </c>
      <c r="I77" s="372">
        <v>15</v>
      </c>
      <c r="J77" s="26">
        <v>2400</v>
      </c>
      <c r="K77" s="10">
        <f t="shared" si="99"/>
        <v>160</v>
      </c>
      <c r="L77" s="19">
        <v>15</v>
      </c>
      <c r="M77" s="11">
        <f t="shared" si="95"/>
        <v>2285.8646616541355</v>
      </c>
      <c r="N77" s="10">
        <f t="shared" si="91"/>
        <v>152.39097744360905</v>
      </c>
      <c r="O77" s="12">
        <f t="shared" si="92"/>
        <v>0</v>
      </c>
      <c r="P77" s="13">
        <f t="shared" si="93"/>
        <v>-7.6090225563909542</v>
      </c>
      <c r="Q77" s="368">
        <f t="shared" si="96"/>
        <v>0.95244360902255654</v>
      </c>
      <c r="R77" s="442"/>
      <c r="S77" s="28">
        <v>0.52499999999999991</v>
      </c>
      <c r="T77" s="28">
        <v>0.61736111111111103</v>
      </c>
      <c r="U77" s="363">
        <f t="shared" si="98"/>
        <v>5.9999999999999787</v>
      </c>
      <c r="V77" s="373">
        <f t="shared" si="94"/>
        <v>133</v>
      </c>
      <c r="W77" s="16"/>
      <c r="X77" s="16"/>
      <c r="Y77" s="447"/>
      <c r="Z77" s="448"/>
      <c r="AA77" s="12">
        <f t="shared" si="88"/>
        <v>-114.13533834586451</v>
      </c>
      <c r="AB77" s="368">
        <f t="shared" si="97"/>
        <v>0.95244360902255643</v>
      </c>
      <c r="AC77" s="442"/>
    </row>
    <row r="78" spans="1:29" ht="15.75" customHeight="1">
      <c r="A78" s="439" t="s">
        <v>235</v>
      </c>
      <c r="B78" s="374" t="s">
        <v>67</v>
      </c>
      <c r="C78" s="444" t="s">
        <v>1161</v>
      </c>
      <c r="D78" s="445"/>
      <c r="E78" s="31">
        <v>24.25</v>
      </c>
      <c r="F78" s="374">
        <v>2215</v>
      </c>
      <c r="G78" s="363">
        <f t="shared" si="89"/>
        <v>53713.75</v>
      </c>
      <c r="H78" s="376" t="s">
        <v>103</v>
      </c>
      <c r="I78" s="372">
        <v>17</v>
      </c>
      <c r="J78" s="26">
        <v>2400</v>
      </c>
      <c r="K78" s="10">
        <f t="shared" si="99"/>
        <v>141.1764705882353</v>
      </c>
      <c r="L78" s="19">
        <v>17</v>
      </c>
      <c r="M78" s="11">
        <f t="shared" si="95"/>
        <v>2291.3793103448293</v>
      </c>
      <c r="N78" s="10">
        <f t="shared" si="91"/>
        <v>134.7870182555782</v>
      </c>
      <c r="O78" s="12">
        <f t="shared" si="92"/>
        <v>0</v>
      </c>
      <c r="P78" s="13">
        <f t="shared" si="93"/>
        <v>-6.3894523326571004</v>
      </c>
      <c r="Q78" s="368">
        <f t="shared" si="96"/>
        <v>0.95474137931034553</v>
      </c>
      <c r="R78" s="442"/>
      <c r="S78" s="28">
        <v>0.62083333333333324</v>
      </c>
      <c r="T78" s="28">
        <v>0.66111111111111098</v>
      </c>
      <c r="U78" s="363">
        <f t="shared" si="98"/>
        <v>4.9999999999999822</v>
      </c>
      <c r="V78" s="373">
        <f t="shared" si="94"/>
        <v>57.999999999999957</v>
      </c>
      <c r="W78" s="16"/>
      <c r="X78" s="16"/>
      <c r="Y78" s="447"/>
      <c r="Z78" s="448"/>
      <c r="AA78" s="12">
        <f t="shared" si="88"/>
        <v>-108.62068965517074</v>
      </c>
      <c r="AB78" s="368">
        <f t="shared" si="97"/>
        <v>0.95474137931034553</v>
      </c>
      <c r="AC78" s="442"/>
    </row>
    <row r="79" spans="1:29" ht="15.75" customHeight="1">
      <c r="A79" s="439" t="s">
        <v>235</v>
      </c>
      <c r="B79" s="374" t="s">
        <v>67</v>
      </c>
      <c r="C79" s="444" t="s">
        <v>71</v>
      </c>
      <c r="D79" s="445"/>
      <c r="E79" s="31">
        <v>22.35</v>
      </c>
      <c r="F79" s="374">
        <v>957</v>
      </c>
      <c r="G79" s="363">
        <f t="shared" si="89"/>
        <v>21388.95</v>
      </c>
      <c r="H79" s="376" t="s">
        <v>103</v>
      </c>
      <c r="I79" s="372">
        <v>16</v>
      </c>
      <c r="J79" s="26">
        <v>2400</v>
      </c>
      <c r="K79" s="10">
        <f t="shared" si="99"/>
        <v>150</v>
      </c>
      <c r="L79" s="19">
        <v>16</v>
      </c>
      <c r="M79" s="11">
        <f t="shared" si="95"/>
        <v>2296.7999999999938</v>
      </c>
      <c r="N79" s="10">
        <f t="shared" si="91"/>
        <v>143.54999999999961</v>
      </c>
      <c r="O79" s="12">
        <f t="shared" si="92"/>
        <v>0</v>
      </c>
      <c r="P79" s="13">
        <f t="shared" si="93"/>
        <v>-6.4500000000003865</v>
      </c>
      <c r="Q79" s="368">
        <f t="shared" si="96"/>
        <v>0.95699999999999741</v>
      </c>
      <c r="R79" s="442"/>
      <c r="S79" s="28">
        <v>0.66527777777777763</v>
      </c>
      <c r="T79" s="28">
        <v>0.6826388888888888</v>
      </c>
      <c r="U79" s="363">
        <f t="shared" si="98"/>
        <v>5.9999999999999787</v>
      </c>
      <c r="V79" s="373">
        <f t="shared" si="94"/>
        <v>25.000000000000071</v>
      </c>
      <c r="W79" s="16"/>
      <c r="X79" s="16"/>
      <c r="Y79" s="447"/>
      <c r="Z79" s="448"/>
      <c r="AA79" s="12">
        <f t="shared" si="88"/>
        <v>-103.20000000000618</v>
      </c>
      <c r="AB79" s="368">
        <f t="shared" si="97"/>
        <v>0.95699999999999741</v>
      </c>
      <c r="AC79" s="442"/>
    </row>
    <row r="80" spans="1:29" ht="15.75" customHeight="1">
      <c r="A80" s="439"/>
      <c r="B80" s="374" t="s">
        <v>67</v>
      </c>
      <c r="C80" s="444" t="s">
        <v>70</v>
      </c>
      <c r="D80" s="445"/>
      <c r="E80" s="31">
        <v>24.25</v>
      </c>
      <c r="F80" s="374">
        <v>1560</v>
      </c>
      <c r="G80" s="363">
        <f t="shared" si="89"/>
        <v>37830</v>
      </c>
      <c r="H80" s="376" t="s">
        <v>103</v>
      </c>
      <c r="I80" s="372">
        <v>18</v>
      </c>
      <c r="J80" s="26">
        <v>2400</v>
      </c>
      <c r="K80" s="10">
        <f t="shared" si="99"/>
        <v>133.33333333333334</v>
      </c>
      <c r="L80" s="19">
        <v>18</v>
      </c>
      <c r="M80" s="11">
        <f t="shared" si="95"/>
        <v>2339.9999999999991</v>
      </c>
      <c r="N80" s="10">
        <f t="shared" si="91"/>
        <v>129.99999999999994</v>
      </c>
      <c r="O80" s="12">
        <f t="shared" si="92"/>
        <v>0</v>
      </c>
      <c r="P80" s="13">
        <f t="shared" si="93"/>
        <v>-3.3333333333333997</v>
      </c>
      <c r="Q80" s="368">
        <f t="shared" si="96"/>
        <v>0.97499999999999953</v>
      </c>
      <c r="R80" s="442"/>
      <c r="S80" s="28">
        <v>0.68819444444444433</v>
      </c>
      <c r="T80" s="28">
        <v>0.71597222222222212</v>
      </c>
      <c r="U80" s="363">
        <f t="shared" si="98"/>
        <v>7.9999999999999716</v>
      </c>
      <c r="V80" s="373">
        <f t="shared" si="94"/>
        <v>40.000000000000014</v>
      </c>
      <c r="W80" s="16"/>
      <c r="X80" s="16"/>
      <c r="Y80" s="366"/>
      <c r="Z80" s="367"/>
      <c r="AA80" s="12">
        <f t="shared" si="88"/>
        <v>-60.000000000000909</v>
      </c>
      <c r="AB80" s="368">
        <f t="shared" si="97"/>
        <v>0.97499999999999964</v>
      </c>
      <c r="AC80" s="442"/>
    </row>
    <row r="81" spans="1:29" ht="15.6" customHeight="1">
      <c r="A81" s="439"/>
      <c r="B81" s="374" t="s">
        <v>67</v>
      </c>
      <c r="C81" s="444" t="s">
        <v>102</v>
      </c>
      <c r="D81" s="445"/>
      <c r="E81" s="31">
        <v>20.52</v>
      </c>
      <c r="F81" s="374">
        <v>2542</v>
      </c>
      <c r="G81" s="363">
        <f t="shared" si="89"/>
        <v>52161.84</v>
      </c>
      <c r="H81" s="376" t="s">
        <v>103</v>
      </c>
      <c r="I81" s="372">
        <v>18</v>
      </c>
      <c r="J81" s="26">
        <v>2400</v>
      </c>
      <c r="K81" s="10">
        <f t="shared" si="99"/>
        <v>133.33333333333334</v>
      </c>
      <c r="L81" s="19">
        <v>18</v>
      </c>
      <c r="M81" s="11">
        <f t="shared" si="95"/>
        <v>2310.9090909090937</v>
      </c>
      <c r="N81" s="10">
        <f t="shared" si="91"/>
        <v>128.38383838383854</v>
      </c>
      <c r="O81" s="12">
        <f t="shared" si="92"/>
        <v>0</v>
      </c>
      <c r="P81" s="13">
        <f t="shared" si="93"/>
        <v>-4.949494949494806</v>
      </c>
      <c r="Q81" s="368">
        <f t="shared" si="96"/>
        <v>0.962878787878789</v>
      </c>
      <c r="R81" s="442"/>
      <c r="S81" s="28">
        <v>0.72152777777777766</v>
      </c>
      <c r="T81" s="28">
        <v>0.76736111111111094</v>
      </c>
      <c r="U81" s="363">
        <f t="shared" si="98"/>
        <v>7.9999999999999716</v>
      </c>
      <c r="V81" s="373">
        <f t="shared" si="94"/>
        <v>65.999999999999929</v>
      </c>
      <c r="W81" s="16"/>
      <c r="X81" s="16"/>
      <c r="Y81" s="366"/>
      <c r="Z81" s="367"/>
      <c r="AA81" s="12">
        <f t="shared" si="88"/>
        <v>-89.09090909090628</v>
      </c>
      <c r="AB81" s="368">
        <f t="shared" si="97"/>
        <v>0.962878787878789</v>
      </c>
      <c r="AC81" s="442"/>
    </row>
    <row r="82" spans="1:29" ht="16.5" customHeight="1">
      <c r="A82" s="440" t="s">
        <v>235</v>
      </c>
      <c r="B82" s="31" t="s">
        <v>231</v>
      </c>
      <c r="C82" s="446"/>
      <c r="D82" s="446"/>
      <c r="E82" s="362"/>
      <c r="F82" s="33"/>
      <c r="G82" s="10"/>
      <c r="H82" s="374"/>
      <c r="I82" s="19">
        <v>17.100000000000001</v>
      </c>
      <c r="J82" s="26">
        <v>2400</v>
      </c>
      <c r="K82" s="10">
        <f t="shared" si="99"/>
        <v>140.35087719298244</v>
      </c>
      <c r="L82" s="19">
        <v>17.100000000000001</v>
      </c>
      <c r="M82" s="11">
        <f>AVERAGE(M70:M79)</f>
        <v>2306.5330212316971</v>
      </c>
      <c r="N82" s="10">
        <f>M82/L82</f>
        <v>134.88497200185361</v>
      </c>
      <c r="O82" s="12">
        <f>L82-I82</f>
        <v>0</v>
      </c>
      <c r="P82" s="13">
        <f>N82-K82</f>
        <v>-5.4659051911288259</v>
      </c>
      <c r="Q82" s="368">
        <f t="shared" si="96"/>
        <v>0.96105542551320711</v>
      </c>
      <c r="R82" s="442"/>
      <c r="S82" s="28"/>
      <c r="T82" s="28"/>
      <c r="U82" s="363"/>
      <c r="V82" s="373"/>
      <c r="W82" s="10"/>
      <c r="X82" s="10"/>
      <c r="Y82" s="443"/>
      <c r="Z82" s="443"/>
      <c r="AA82" s="12">
        <f t="shared" si="88"/>
        <v>-93.466978768302852</v>
      </c>
      <c r="AB82" s="368">
        <f t="shared" si="97"/>
        <v>0.96105542551320711</v>
      </c>
      <c r="AC82" s="442"/>
    </row>
    <row r="83" spans="1:29">
      <c r="D83" s="22"/>
      <c r="E83" s="22"/>
    </row>
  </sheetData>
  <mergeCells count="20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21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20:Z20"/>
    <mergeCell ref="C21:D21"/>
    <mergeCell ref="Y21:Z21"/>
    <mergeCell ref="A22:A27"/>
    <mergeCell ref="C22:D22"/>
    <mergeCell ref="R22:R27"/>
    <mergeCell ref="Y22:Z22"/>
    <mergeCell ref="Y27:Z27"/>
    <mergeCell ref="Y16:Z16"/>
    <mergeCell ref="C17:D17"/>
    <mergeCell ref="Y17:Z17"/>
    <mergeCell ref="C18:D18"/>
    <mergeCell ref="Y18:Z18"/>
    <mergeCell ref="Y19:Z19"/>
    <mergeCell ref="A13:A21"/>
    <mergeCell ref="C13:D13"/>
    <mergeCell ref="R13:R21"/>
    <mergeCell ref="Y13:Z13"/>
    <mergeCell ref="AC28:AC39"/>
    <mergeCell ref="C29:D29"/>
    <mergeCell ref="Y29:Z29"/>
    <mergeCell ref="C30:D30"/>
    <mergeCell ref="Y30:Z30"/>
    <mergeCell ref="C31:D31"/>
    <mergeCell ref="AC22:AC27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Y31:Z31"/>
    <mergeCell ref="C32:D32"/>
    <mergeCell ref="C33:D33"/>
    <mergeCell ref="Y33:Z33"/>
    <mergeCell ref="C34:D34"/>
    <mergeCell ref="Y34:Z34"/>
    <mergeCell ref="R28:R39"/>
    <mergeCell ref="Y28:Z28"/>
    <mergeCell ref="C38:D38"/>
    <mergeCell ref="Y38:Z38"/>
    <mergeCell ref="C39:D39"/>
    <mergeCell ref="Y39:Z39"/>
    <mergeCell ref="A40:A48"/>
    <mergeCell ref="C40:D40"/>
    <mergeCell ref="R40:R48"/>
    <mergeCell ref="Y40:Z40"/>
    <mergeCell ref="Y45:Z45"/>
    <mergeCell ref="C46:D46"/>
    <mergeCell ref="A28:A39"/>
    <mergeCell ref="C28:D28"/>
    <mergeCell ref="AC40:AC48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Y46:Z46"/>
    <mergeCell ref="C47:D47"/>
    <mergeCell ref="Y47:Z47"/>
    <mergeCell ref="C48:D48"/>
    <mergeCell ref="Y48:Z48"/>
    <mergeCell ref="Y32:Z32"/>
    <mergeCell ref="AC58:AC64"/>
    <mergeCell ref="C59:D59"/>
    <mergeCell ref="Y59:Z59"/>
    <mergeCell ref="C60:D60"/>
    <mergeCell ref="C63:D63"/>
    <mergeCell ref="Y63:Z63"/>
    <mergeCell ref="C55:D55"/>
    <mergeCell ref="Y55:Z55"/>
    <mergeCell ref="C56:D56"/>
    <mergeCell ref="Y56:Z56"/>
    <mergeCell ref="C57:D57"/>
    <mergeCell ref="Y57:Z57"/>
    <mergeCell ref="AC49:AC57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C64:D64"/>
    <mergeCell ref="Y64:Z64"/>
    <mergeCell ref="A65:A69"/>
    <mergeCell ref="C65:D65"/>
    <mergeCell ref="R65:R69"/>
    <mergeCell ref="Y65:Z65"/>
    <mergeCell ref="A58:A64"/>
    <mergeCell ref="C58:D58"/>
    <mergeCell ref="R58:R64"/>
    <mergeCell ref="Y58:Z58"/>
    <mergeCell ref="A49:A57"/>
    <mergeCell ref="C49:D49"/>
    <mergeCell ref="R49:R57"/>
    <mergeCell ref="Y49:Z49"/>
    <mergeCell ref="Y54:Z54"/>
    <mergeCell ref="AC70:AC82"/>
    <mergeCell ref="C71:D71"/>
    <mergeCell ref="Y71:Z71"/>
    <mergeCell ref="C72:D72"/>
    <mergeCell ref="Y72:Z72"/>
    <mergeCell ref="C73:D73"/>
    <mergeCell ref="AC65:AC69"/>
    <mergeCell ref="C66:D66"/>
    <mergeCell ref="Y66:Z66"/>
    <mergeCell ref="C67:D67"/>
    <mergeCell ref="Y67:Z67"/>
    <mergeCell ref="C68:D68"/>
    <mergeCell ref="Y68:Z68"/>
    <mergeCell ref="C69:D69"/>
    <mergeCell ref="Y69:Z69"/>
    <mergeCell ref="Y73:Z73"/>
    <mergeCell ref="C74:D74"/>
    <mergeCell ref="Y74:Z74"/>
    <mergeCell ref="C75:D75"/>
    <mergeCell ref="Y75:Z75"/>
    <mergeCell ref="C76:D76"/>
    <mergeCell ref="Y76:Z76"/>
    <mergeCell ref="A70:A82"/>
    <mergeCell ref="C70:D70"/>
    <mergeCell ref="R70:R82"/>
    <mergeCell ref="Y70:Z70"/>
    <mergeCell ref="C80:D80"/>
    <mergeCell ref="C81:D81"/>
    <mergeCell ref="C82:D82"/>
    <mergeCell ref="Y82:Z82"/>
    <mergeCell ref="C77:D77"/>
    <mergeCell ref="Y77:Z77"/>
    <mergeCell ref="C78:D78"/>
    <mergeCell ref="Y78:Z78"/>
    <mergeCell ref="C79:D79"/>
    <mergeCell ref="Y79:Z79"/>
  </mergeCells>
  <phoneticPr fontId="3" type="noConversion"/>
  <conditionalFormatting sqref="O68:O75 O82 O5:O9 O12:O14 O57:O65 O21:O35 O39:O54">
    <cfRule type="cellIs" dxfId="1811" priority="93" operator="greaterThan">
      <formula>0</formula>
    </cfRule>
  </conditionalFormatting>
  <conditionalFormatting sqref="P5:P7 P68 AA68 P70:P75 P28:P35 P65 P9 P12:P14 P22:P26 P58:P63 P40:P54 AA5:AA65 AA70:AA82">
    <cfRule type="cellIs" dxfId="1810" priority="97" operator="lessThan">
      <formula>0</formula>
    </cfRule>
  </conditionalFormatting>
  <conditionalFormatting sqref="AB68 Q68:Q75 Q82 Q5:Q9 Q12:Q14 Q57:Q65 Q21:Q35 Q39:Q54 AB5:AB65 AB70:AB82">
    <cfRule type="cellIs" dxfId="1809" priority="94" operator="greaterThan">
      <formula>1</formula>
    </cfRule>
    <cfRule type="cellIs" dxfId="1808" priority="95" operator="lessThan">
      <formula>0.8</formula>
    </cfRule>
  </conditionalFormatting>
  <conditionalFormatting sqref="AC13:AC14 R13:R14 AC68 R68:R75 AC21:AC35 R21:R35 R82 AC5:AC9 R5:R9 R39:R54 AC39:AC54 AC57:AC65 R57:R65">
    <cfRule type="cellIs" dxfId="1807" priority="99" operator="lessThan">
      <formula>0.8</formula>
    </cfRule>
  </conditionalFormatting>
  <conditionalFormatting sqref="AC49">
    <cfRule type="cellIs" dxfId="1806" priority="101" operator="lessThan">
      <formula>0.8</formula>
    </cfRule>
  </conditionalFormatting>
  <conditionalFormatting sqref="AC22:AC26">
    <cfRule type="cellIs" dxfId="1805" priority="98" operator="lessThan">
      <formula>0.8</formula>
    </cfRule>
  </conditionalFormatting>
  <conditionalFormatting sqref="AC28">
    <cfRule type="cellIs" dxfId="1804" priority="100" operator="lessThan">
      <formula>0.8</formula>
    </cfRule>
  </conditionalFormatting>
  <conditionalFormatting sqref="AC40:AC47">
    <cfRule type="cellIs" dxfId="1803" priority="96" operator="lessThan">
      <formula>0.8</formula>
    </cfRule>
  </conditionalFormatting>
  <conditionalFormatting sqref="AA69">
    <cfRule type="cellIs" dxfId="1802" priority="92" operator="lessThan">
      <formula>0</formula>
    </cfRule>
  </conditionalFormatting>
  <conditionalFormatting sqref="AB69">
    <cfRule type="cellIs" dxfId="1801" priority="90" operator="greaterThan">
      <formula>1</formula>
    </cfRule>
    <cfRule type="cellIs" dxfId="1800" priority="91" operator="lessThan">
      <formula>0.8</formula>
    </cfRule>
  </conditionalFormatting>
  <conditionalFormatting sqref="O15:O16">
    <cfRule type="cellIs" dxfId="1799" priority="85" operator="greaterThan">
      <formula>0</formula>
    </cfRule>
  </conditionalFormatting>
  <conditionalFormatting sqref="P15:P16">
    <cfRule type="cellIs" dxfId="1798" priority="88" operator="lessThan">
      <formula>0</formula>
    </cfRule>
  </conditionalFormatting>
  <conditionalFormatting sqref="Q15:Q16">
    <cfRule type="cellIs" dxfId="1797" priority="86" operator="greaterThan">
      <formula>1</formula>
    </cfRule>
    <cfRule type="cellIs" dxfId="1796" priority="87" operator="lessThan">
      <formula>0.8</formula>
    </cfRule>
  </conditionalFormatting>
  <conditionalFormatting sqref="R15:R16 AC15:AC16">
    <cfRule type="cellIs" dxfId="1795" priority="89" operator="lessThan">
      <formula>0.8</formula>
    </cfRule>
  </conditionalFormatting>
  <conditionalFormatting sqref="O10:O11">
    <cfRule type="cellIs" dxfId="1794" priority="81" operator="greaterThan">
      <formula>0</formula>
    </cfRule>
  </conditionalFormatting>
  <conditionalFormatting sqref="P10:P11">
    <cfRule type="cellIs" dxfId="1793" priority="84" operator="lessThan">
      <formula>0</formula>
    </cfRule>
  </conditionalFormatting>
  <conditionalFormatting sqref="Q10:Q11">
    <cfRule type="cellIs" dxfId="1792" priority="82" operator="greaterThan">
      <formula>1</formula>
    </cfRule>
    <cfRule type="cellIs" dxfId="1791" priority="83" operator="lessThan">
      <formula>0.8</formula>
    </cfRule>
  </conditionalFormatting>
  <conditionalFormatting sqref="O67">
    <cfRule type="cellIs" dxfId="1790" priority="76" operator="greaterThan">
      <formula>0</formula>
    </cfRule>
  </conditionalFormatting>
  <conditionalFormatting sqref="P67 AA67">
    <cfRule type="cellIs" dxfId="1789" priority="79" operator="lessThan">
      <formula>0</formula>
    </cfRule>
  </conditionalFormatting>
  <conditionalFormatting sqref="Q67 AB67">
    <cfRule type="cellIs" dxfId="1788" priority="77" operator="greaterThan">
      <formula>1</formula>
    </cfRule>
    <cfRule type="cellIs" dxfId="1787" priority="78" operator="lessThan">
      <formula>0.8</formula>
    </cfRule>
  </conditionalFormatting>
  <conditionalFormatting sqref="R67 AC67">
    <cfRule type="cellIs" dxfId="1786" priority="80" operator="lessThan">
      <formula>0.8</formula>
    </cfRule>
  </conditionalFormatting>
  <conditionalFormatting sqref="O36">
    <cfRule type="cellIs" dxfId="1785" priority="71" operator="greaterThan">
      <formula>0</formula>
    </cfRule>
  </conditionalFormatting>
  <conditionalFormatting sqref="P36">
    <cfRule type="cellIs" dxfId="1784" priority="74" operator="lessThan">
      <formula>0</formula>
    </cfRule>
  </conditionalFormatting>
  <conditionalFormatting sqref="Q36">
    <cfRule type="cellIs" dxfId="1783" priority="72" operator="greaterThan">
      <formula>1</formula>
    </cfRule>
    <cfRule type="cellIs" dxfId="1782" priority="73" operator="lessThan">
      <formula>0.8</formula>
    </cfRule>
  </conditionalFormatting>
  <conditionalFormatting sqref="R36 AC36">
    <cfRule type="cellIs" dxfId="1781" priority="75" operator="lessThan">
      <formula>0.8</formula>
    </cfRule>
  </conditionalFormatting>
  <conditionalFormatting sqref="O76">
    <cfRule type="cellIs" dxfId="1780" priority="66" operator="greaterThan">
      <formula>0</formula>
    </cfRule>
  </conditionalFormatting>
  <conditionalFormatting sqref="P76">
    <cfRule type="cellIs" dxfId="1779" priority="69" operator="lessThan">
      <formula>0</formula>
    </cfRule>
  </conditionalFormatting>
  <conditionalFormatting sqref="Q76">
    <cfRule type="cellIs" dxfId="1778" priority="67" operator="greaterThan">
      <formula>1</formula>
    </cfRule>
    <cfRule type="cellIs" dxfId="1777" priority="68" operator="lessThan">
      <formula>0.8</formula>
    </cfRule>
  </conditionalFormatting>
  <conditionalFormatting sqref="R76">
    <cfRule type="cellIs" dxfId="1776" priority="70" operator="lessThan">
      <formula>0.8</formula>
    </cfRule>
  </conditionalFormatting>
  <conditionalFormatting sqref="O17:O18">
    <cfRule type="cellIs" dxfId="1775" priority="61" operator="greaterThan">
      <formula>0</formula>
    </cfRule>
  </conditionalFormatting>
  <conditionalFormatting sqref="P17:P18">
    <cfRule type="cellIs" dxfId="1774" priority="64" operator="lessThan">
      <formula>0</formula>
    </cfRule>
  </conditionalFormatting>
  <conditionalFormatting sqref="Q17:Q18">
    <cfRule type="cellIs" dxfId="1773" priority="62" operator="greaterThan">
      <formula>1</formula>
    </cfRule>
    <cfRule type="cellIs" dxfId="1772" priority="63" operator="lessThan">
      <formula>0.8</formula>
    </cfRule>
  </conditionalFormatting>
  <conditionalFormatting sqref="R17:R18 AC17:AC18">
    <cfRule type="cellIs" dxfId="1771" priority="65" operator="lessThan">
      <formula>0.8</formula>
    </cfRule>
  </conditionalFormatting>
  <conditionalFormatting sqref="O37">
    <cfRule type="cellIs" dxfId="1770" priority="56" operator="greaterThan">
      <formula>0</formula>
    </cfRule>
  </conditionalFormatting>
  <conditionalFormatting sqref="P37">
    <cfRule type="cellIs" dxfId="1769" priority="59" operator="lessThan">
      <formula>0</formula>
    </cfRule>
  </conditionalFormatting>
  <conditionalFormatting sqref="Q37">
    <cfRule type="cellIs" dxfId="1768" priority="57" operator="greaterThan">
      <formula>1</formula>
    </cfRule>
    <cfRule type="cellIs" dxfId="1767" priority="58" operator="lessThan">
      <formula>0.8</formula>
    </cfRule>
  </conditionalFormatting>
  <conditionalFormatting sqref="R37 AC37">
    <cfRule type="cellIs" dxfId="1766" priority="60" operator="lessThan">
      <formula>0.8</formula>
    </cfRule>
  </conditionalFormatting>
  <conditionalFormatting sqref="O55">
    <cfRule type="cellIs" dxfId="1765" priority="50" operator="greaterThan">
      <formula>0</formula>
    </cfRule>
  </conditionalFormatting>
  <conditionalFormatting sqref="P55">
    <cfRule type="cellIs" dxfId="1764" priority="54" operator="lessThan">
      <formula>0</formula>
    </cfRule>
  </conditionalFormatting>
  <conditionalFormatting sqref="Q55">
    <cfRule type="cellIs" dxfId="1763" priority="51" operator="greaterThan">
      <formula>1</formula>
    </cfRule>
    <cfRule type="cellIs" dxfId="1762" priority="52" operator="lessThan">
      <formula>0.8</formula>
    </cfRule>
  </conditionalFormatting>
  <conditionalFormatting sqref="R55 AC55">
    <cfRule type="cellIs" dxfId="1761" priority="55" operator="lessThan">
      <formula>0.8</formula>
    </cfRule>
  </conditionalFormatting>
  <conditionalFormatting sqref="AC55">
    <cfRule type="cellIs" dxfId="1760" priority="53" operator="lessThan">
      <formula>0.8</formula>
    </cfRule>
  </conditionalFormatting>
  <conditionalFormatting sqref="O56">
    <cfRule type="cellIs" dxfId="1759" priority="44" operator="greaterThan">
      <formula>0</formula>
    </cfRule>
  </conditionalFormatting>
  <conditionalFormatting sqref="P56">
    <cfRule type="cellIs" dxfId="1758" priority="48" operator="lessThan">
      <formula>0</formula>
    </cfRule>
  </conditionalFormatting>
  <conditionalFormatting sqref="Q56">
    <cfRule type="cellIs" dxfId="1757" priority="45" operator="greaterThan">
      <formula>1</formula>
    </cfRule>
    <cfRule type="cellIs" dxfId="1756" priority="46" operator="lessThan">
      <formula>0.8</formula>
    </cfRule>
  </conditionalFormatting>
  <conditionalFormatting sqref="R56 AC56">
    <cfRule type="cellIs" dxfId="1755" priority="49" operator="lessThan">
      <formula>0.8</formula>
    </cfRule>
  </conditionalFormatting>
  <conditionalFormatting sqref="AC56">
    <cfRule type="cellIs" dxfId="1754" priority="47" operator="lessThan">
      <formula>0.8</formula>
    </cfRule>
  </conditionalFormatting>
  <conditionalFormatting sqref="O66">
    <cfRule type="cellIs" dxfId="1753" priority="39" operator="greaterThan">
      <formula>0</formula>
    </cfRule>
  </conditionalFormatting>
  <conditionalFormatting sqref="P66 AA66">
    <cfRule type="cellIs" dxfId="1752" priority="42" operator="lessThan">
      <formula>0</formula>
    </cfRule>
  </conditionalFormatting>
  <conditionalFormatting sqref="Q66 AB66">
    <cfRule type="cellIs" dxfId="1751" priority="40" operator="greaterThan">
      <formula>1</formula>
    </cfRule>
    <cfRule type="cellIs" dxfId="1750" priority="41" operator="lessThan">
      <formula>0.8</formula>
    </cfRule>
  </conditionalFormatting>
  <conditionalFormatting sqref="R66 AC66">
    <cfRule type="cellIs" dxfId="1749" priority="43" operator="lessThan">
      <formula>0.8</formula>
    </cfRule>
  </conditionalFormatting>
  <conditionalFormatting sqref="O19">
    <cfRule type="cellIs" dxfId="1748" priority="34" operator="greaterThan">
      <formula>0</formula>
    </cfRule>
  </conditionalFormatting>
  <conditionalFormatting sqref="P19">
    <cfRule type="cellIs" dxfId="1747" priority="37" operator="lessThan">
      <formula>0</formula>
    </cfRule>
  </conditionalFormatting>
  <conditionalFormatting sqref="Q19">
    <cfRule type="cellIs" dxfId="1746" priority="35" operator="greaterThan">
      <formula>1</formula>
    </cfRule>
    <cfRule type="cellIs" dxfId="1745" priority="36" operator="lessThan">
      <formula>0.8</formula>
    </cfRule>
  </conditionalFormatting>
  <conditionalFormatting sqref="AC19 R19">
    <cfRule type="cellIs" dxfId="1744" priority="38" operator="lessThan">
      <formula>0.8</formula>
    </cfRule>
  </conditionalFormatting>
  <conditionalFormatting sqref="O20">
    <cfRule type="cellIs" dxfId="1743" priority="29" operator="greaterThan">
      <formula>0</formula>
    </cfRule>
  </conditionalFormatting>
  <conditionalFormatting sqref="P20">
    <cfRule type="cellIs" dxfId="1742" priority="32" operator="lessThan">
      <formula>0</formula>
    </cfRule>
  </conditionalFormatting>
  <conditionalFormatting sqref="Q20">
    <cfRule type="cellIs" dxfId="1741" priority="30" operator="greaterThan">
      <formula>1</formula>
    </cfRule>
    <cfRule type="cellIs" dxfId="1740" priority="31" operator="lessThan">
      <formula>0.8</formula>
    </cfRule>
  </conditionalFormatting>
  <conditionalFormatting sqref="AC20 R20">
    <cfRule type="cellIs" dxfId="1739" priority="33" operator="lessThan">
      <formula>0.8</formula>
    </cfRule>
  </conditionalFormatting>
  <conditionalFormatting sqref="P8">
    <cfRule type="cellIs" dxfId="1738" priority="28" operator="lessThan">
      <formula>0</formula>
    </cfRule>
  </conditionalFormatting>
  <conditionalFormatting sqref="P21">
    <cfRule type="cellIs" dxfId="1737" priority="27" operator="lessThan">
      <formula>0</formula>
    </cfRule>
  </conditionalFormatting>
  <conditionalFormatting sqref="P27">
    <cfRule type="cellIs" dxfId="1736" priority="26" operator="lessThan">
      <formula>0</formula>
    </cfRule>
  </conditionalFormatting>
  <conditionalFormatting sqref="P39">
    <cfRule type="cellIs" dxfId="1735" priority="25" operator="lessThan">
      <formula>0</formula>
    </cfRule>
  </conditionalFormatting>
  <conditionalFormatting sqref="P57">
    <cfRule type="cellIs" dxfId="1734" priority="24" operator="lessThan">
      <formula>0</formula>
    </cfRule>
  </conditionalFormatting>
  <conditionalFormatting sqref="P64">
    <cfRule type="cellIs" dxfId="1733" priority="23" operator="lessThan">
      <formula>0</formula>
    </cfRule>
  </conditionalFormatting>
  <conditionalFormatting sqref="P69">
    <cfRule type="cellIs" dxfId="1732" priority="22" operator="lessThan">
      <formula>0</formula>
    </cfRule>
  </conditionalFormatting>
  <conditionalFormatting sqref="P82">
    <cfRule type="cellIs" dxfId="1731" priority="21" operator="lessThan">
      <formula>0</formula>
    </cfRule>
  </conditionalFormatting>
  <conditionalFormatting sqref="O38">
    <cfRule type="cellIs" dxfId="1730" priority="16" operator="greaterThan">
      <formula>0</formula>
    </cfRule>
  </conditionalFormatting>
  <conditionalFormatting sqref="P38">
    <cfRule type="cellIs" dxfId="1729" priority="19" operator="lessThan">
      <formula>0</formula>
    </cfRule>
  </conditionalFormatting>
  <conditionalFormatting sqref="Q38">
    <cfRule type="cellIs" dxfId="1728" priority="17" operator="greaterThan">
      <formula>1</formula>
    </cfRule>
    <cfRule type="cellIs" dxfId="1727" priority="18" operator="lessThan">
      <formula>0.8</formula>
    </cfRule>
  </conditionalFormatting>
  <conditionalFormatting sqref="R38 AC38">
    <cfRule type="cellIs" dxfId="1726" priority="20" operator="lessThan">
      <formula>0.8</formula>
    </cfRule>
  </conditionalFormatting>
  <conditionalFormatting sqref="O77">
    <cfRule type="cellIs" dxfId="1725" priority="11" operator="greaterThan">
      <formula>0</formula>
    </cfRule>
  </conditionalFormatting>
  <conditionalFormatting sqref="P77">
    <cfRule type="cellIs" dxfId="1724" priority="14" operator="lessThan">
      <formula>0</formula>
    </cfRule>
  </conditionalFormatting>
  <conditionalFormatting sqref="Q77">
    <cfRule type="cellIs" dxfId="1723" priority="12" operator="greaterThan">
      <formula>1</formula>
    </cfRule>
    <cfRule type="cellIs" dxfId="1722" priority="13" operator="lessThan">
      <formula>0.8</formula>
    </cfRule>
  </conditionalFormatting>
  <conditionalFormatting sqref="R77">
    <cfRule type="cellIs" dxfId="1721" priority="15" operator="lessThan">
      <formula>0.8</formula>
    </cfRule>
  </conditionalFormatting>
  <conditionalFormatting sqref="O78">
    <cfRule type="cellIs" dxfId="1720" priority="6" operator="greaterThan">
      <formula>0</formula>
    </cfRule>
  </conditionalFormatting>
  <conditionalFormatting sqref="P78">
    <cfRule type="cellIs" dxfId="1719" priority="9" operator="lessThan">
      <formula>0</formula>
    </cfRule>
  </conditionalFormatting>
  <conditionalFormatting sqref="Q78">
    <cfRule type="cellIs" dxfId="1718" priority="7" operator="greaterThan">
      <formula>1</formula>
    </cfRule>
    <cfRule type="cellIs" dxfId="1717" priority="8" operator="lessThan">
      <formula>0.8</formula>
    </cfRule>
  </conditionalFormatting>
  <conditionalFormatting sqref="R78">
    <cfRule type="cellIs" dxfId="1716" priority="10" operator="lessThan">
      <formula>0.8</formula>
    </cfRule>
  </conditionalFormatting>
  <conditionalFormatting sqref="O79:O81">
    <cfRule type="cellIs" dxfId="1715" priority="1" operator="greaterThan">
      <formula>0</formula>
    </cfRule>
  </conditionalFormatting>
  <conditionalFormatting sqref="P79:P81">
    <cfRule type="cellIs" dxfId="1714" priority="4" operator="lessThan">
      <formula>0</formula>
    </cfRule>
  </conditionalFormatting>
  <conditionalFormatting sqref="Q79:Q81">
    <cfRule type="cellIs" dxfId="1713" priority="2" operator="greaterThan">
      <formula>1</formula>
    </cfRule>
    <cfRule type="cellIs" dxfId="1712" priority="3" operator="lessThan">
      <formula>0.8</formula>
    </cfRule>
  </conditionalFormatting>
  <conditionalFormatting sqref="R79:R81">
    <cfRule type="cellIs" dxfId="1711" priority="5" operator="lessThan">
      <formula>0.8</formula>
    </cfRule>
  </conditionalFormatting>
  <dataValidations count="1">
    <dataValidation type="list" allowBlank="1" showInputMessage="1" showErrorMessage="1" sqref="Z8 Y5:Z7 Y8:Y68 Z10:Z65 Y69:Z8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K7" sqref="K7:K8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170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61" t="s">
        <v>621</v>
      </c>
      <c r="C3" s="420" t="str">
        <f>TEXT('0929 4度C'!A2,"yyyy.mm.ddaaaa")</f>
        <v>2025.09.29星期一</v>
      </c>
      <c r="D3" s="421"/>
      <c r="E3" s="361" t="s">
        <v>1619</v>
      </c>
      <c r="F3" s="422">
        <f>'0929 4度C'!D1</f>
        <v>199941</v>
      </c>
      <c r="G3" s="423"/>
      <c r="H3" s="361" t="s">
        <v>1620</v>
      </c>
      <c r="I3" s="424">
        <f>'0929 4度C'!F1</f>
        <v>6458149.9500000002</v>
      </c>
      <c r="J3" s="425"/>
      <c r="K3" s="45"/>
      <c r="L3" s="46"/>
      <c r="M3" s="47"/>
      <c r="N3" s="47"/>
    </row>
    <row r="4" spans="2:17" ht="28.5" customHeight="1">
      <c r="B4" s="426" t="s">
        <v>174</v>
      </c>
      <c r="C4" s="429" t="s">
        <v>1622</v>
      </c>
      <c r="D4" s="430"/>
      <c r="E4" s="431" t="s">
        <v>1623</v>
      </c>
      <c r="F4" s="432"/>
      <c r="G4" s="431" t="s">
        <v>177</v>
      </c>
      <c r="H4" s="432"/>
      <c r="I4" s="431" t="s">
        <v>1625</v>
      </c>
      <c r="J4" s="432"/>
      <c r="L4" s="47"/>
      <c r="M4" s="47"/>
      <c r="N4" s="47"/>
    </row>
    <row r="5" spans="2:17" ht="28.5" customHeight="1">
      <c r="B5" s="427"/>
      <c r="C5" s="429" t="s">
        <v>1626</v>
      </c>
      <c r="D5" s="430"/>
      <c r="E5" s="429" t="s">
        <v>1993</v>
      </c>
      <c r="F5" s="430"/>
      <c r="G5" s="433" t="s">
        <v>119</v>
      </c>
      <c r="H5" s="434"/>
      <c r="I5" s="435" t="s">
        <v>1810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150.07565735295501</v>
      </c>
      <c r="F6" s="438">
        <f>AVERAGE(D27:O27,D13:J13)</f>
        <v>155.40086108684369</v>
      </c>
      <c r="G6" s="399">
        <f>AVERAGE(D13:J13)</f>
        <v>155.40086108684369</v>
      </c>
      <c r="H6" s="400"/>
      <c r="I6" s="399">
        <f>AVERAGE(K13:M13)</f>
        <v>137.65018197388142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143.83798331060387</v>
      </c>
      <c r="F7" s="406">
        <f>AVERAGE(D28:O28,D14:J14)</f>
        <v>149.03834276810429</v>
      </c>
      <c r="G7" s="407">
        <f>AVERAGE(D14:J14)</f>
        <v>149.03834276810429</v>
      </c>
      <c r="H7" s="408"/>
      <c r="I7" s="407">
        <f>AVERAGE(K14:M14)</f>
        <v>131.70381124310293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0.95786887190863346</v>
      </c>
      <c r="F8" s="410">
        <f>AVERAGE(D15:J15,D29:O29)</f>
        <v>0.95832756478501169</v>
      </c>
      <c r="G8" s="411">
        <f>AVERAGE(D15:J15)</f>
        <v>0.95832756478501169</v>
      </c>
      <c r="H8" s="412"/>
      <c r="I8" s="411">
        <f>AVERAGE(K15:M15)</f>
        <v>0.95679858853041821</v>
      </c>
      <c r="J8" s="412"/>
      <c r="K8" s="48" t="s">
        <v>423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1994</v>
      </c>
      <c r="C10" s="414"/>
      <c r="D10" s="415" t="s">
        <v>1631</v>
      </c>
      <c r="E10" s="416"/>
      <c r="F10" s="416"/>
      <c r="G10" s="416"/>
      <c r="H10" s="416"/>
      <c r="I10" s="416"/>
      <c r="J10" s="417"/>
      <c r="K10" s="389" t="s">
        <v>1632</v>
      </c>
      <c r="L10" s="390"/>
      <c r="M10" s="391"/>
      <c r="P10" s="51"/>
      <c r="Q10" s="51"/>
    </row>
    <row r="11" spans="2:17" ht="17.25" customHeight="1">
      <c r="B11" s="392" t="s">
        <v>1633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1634</v>
      </c>
      <c r="C13" s="58" t="s">
        <v>1635</v>
      </c>
      <c r="D13" s="59">
        <f>SUMIFS('0929 4度C'!$K:$K,'0929 4度C'!$A:$A,"新豐6線",'0929 4度C'!$B:$B,"平均")</f>
        <v>125</v>
      </c>
      <c r="E13" s="60">
        <f>SUMIFS('0929 4度C'!$K:$K,'0929 4度C'!$A:$A,"新豐2線",'0929 4度C'!$B:$B,"平均")</f>
        <v>88.235294117647058</v>
      </c>
      <c r="F13" s="61">
        <f>SUMIFS('0929 4度C'!$K:$K,'0929 4度C'!$A:$A,"新豐5線",'0929 4度C'!$B:$B,"平均")</f>
        <v>96.124031007751938</v>
      </c>
      <c r="G13" s="61">
        <f>SUMIFS('0929 4度C'!$K:$K,'0929 4度C'!$A:$A,"新豐7線",'0929 4度C'!$B:$B,"平均")</f>
        <v>119.04761904761904</v>
      </c>
      <c r="H13" s="61">
        <f>SUMIFS('0929 4度C'!$K:$K,'0929 4度C'!$A:$A,"新豐3線",'0929 4度C'!$B:$B,"平均")</f>
        <v>310.34482758620692</v>
      </c>
      <c r="I13" s="61">
        <f>SUMIFS('0929 4度C'!$K:$K,'0929 4度C'!$A:$A,"新豐1線",'0929 4度C'!$B:$B,"平均")</f>
        <v>117.34693877551021</v>
      </c>
      <c r="J13" s="62">
        <f>SUMIFS('0929 4度C'!$K:$K,'0929 4度C'!$A:$A,"新豐10線",'0929 4度C'!$B:$B,"平均")</f>
        <v>231.70731707317074</v>
      </c>
      <c r="K13" s="63">
        <f>SUMIFS('0929 4度C'!$K:$K,'0929 4度C'!$A:$A,"新豐8線",'0929 4度C'!$B:$B,"平均")</f>
        <v>132</v>
      </c>
      <c r="L13" s="64">
        <f>SUMIFS('0929 4度C'!$K:$K,'0929 4度C'!$A:$A,"新豐9線",'0929 4度C'!$B:$B,"平均")</f>
        <v>142.22222222222223</v>
      </c>
      <c r="M13" s="62">
        <f>SUMIFS('0929 4度C'!$K:$K,'0929 4度C'!$A:$A,"新豐4線",'0929 4度C'!$B:$B,"平均")</f>
        <v>138.72832369942196</v>
      </c>
    </row>
    <row r="14" spans="2:17" ht="39.6" customHeight="1">
      <c r="B14" s="397"/>
      <c r="C14" s="65" t="s">
        <v>430</v>
      </c>
      <c r="D14" s="66">
        <f>SUMIFS('0929 4度C'!$N:$N,'0929 4度C'!$A:$A,"新豐6線",'0929 4度C'!$B:$B,"平均")</f>
        <v>119.63385659555543</v>
      </c>
      <c r="E14" s="67">
        <f>SUMIFS('0929 4度C'!$N:$N,'0929 4度C'!$A:$A,"新豐2線",'0929 4度C'!$B:$B,"平均")</f>
        <v>84.378774494781041</v>
      </c>
      <c r="F14" s="67">
        <f>SUMIFS('0929 4度C'!$N:$N,'0929 4度C'!$A:$A,"新豐5線",'0929 4度C'!$B:$B,"平均")</f>
        <v>91.82408947221785</v>
      </c>
      <c r="G14" s="67">
        <f>SUMIFS('0929 4度C'!$N:$N,'0929 4度C'!$A:$A,"新豐7線",'0929 4度C'!$B:$B,"平均")</f>
        <v>113.97594192185488</v>
      </c>
      <c r="H14" s="67">
        <f>SUMIFS('0929 4度C'!$N:$N,'0929 4度C'!$A:$A,"新豐3線",'0929 4度C'!$B:$B,"平均")</f>
        <v>297.09046847981665</v>
      </c>
      <c r="I14" s="67">
        <f>SUMIFS('0929 4度C'!$N:$N,'0929 4度C'!$A:$A,"新豐1線",'0929 4度C'!$B:$B,"平均")</f>
        <v>112.52904054495248</v>
      </c>
      <c r="J14" s="68">
        <f>SUMIFS('0929 4度C'!$N:$N,'0929 4度C'!$A:$A,"新豐10線",'0929 4度C'!$B:$B,"平均")</f>
        <v>223.83622786755168</v>
      </c>
      <c r="K14" s="69">
        <f>SUMIFS('0929 4度C'!$N:$N,'0929 4度C'!$A:$A,"新豐8線",'0929 4度C'!$B:$B,"平均")</f>
        <v>126.280142626475</v>
      </c>
      <c r="L14" s="70">
        <f>SUMIFS('0929 4度C'!$N:$N,'0929 4度C'!$A:$A,"新豐9線",'0929 4度C'!$B:$B,"平均")</f>
        <v>136.08021616152843</v>
      </c>
      <c r="M14" s="68">
        <f>SUMIFS('0929 4度C'!$N:$N,'0929 4度C'!$A:$A,"新豐4線",'0929 4度C'!$B:$B,"平均")</f>
        <v>132.75107494130538</v>
      </c>
    </row>
    <row r="15" spans="2:17" ht="40.15" customHeight="1">
      <c r="B15" s="398"/>
      <c r="C15" s="71" t="s">
        <v>142</v>
      </c>
      <c r="D15" s="72">
        <f t="shared" ref="D15:M15" si="0">D14/D13</f>
        <v>0.95707085276444348</v>
      </c>
      <c r="E15" s="73">
        <f t="shared" si="0"/>
        <v>0.95629277760751852</v>
      </c>
      <c r="F15" s="73">
        <f t="shared" si="0"/>
        <v>0.95526673725129863</v>
      </c>
      <c r="G15" s="73">
        <f t="shared" si="0"/>
        <v>0.95739791214358105</v>
      </c>
      <c r="H15" s="73">
        <f t="shared" si="0"/>
        <v>0.95729150954607578</v>
      </c>
      <c r="I15" s="73">
        <f t="shared" si="0"/>
        <v>0.95894312812220373</v>
      </c>
      <c r="J15" s="74">
        <f t="shared" si="0"/>
        <v>0.96603003605995985</v>
      </c>
      <c r="K15" s="72">
        <f t="shared" si="0"/>
        <v>0.95666774717026515</v>
      </c>
      <c r="L15" s="73">
        <f t="shared" si="0"/>
        <v>0.95681401988574666</v>
      </c>
      <c r="M15" s="74">
        <f t="shared" si="0"/>
        <v>0.95691399853524295</v>
      </c>
    </row>
    <row r="16" spans="2:17" ht="17.25" customHeight="1">
      <c r="B16" s="401" t="s">
        <v>143</v>
      </c>
      <c r="C16" s="360" t="s">
        <v>193</v>
      </c>
      <c r="D16" s="76">
        <f>VLOOKUP("新豐6線",'0929 4度C'!$A:$T,19,0)</f>
        <v>0.70833333333333337</v>
      </c>
      <c r="E16" s="28">
        <f>VLOOKUP("新豐2線",'0929 4度C'!$A:$T,19,0)</f>
        <v>0.29166666666666669</v>
      </c>
      <c r="F16" s="28">
        <f>VLOOKUP("新豐5線",'0929 4度C'!$A:$T,19,0)</f>
        <v>0.20833333333333334</v>
      </c>
      <c r="G16" s="28">
        <f>VLOOKUP("新豐7線",'0929 4度C'!$A:$T,19,0)</f>
        <v>0.20833333333333334</v>
      </c>
      <c r="H16" s="28">
        <f>VLOOKUP("新豐3線",'0929 4度C'!$A:$T,19,0)</f>
        <v>8.3333333333333329E-2</v>
      </c>
      <c r="I16" s="28">
        <f>VLOOKUP("新豐1線",'0929 4度C'!$A:$T,19,0)</f>
        <v>0.29166666666666669</v>
      </c>
      <c r="J16" s="77">
        <f>VLOOKUP("新豐10線",'0929 4度C'!$A:$T,19,0)</f>
        <v>0.20833333333333334</v>
      </c>
      <c r="K16" s="78">
        <f>VLOOKUP("新豐8線",'0929 4度C'!$A:$T,19,0)</f>
        <v>8.3333333333333329E-2</v>
      </c>
      <c r="L16" s="79">
        <f>VLOOKUP("新豐9線",'0929 4度C'!$A:$T,19,0)</f>
        <v>8.3333333333333329E-2</v>
      </c>
      <c r="M16" s="80">
        <f>VLOOKUP("新豐4線",'0929 4度C'!$A:$T,19,0)</f>
        <v>8.3333333333333329E-2</v>
      </c>
    </row>
    <row r="17" spans="2:13" ht="17.25" customHeight="1">
      <c r="B17" s="402"/>
      <c r="C17" s="360" t="s">
        <v>1637</v>
      </c>
      <c r="D17" s="78">
        <f>LOOKUP(2,1/(('0929 4度C'!$A:$A="新豐6線")*('0929 4度C'!$T:$T&lt;&gt;"")),'0929 4度C'!$T:$T)</f>
        <v>0.84097222222222223</v>
      </c>
      <c r="E17" s="28">
        <f>LOOKUP(2,1/(('0929 4度C'!$A:$A="新豐2線")*('0929 4度C'!$T:$T&lt;&gt;"")),'0929 4度C'!$T:$T)</f>
        <v>0.60069444444444442</v>
      </c>
      <c r="F17" s="28">
        <f>LOOKUP(2,1/(('0929 4度C'!$A:$A="新豐5線")*('0929 4度C'!$T:$T&lt;&gt;"")),'0929 4度C'!$T:$T)</f>
        <v>0.85277777777777775</v>
      </c>
      <c r="G17" s="28">
        <f>LOOKUP(2,1/(('0929 4度C'!$A:$A="新豐7線")*('0929 4度C'!$T:$T&lt;&gt;"")),'0929 4度C'!$T:$T)</f>
        <v>0.77638888888888891</v>
      </c>
      <c r="H17" s="28">
        <f>LOOKUP(2,1/(('0929 4度C'!$A:$A="新豐3線")*('0929 4度C'!$T:$T&lt;&gt;"")),'0929 4度C'!$T:$T)</f>
        <v>0.5083333333333333</v>
      </c>
      <c r="I17" s="28">
        <f>LOOKUP(2,1/(('0929 4度C'!$A:$A="新豐1線")*('0929 4度C'!$T:$T&lt;&gt;"")),'0929 4度C'!$T:$T)</f>
        <v>0.85347222222222219</v>
      </c>
      <c r="J17" s="77">
        <f>LOOKUP(2,1/(('0929 4度C'!$A:$A="新豐10線")*('0929 4度C'!$T:$T&lt;&gt;"")),'0929 4度C'!$T:$T)</f>
        <v>0.43749999999999994</v>
      </c>
      <c r="K17" s="76">
        <f>LOOKUP(2,1/(('0929 4度C'!$A:$A="新豐8線")*('0929 4度C'!$T:$T&lt;&gt;"")),'0929 4度C'!$T:$T)</f>
        <v>0.77986111111111078</v>
      </c>
      <c r="L17" s="28">
        <f>LOOKUP(2,1/(('0929 4度C'!$A:$A="新豐9線")*('0929 4度C'!$T:$T&lt;&gt;"")),'0929 4度C'!$T:$T)</f>
        <v>0.74097222222222203</v>
      </c>
      <c r="M17" s="77">
        <f>LOOKUP(2,1/(('0929 4度C'!$A:$A="新豐4線")*('0929 4度C'!$T:$T&lt;&gt;"")),'0929 4度C'!$T:$T)</f>
        <v>0.75694444444444431</v>
      </c>
    </row>
    <row r="18" spans="2:13" ht="17.25" customHeight="1">
      <c r="B18" s="383" t="s">
        <v>1995</v>
      </c>
      <c r="C18" s="384"/>
      <c r="D18" s="81">
        <f>SUMIFS('0929 4度C'!$I:$I,'0929 4度C'!$A:$A,"新豐6線",'0929 4度C'!$B:$B,"平均")</f>
        <v>16</v>
      </c>
      <c r="E18" s="82">
        <f>SUMIFS('0929 4度C'!$I:$I,'0929 4度C'!$A:$A,"新豐2線",'0929 4度C'!$B:$B,"平均")</f>
        <v>17</v>
      </c>
      <c r="F18" s="82">
        <f>SUMIFS('0929 4度C'!$I:$I,'0929 4度C'!$A:$A,"新豐5線",'0929 4度C'!$B:$B,"平均")</f>
        <v>18.428571428571427</v>
      </c>
      <c r="G18" s="82">
        <f>SUMIFS('0929 4度C'!$I:$I,'0929 4度C'!$A:$A,"新豐7線",'0929 4度C'!$B:$B,"平均")</f>
        <v>16.8</v>
      </c>
      <c r="H18" s="82">
        <f>SUMIFS('0929 4度C'!$I:$I,'0929 4度C'!$A:$A,"新豐3線",'0929 4度C'!$B:$B,"平均")</f>
        <v>9.6666666666666661</v>
      </c>
      <c r="I18" s="82">
        <f>SUMIFS('0929 4度C'!$I:$I,'0929 4度C'!$A:$A,"新豐1線",'0929 4度C'!$B:$B,"平均")</f>
        <v>16.333333333333332</v>
      </c>
      <c r="J18" s="83">
        <f>SUMIFS('0929 4度C'!$I:$I,'0929 4度C'!$A:$A,"新豐10線",'0929 4度C'!$B:$B,"平均")</f>
        <v>10.25</v>
      </c>
      <c r="K18" s="81">
        <f>SUMIFS('0929 4度C'!$I:$I,'0929 4度C'!$A:$A,"新豐8線",'0929 4度C'!$B:$B,"平均")</f>
        <v>18.181818181818183</v>
      </c>
      <c r="L18" s="82">
        <f>SUMIFS('0929 4度C'!$I:$I,'0929 4度C'!$A:$A,"新豐9線",'0929 4度C'!$B:$B,"平均")</f>
        <v>16.875</v>
      </c>
      <c r="M18" s="83">
        <f>SUMIFS('0929 4度C'!$I:$I,'0929 4度C'!$A:$A,"新豐4線",'0929 4度C'!$B:$B,"平均")</f>
        <v>17.3</v>
      </c>
    </row>
    <row r="19" spans="2:13" ht="17.25" customHeight="1">
      <c r="B19" s="383" t="s">
        <v>1639</v>
      </c>
      <c r="C19" s="384"/>
      <c r="D19" s="84" t="s">
        <v>148</v>
      </c>
      <c r="E19" s="85" t="s">
        <v>149</v>
      </c>
      <c r="F19" s="85" t="s">
        <v>1640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198</v>
      </c>
      <c r="L19" s="85" t="s">
        <v>1641</v>
      </c>
      <c r="M19" s="86" t="s">
        <v>198</v>
      </c>
    </row>
    <row r="20" spans="2:13" ht="17.25" customHeight="1">
      <c r="B20" s="383" t="s">
        <v>1642</v>
      </c>
      <c r="C20" s="384"/>
      <c r="D20" s="84"/>
      <c r="E20" s="85"/>
      <c r="F20" s="85" t="s">
        <v>1643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1644</v>
      </c>
      <c r="C21" s="386"/>
      <c r="D21" s="87"/>
      <c r="E21" s="88" t="s">
        <v>1645</v>
      </c>
      <c r="F21" s="387" t="s">
        <v>157</v>
      </c>
      <c r="G21" s="388"/>
      <c r="H21" s="88" t="s">
        <v>158</v>
      </c>
      <c r="I21" s="88" t="s">
        <v>159</v>
      </c>
      <c r="J21" s="89" t="s">
        <v>1647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71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zoomScale="80" zoomScaleNormal="80" workbookViewId="0">
      <pane ySplit="4" topLeftCell="A41" activePane="bottomLeft" state="frozen"/>
      <selection activeCell="F13" sqref="F13"/>
      <selection pane="bottomLeft" sqref="A1:N104857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1649</v>
      </c>
      <c r="B1" s="1"/>
      <c r="C1" s="2" t="s">
        <v>1996</v>
      </c>
      <c r="D1" s="3">
        <f>SUM(F5:F76)</f>
        <v>199941</v>
      </c>
      <c r="E1" s="346" t="s">
        <v>1997</v>
      </c>
      <c r="F1" s="1">
        <f>SUM(G5:G76)</f>
        <v>6458149.9500000002</v>
      </c>
      <c r="G1" s="1" t="s">
        <v>1650</v>
      </c>
      <c r="H1" s="106">
        <f>L8+L11+L53+L60+L19+L65+L37+L46+L25+L76</f>
        <v>156.83538961038963</v>
      </c>
      <c r="I1" s="482" t="s">
        <v>406</v>
      </c>
      <c r="J1" s="482"/>
      <c r="K1" s="482"/>
      <c r="L1" s="482" t="s">
        <v>1651</v>
      </c>
      <c r="M1" s="482"/>
      <c r="N1" s="482"/>
      <c r="O1" s="482" t="s">
        <v>1998</v>
      </c>
      <c r="P1" s="482"/>
      <c r="Q1" s="482"/>
      <c r="R1" s="482"/>
      <c r="S1" s="482" t="s">
        <v>1652</v>
      </c>
      <c r="T1" s="482"/>
      <c r="U1" s="482"/>
      <c r="V1" s="482"/>
      <c r="W1" s="482"/>
      <c r="X1" s="482"/>
      <c r="Y1" s="482" t="s">
        <v>1999</v>
      </c>
      <c r="Z1" s="482"/>
      <c r="AA1" s="482" t="s">
        <v>1653</v>
      </c>
      <c r="AB1" s="483"/>
      <c r="AC1" s="483"/>
    </row>
    <row r="2" spans="1:29" ht="26.25" customHeight="1">
      <c r="A2" s="24">
        <v>45929</v>
      </c>
      <c r="B2" s="25" t="s">
        <v>52</v>
      </c>
      <c r="C2" s="2" t="s">
        <v>1634</v>
      </c>
      <c r="D2" s="6">
        <f>AVERAGE(N8,N11,N53,N60,N19,N65,N25,N37,N46,N76)</f>
        <v>143.83798331060387</v>
      </c>
      <c r="E2" s="7" t="s">
        <v>11</v>
      </c>
      <c r="F2" s="8">
        <f>F1/D1</f>
        <v>32.300278332107972</v>
      </c>
      <c r="G2" s="1" t="s">
        <v>2000</v>
      </c>
      <c r="H2" s="358">
        <f>COUNT(H5:H76)</f>
        <v>14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1654</v>
      </c>
      <c r="B3" s="443" t="s">
        <v>2001</v>
      </c>
      <c r="C3" s="443" t="s">
        <v>2002</v>
      </c>
      <c r="D3" s="443"/>
      <c r="E3" s="484" t="s">
        <v>1655</v>
      </c>
      <c r="F3" s="443" t="s">
        <v>1656</v>
      </c>
      <c r="G3" s="484" t="s">
        <v>1657</v>
      </c>
      <c r="H3" s="487" t="s">
        <v>2003</v>
      </c>
      <c r="I3" s="474" t="s">
        <v>1658</v>
      </c>
      <c r="J3" s="479" t="s">
        <v>390</v>
      </c>
      <c r="K3" s="481" t="s">
        <v>1634</v>
      </c>
      <c r="L3" s="474" t="s">
        <v>1658</v>
      </c>
      <c r="M3" s="479" t="s">
        <v>390</v>
      </c>
      <c r="N3" s="481" t="s">
        <v>1634</v>
      </c>
      <c r="O3" s="474" t="s">
        <v>1658</v>
      </c>
      <c r="P3" s="481" t="s">
        <v>1634</v>
      </c>
      <c r="Q3" s="480" t="s">
        <v>1659</v>
      </c>
      <c r="R3" s="451" t="s">
        <v>2004</v>
      </c>
      <c r="S3" s="486" t="s">
        <v>25</v>
      </c>
      <c r="T3" s="486"/>
      <c r="U3" s="476" t="s">
        <v>26</v>
      </c>
      <c r="V3" s="476" t="s">
        <v>1660</v>
      </c>
      <c r="W3" s="443" t="s">
        <v>2005</v>
      </c>
      <c r="X3" s="443"/>
      <c r="Y3" s="477" t="s">
        <v>1662</v>
      </c>
      <c r="Z3" s="478"/>
      <c r="AA3" s="479" t="s">
        <v>390</v>
      </c>
      <c r="AB3" s="480" t="s">
        <v>1659</v>
      </c>
      <c r="AC3" s="451" t="s">
        <v>2004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57" t="s">
        <v>31</v>
      </c>
      <c r="T4" s="357" t="s">
        <v>32</v>
      </c>
      <c r="U4" s="476"/>
      <c r="V4" s="476"/>
      <c r="W4" s="346" t="s">
        <v>2006</v>
      </c>
      <c r="X4" s="346" t="s">
        <v>1667</v>
      </c>
      <c r="Y4" s="478"/>
      <c r="Z4" s="478"/>
      <c r="AA4" s="479"/>
      <c r="AB4" s="480"/>
      <c r="AC4" s="451"/>
    </row>
    <row r="5" spans="1:29">
      <c r="A5" s="473" t="s">
        <v>1668</v>
      </c>
      <c r="B5" s="31" t="s">
        <v>58</v>
      </c>
      <c r="C5" s="475" t="s">
        <v>104</v>
      </c>
      <c r="D5" s="475"/>
      <c r="E5" s="31">
        <v>46.93</v>
      </c>
      <c r="F5" s="357">
        <v>1081</v>
      </c>
      <c r="G5" s="346">
        <f>E5*F5</f>
        <v>50731.33</v>
      </c>
      <c r="H5" s="359" t="s">
        <v>103</v>
      </c>
      <c r="I5" s="355">
        <v>16</v>
      </c>
      <c r="J5" s="26">
        <v>2000</v>
      </c>
      <c r="K5" s="10">
        <f>J5/I5</f>
        <v>125</v>
      </c>
      <c r="L5" s="355">
        <v>16</v>
      </c>
      <c r="M5" s="11">
        <f>F5/V5*60</f>
        <v>1907.647058823527</v>
      </c>
      <c r="N5" s="10">
        <f>M5/L5</f>
        <v>119.22794117647044</v>
      </c>
      <c r="O5" s="12">
        <f t="shared" ref="O5:O7" si="0">L5-I5</f>
        <v>0</v>
      </c>
      <c r="P5" s="13">
        <f t="shared" ref="P5:P7" si="1">N5-K5</f>
        <v>-5.7720588235295622</v>
      </c>
      <c r="Q5" s="351">
        <f>N5/K5</f>
        <v>0.95382352941176352</v>
      </c>
      <c r="R5" s="442">
        <f>Q8</f>
        <v>0.95707085276444348</v>
      </c>
      <c r="S5" s="28">
        <v>0.70833333333333337</v>
      </c>
      <c r="T5" s="28">
        <v>0.73194444444444451</v>
      </c>
      <c r="U5" s="346"/>
      <c r="V5" s="356">
        <f>(T5-S5)*24*60</f>
        <v>34.000000000000043</v>
      </c>
      <c r="W5" s="16"/>
      <c r="X5" s="17"/>
      <c r="Y5" s="443"/>
      <c r="Z5" s="443"/>
      <c r="AA5" s="12">
        <f t="shared" ref="AA5:AA68" si="2">M5-J5</f>
        <v>-92.352941176472996</v>
      </c>
      <c r="AB5" s="351">
        <f t="shared" ref="AB5:AB7" si="3">M5/J5</f>
        <v>0.95382352941176352</v>
      </c>
      <c r="AC5" s="442">
        <f>AB8</f>
        <v>0.95707085276444348</v>
      </c>
    </row>
    <row r="6" spans="1:29">
      <c r="A6" s="474" t="s">
        <v>1859</v>
      </c>
      <c r="B6" s="31" t="s">
        <v>58</v>
      </c>
      <c r="C6" s="475" t="s">
        <v>105</v>
      </c>
      <c r="D6" s="475"/>
      <c r="E6" s="31">
        <v>50.49</v>
      </c>
      <c r="F6" s="357">
        <v>2455</v>
      </c>
      <c r="G6" s="346">
        <f t="shared" ref="G6:G7" si="4">E6*F6</f>
        <v>123952.95000000001</v>
      </c>
      <c r="H6" s="359" t="s">
        <v>103</v>
      </c>
      <c r="I6" s="355">
        <v>15</v>
      </c>
      <c r="J6" s="26">
        <v>2000</v>
      </c>
      <c r="K6" s="10">
        <f t="shared" ref="K6:K7" si="5">J6/I6</f>
        <v>133.33333333333334</v>
      </c>
      <c r="L6" s="355">
        <v>15</v>
      </c>
      <c r="M6" s="11">
        <f>F6/V6*60</f>
        <v>1912.9870129870119</v>
      </c>
      <c r="N6" s="10">
        <f t="shared" ref="N6:N7" si="6">M6/L6</f>
        <v>127.53246753246746</v>
      </c>
      <c r="O6" s="12">
        <f t="shared" si="0"/>
        <v>0</v>
      </c>
      <c r="P6" s="13">
        <f t="shared" si="1"/>
        <v>-5.8008658008658784</v>
      </c>
      <c r="Q6" s="351">
        <f t="shared" ref="Q6:Q7" si="7">N6/K6</f>
        <v>0.95649350649350595</v>
      </c>
      <c r="R6" s="442"/>
      <c r="S6" s="28">
        <v>0.7368055555555556</v>
      </c>
      <c r="T6" s="28">
        <v>0.79027777777777786</v>
      </c>
      <c r="U6" s="346">
        <f>(S6-T5)*24*60</f>
        <v>6.9999999999999751</v>
      </c>
      <c r="V6" s="356">
        <f>(T6-S6)*24*60</f>
        <v>77.000000000000043</v>
      </c>
      <c r="W6" s="16"/>
      <c r="X6" s="16"/>
      <c r="Y6" s="443"/>
      <c r="Z6" s="443"/>
      <c r="AA6" s="12">
        <f t="shared" si="2"/>
        <v>-87.012987012988106</v>
      </c>
      <c r="AB6" s="351">
        <f t="shared" si="3"/>
        <v>0.95649350649350595</v>
      </c>
      <c r="AC6" s="442"/>
    </row>
    <row r="7" spans="1:29">
      <c r="A7" s="474" t="s">
        <v>1747</v>
      </c>
      <c r="B7" s="31" t="s">
        <v>58</v>
      </c>
      <c r="C7" s="471" t="s">
        <v>106</v>
      </c>
      <c r="D7" s="472"/>
      <c r="E7" s="31">
        <v>50.67</v>
      </c>
      <c r="F7" s="357">
        <v>2146</v>
      </c>
      <c r="G7" s="346">
        <f t="shared" si="4"/>
        <v>108737.82</v>
      </c>
      <c r="H7" s="359" t="s">
        <v>103</v>
      </c>
      <c r="I7" s="355">
        <v>17</v>
      </c>
      <c r="J7" s="26">
        <v>2000</v>
      </c>
      <c r="K7" s="10">
        <f t="shared" si="5"/>
        <v>117.64705882352941</v>
      </c>
      <c r="L7" s="355">
        <v>17</v>
      </c>
      <c r="M7" s="11">
        <f t="shared" ref="M7" si="8">F7/V7*60</f>
        <v>1921.7910447761219</v>
      </c>
      <c r="N7" s="10">
        <f t="shared" si="6"/>
        <v>113.04653204565423</v>
      </c>
      <c r="O7" s="12">
        <f t="shared" si="0"/>
        <v>0</v>
      </c>
      <c r="P7" s="13">
        <f t="shared" si="1"/>
        <v>-4.6005267778751744</v>
      </c>
      <c r="Q7" s="351">
        <f t="shared" si="7"/>
        <v>0.96089552238806097</v>
      </c>
      <c r="R7" s="442"/>
      <c r="S7" s="28">
        <v>0.79444444444444451</v>
      </c>
      <c r="T7" s="28">
        <v>0.84097222222222223</v>
      </c>
      <c r="U7" s="346">
        <f t="shared" ref="U7" si="9">(S7-T6)*24*60</f>
        <v>5.9999999999999787</v>
      </c>
      <c r="V7" s="356">
        <f t="shared" ref="V7" si="10">(T7-S7)*24*60</f>
        <v>66.999999999999915</v>
      </c>
      <c r="W7" s="16"/>
      <c r="X7" s="16"/>
      <c r="Y7" s="447"/>
      <c r="Z7" s="448"/>
      <c r="AA7" s="12">
        <f t="shared" si="2"/>
        <v>-78.208955223878093</v>
      </c>
      <c r="AB7" s="351">
        <f t="shared" si="3"/>
        <v>0.96089552238806097</v>
      </c>
      <c r="AC7" s="442"/>
    </row>
    <row r="8" spans="1:29">
      <c r="A8" s="474" t="s">
        <v>1747</v>
      </c>
      <c r="B8" s="31" t="s">
        <v>1678</v>
      </c>
      <c r="C8" s="446"/>
      <c r="D8" s="446"/>
      <c r="E8" s="345"/>
      <c r="F8" s="33"/>
      <c r="G8" s="10"/>
      <c r="H8" s="357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1914.1417055288869</v>
      </c>
      <c r="N8" s="10">
        <f>M8/L8</f>
        <v>119.63385659555543</v>
      </c>
      <c r="O8" s="12">
        <f>L8-I8</f>
        <v>0</v>
      </c>
      <c r="P8" s="13">
        <f>N8-K8</f>
        <v>-5.3661434044445713</v>
      </c>
      <c r="Q8" s="351">
        <f>N8/K8</f>
        <v>0.95707085276444348</v>
      </c>
      <c r="R8" s="442"/>
      <c r="S8" s="28"/>
      <c r="T8" s="28"/>
      <c r="U8" s="346"/>
      <c r="V8" s="356"/>
      <c r="W8" s="10"/>
      <c r="X8" s="10"/>
      <c r="Y8" s="443"/>
      <c r="Z8" s="443"/>
      <c r="AA8" s="12">
        <f t="shared" si="2"/>
        <v>-85.85829447111314</v>
      </c>
      <c r="AB8" s="351">
        <f>M8/J8</f>
        <v>0.95707085276444348</v>
      </c>
      <c r="AC8" s="442"/>
    </row>
    <row r="9" spans="1:29" ht="15.75" customHeight="1">
      <c r="A9" s="439" t="s">
        <v>1748</v>
      </c>
      <c r="B9" s="31" t="s">
        <v>53</v>
      </c>
      <c r="C9" s="471" t="s">
        <v>54</v>
      </c>
      <c r="D9" s="472"/>
      <c r="E9" s="31">
        <v>39.799999999999997</v>
      </c>
      <c r="F9" s="357">
        <v>6000</v>
      </c>
      <c r="G9" s="346">
        <f t="shared" ref="G9:G10" si="11">E9*F9</f>
        <v>238799.99999999997</v>
      </c>
      <c r="H9" s="359">
        <v>2</v>
      </c>
      <c r="I9" s="355">
        <v>17</v>
      </c>
      <c r="J9" s="26">
        <v>1500</v>
      </c>
      <c r="K9" s="10">
        <f t="shared" ref="K9:K10" si="12">J9/I9</f>
        <v>88.235294117647058</v>
      </c>
      <c r="L9" s="355">
        <v>17</v>
      </c>
      <c r="M9" s="11">
        <f t="shared" ref="M9:M10" si="13">F9/V9*60</f>
        <v>1434.2629482071713</v>
      </c>
      <c r="N9" s="10">
        <f t="shared" ref="N9:N10" si="14">M9/L9</f>
        <v>84.368408718068906</v>
      </c>
      <c r="O9" s="12">
        <f t="shared" ref="O9:O10" si="15">L9-I9</f>
        <v>0</v>
      </c>
      <c r="P9" s="13">
        <f>N9-K9</f>
        <v>-3.8668853995781518</v>
      </c>
      <c r="Q9" s="351">
        <f>N9/K9</f>
        <v>0.95617529880478092</v>
      </c>
      <c r="R9" s="442">
        <f>Q11</f>
        <v>0.95629277760751852</v>
      </c>
      <c r="S9" s="28">
        <v>0.29166666666666669</v>
      </c>
      <c r="T9" s="28">
        <v>0.46597222222222223</v>
      </c>
      <c r="U9" s="346"/>
      <c r="V9" s="356">
        <f t="shared" ref="V9:V10" si="16">(T9-S9)*24*60</f>
        <v>251</v>
      </c>
      <c r="W9" s="16">
        <f>T9</f>
        <v>0.46597222222222223</v>
      </c>
      <c r="X9" s="16">
        <f>S10</f>
        <v>0.54652777777777772</v>
      </c>
      <c r="Y9" s="443"/>
      <c r="Z9" s="443"/>
      <c r="AA9" s="12">
        <f t="shared" si="2"/>
        <v>-65.737051792828652</v>
      </c>
      <c r="AB9" s="351">
        <f>M9/J9</f>
        <v>0.95617529880478092</v>
      </c>
      <c r="AC9" s="442">
        <f>AB11</f>
        <v>0.95629277760751852</v>
      </c>
    </row>
    <row r="10" spans="1:29" ht="15.75" customHeight="1">
      <c r="A10" s="439" t="s">
        <v>1748</v>
      </c>
      <c r="B10" s="31" t="s">
        <v>53</v>
      </c>
      <c r="C10" s="471" t="s">
        <v>54</v>
      </c>
      <c r="D10" s="472"/>
      <c r="E10" s="31">
        <v>39.799999999999997</v>
      </c>
      <c r="F10" s="357">
        <v>1865</v>
      </c>
      <c r="G10" s="346">
        <f t="shared" si="11"/>
        <v>74227</v>
      </c>
      <c r="H10" s="359" t="s">
        <v>103</v>
      </c>
      <c r="I10" s="355">
        <v>17</v>
      </c>
      <c r="J10" s="26">
        <v>1500</v>
      </c>
      <c r="K10" s="10">
        <f t="shared" si="12"/>
        <v>88.235294117647058</v>
      </c>
      <c r="L10" s="355">
        <v>17</v>
      </c>
      <c r="M10" s="11">
        <f t="shared" si="13"/>
        <v>1434.6153846153838</v>
      </c>
      <c r="N10" s="10">
        <f t="shared" si="14"/>
        <v>84.389140271493162</v>
      </c>
      <c r="O10" s="12">
        <f t="shared" si="15"/>
        <v>0</v>
      </c>
      <c r="P10" s="13">
        <f t="shared" ref="P10" si="17">N10-K10</f>
        <v>-3.8461538461538964</v>
      </c>
      <c r="Q10" s="351">
        <f t="shared" ref="Q10" si="18">N10/K10</f>
        <v>0.95641025641025579</v>
      </c>
      <c r="R10" s="442"/>
      <c r="S10" s="28">
        <v>0.54652777777777772</v>
      </c>
      <c r="T10" s="28">
        <v>0.60069444444444442</v>
      </c>
      <c r="U10" s="346">
        <f>(S10-T9)*24*60</f>
        <v>115.99999999999991</v>
      </c>
      <c r="V10" s="356">
        <f t="shared" si="16"/>
        <v>78.000000000000043</v>
      </c>
      <c r="W10" s="16"/>
      <c r="X10" s="16"/>
      <c r="Y10" s="443"/>
      <c r="Z10" s="443"/>
      <c r="AA10" s="12">
        <f t="shared" si="2"/>
        <v>-65.384615384616154</v>
      </c>
      <c r="AB10" s="351">
        <f t="shared" ref="AB10:AB25" si="19">M10/J10</f>
        <v>0.9564102564102559</v>
      </c>
      <c r="AC10" s="442"/>
    </row>
    <row r="11" spans="1:29" ht="16.5" customHeight="1">
      <c r="A11" s="439" t="s">
        <v>1748</v>
      </c>
      <c r="B11" s="31" t="s">
        <v>231</v>
      </c>
      <c r="C11" s="446"/>
      <c r="D11" s="446"/>
      <c r="E11" s="345"/>
      <c r="F11" s="26"/>
      <c r="G11" s="11"/>
      <c r="H11" s="357"/>
      <c r="I11" s="19">
        <v>17</v>
      </c>
      <c r="J11" s="26">
        <v>1500</v>
      </c>
      <c r="K11" s="10">
        <f>J11/I11</f>
        <v>88.235294117647058</v>
      </c>
      <c r="L11" s="19">
        <v>17</v>
      </c>
      <c r="M11" s="11">
        <f>AVERAGE(M9:M10)</f>
        <v>1434.4391664112777</v>
      </c>
      <c r="N11" s="10">
        <f>M11/L11</f>
        <v>84.378774494781041</v>
      </c>
      <c r="O11" s="12">
        <f>L11-I11</f>
        <v>0</v>
      </c>
      <c r="P11" s="13">
        <f>N11-K11</f>
        <v>-3.856519622866017</v>
      </c>
      <c r="Q11" s="351">
        <f>N11/K11</f>
        <v>0.95629277760751852</v>
      </c>
      <c r="R11" s="442"/>
      <c r="S11" s="28"/>
      <c r="T11" s="28"/>
      <c r="U11" s="10"/>
      <c r="V11" s="356"/>
      <c r="W11" s="10"/>
      <c r="X11" s="10"/>
      <c r="Y11" s="443"/>
      <c r="Z11" s="443"/>
      <c r="AA11" s="12">
        <f t="shared" si="2"/>
        <v>-65.560833588722289</v>
      </c>
      <c r="AB11" s="351">
        <f t="shared" si="19"/>
        <v>0.95629277760751852</v>
      </c>
      <c r="AC11" s="442"/>
    </row>
    <row r="12" spans="1:29" ht="16.5" customHeight="1">
      <c r="A12" s="469" t="s">
        <v>162</v>
      </c>
      <c r="B12" s="357" t="s">
        <v>56</v>
      </c>
      <c r="C12" s="464" t="s">
        <v>57</v>
      </c>
      <c r="D12" s="464"/>
      <c r="E12" s="31">
        <v>41</v>
      </c>
      <c r="F12" s="357">
        <v>2250</v>
      </c>
      <c r="G12" s="346">
        <f t="shared" ref="G12:G18" si="20">E12*F12</f>
        <v>92250</v>
      </c>
      <c r="H12" s="359" t="s">
        <v>103</v>
      </c>
      <c r="I12" s="355">
        <v>26</v>
      </c>
      <c r="J12" s="26">
        <v>1500</v>
      </c>
      <c r="K12" s="10">
        <f>J12/I12</f>
        <v>57.692307692307693</v>
      </c>
      <c r="L12" s="355">
        <v>26</v>
      </c>
      <c r="M12" s="11">
        <f>F12/V12*60</f>
        <v>1436.1702127659571</v>
      </c>
      <c r="N12" s="10">
        <f t="shared" ref="N12:N24" si="21">M12/L12</f>
        <v>55.237315875613731</v>
      </c>
      <c r="O12" s="12">
        <f t="shared" ref="O12" si="22">L12-I12</f>
        <v>0</v>
      </c>
      <c r="P12" s="13">
        <f t="shared" ref="P12" si="23">N12-K12</f>
        <v>-2.4549918166939619</v>
      </c>
      <c r="Q12" s="351">
        <f>N12/K12</f>
        <v>0.95744680851063801</v>
      </c>
      <c r="R12" s="442">
        <f>Q19</f>
        <v>0.95526673725129863</v>
      </c>
      <c r="S12" s="28">
        <v>0.20833333333333334</v>
      </c>
      <c r="T12" s="28">
        <v>0.27361111111111114</v>
      </c>
      <c r="U12" s="346"/>
      <c r="V12" s="356">
        <f>(T12-S12)*24*60</f>
        <v>94.000000000000028</v>
      </c>
      <c r="W12" s="18"/>
      <c r="X12" s="18"/>
      <c r="Y12" s="443"/>
      <c r="Z12" s="443"/>
      <c r="AA12" s="12">
        <f t="shared" si="2"/>
        <v>-63.829787234042897</v>
      </c>
      <c r="AB12" s="351">
        <f t="shared" si="19"/>
        <v>0.95744680851063801</v>
      </c>
      <c r="AC12" s="442">
        <f>AB19</f>
        <v>0.95526673725129863</v>
      </c>
    </row>
    <row r="13" spans="1:29" ht="16.5" customHeight="1">
      <c r="A13" s="470" t="s">
        <v>1749</v>
      </c>
      <c r="B13" s="357" t="s">
        <v>53</v>
      </c>
      <c r="C13" s="464" t="s">
        <v>107</v>
      </c>
      <c r="D13" s="464"/>
      <c r="E13" s="31">
        <v>39.619999999999997</v>
      </c>
      <c r="F13" s="357">
        <v>2950</v>
      </c>
      <c r="G13" s="346">
        <f t="shared" si="20"/>
        <v>116878.99999999999</v>
      </c>
      <c r="H13" s="359">
        <v>2</v>
      </c>
      <c r="I13" s="355">
        <v>19</v>
      </c>
      <c r="J13" s="26">
        <v>1500</v>
      </c>
      <c r="K13" s="10">
        <f>J13/I13</f>
        <v>78.94736842105263</v>
      </c>
      <c r="L13" s="355">
        <v>19</v>
      </c>
      <c r="M13" s="11">
        <f>F13/V13*60</f>
        <v>1439.0243902439029</v>
      </c>
      <c r="N13" s="10">
        <f t="shared" si="21"/>
        <v>75.738125802310677</v>
      </c>
      <c r="O13" s="12">
        <f>L13-I13</f>
        <v>0</v>
      </c>
      <c r="P13" s="13">
        <f>N13-K13</f>
        <v>-3.2092426187419534</v>
      </c>
      <c r="Q13" s="351">
        <f>N13/K13</f>
        <v>0.95934959349593529</v>
      </c>
      <c r="R13" s="442"/>
      <c r="S13" s="28">
        <v>0.27708333333333335</v>
      </c>
      <c r="T13" s="28">
        <v>0.36249999999999999</v>
      </c>
      <c r="U13" s="346">
        <f>IF(S13=TIME(17,0,0),"",(S13-T12)*24*60)</f>
        <v>4.9999999999999822</v>
      </c>
      <c r="V13" s="356">
        <f>(T13-S13)*24*60</f>
        <v>122.99999999999996</v>
      </c>
      <c r="W13" s="16"/>
      <c r="X13" s="16"/>
      <c r="Y13" s="443"/>
      <c r="Z13" s="443"/>
      <c r="AA13" s="12">
        <f t="shared" si="2"/>
        <v>-60.975609756097128</v>
      </c>
      <c r="AB13" s="351">
        <f t="shared" si="19"/>
        <v>0.95934959349593529</v>
      </c>
      <c r="AC13" s="442"/>
    </row>
    <row r="14" spans="1:29" ht="16.5" customHeight="1">
      <c r="A14" s="470" t="s">
        <v>1749</v>
      </c>
      <c r="B14" s="357" t="s">
        <v>53</v>
      </c>
      <c r="C14" s="464" t="s">
        <v>163</v>
      </c>
      <c r="D14" s="464"/>
      <c r="E14" s="31">
        <v>39.36</v>
      </c>
      <c r="F14" s="357">
        <v>3985</v>
      </c>
      <c r="G14" s="346">
        <f t="shared" si="20"/>
        <v>156849.60000000001</v>
      </c>
      <c r="H14" s="359" t="s">
        <v>103</v>
      </c>
      <c r="I14" s="355">
        <v>20</v>
      </c>
      <c r="J14" s="26">
        <v>1500</v>
      </c>
      <c r="K14" s="10">
        <f t="shared" ref="K14:K18" si="24">J14/I14</f>
        <v>75</v>
      </c>
      <c r="L14" s="355">
        <v>20</v>
      </c>
      <c r="M14" s="11">
        <f t="shared" ref="M14:M16" si="25">F14/V14*60</f>
        <v>1431.7365269461081</v>
      </c>
      <c r="N14" s="10">
        <f t="shared" si="21"/>
        <v>71.586826347305404</v>
      </c>
      <c r="O14" s="12">
        <f t="shared" ref="O14:O18" si="26">L14-I14</f>
        <v>0</v>
      </c>
      <c r="P14" s="13">
        <f t="shared" ref="P14:P18" si="27">N14-K14</f>
        <v>-3.4131736526945957</v>
      </c>
      <c r="Q14" s="351">
        <f t="shared" ref="Q14:Q24" si="28">N14/K14</f>
        <v>0.9544910179640721</v>
      </c>
      <c r="R14" s="442"/>
      <c r="S14" s="28">
        <v>0.3659722222222222</v>
      </c>
      <c r="T14" s="28">
        <v>0.4819444444444444</v>
      </c>
      <c r="U14" s="346">
        <f t="shared" ref="U14:U18" si="29">IF(S14=TIME(17,0,0),"",(S14-T13)*24*60)</f>
        <v>4.9999999999999822</v>
      </c>
      <c r="V14" s="356">
        <f t="shared" ref="V14:V18" si="30">(T14-S14)*24*60</f>
        <v>166.99999999999997</v>
      </c>
      <c r="W14" s="16">
        <f>T14</f>
        <v>0.4819444444444444</v>
      </c>
      <c r="X14" s="16">
        <f>S15</f>
        <v>0.56249999999999989</v>
      </c>
      <c r="Y14" s="443"/>
      <c r="Z14" s="443"/>
      <c r="AA14" s="12">
        <f t="shared" si="2"/>
        <v>-68.263473053891857</v>
      </c>
      <c r="AB14" s="351">
        <f t="shared" si="19"/>
        <v>0.9544910179640721</v>
      </c>
      <c r="AC14" s="442"/>
    </row>
    <row r="15" spans="1:29" ht="16.5" customHeight="1">
      <c r="A15" s="470" t="s">
        <v>1749</v>
      </c>
      <c r="B15" s="357" t="s">
        <v>53</v>
      </c>
      <c r="C15" s="464" t="s">
        <v>107</v>
      </c>
      <c r="D15" s="464"/>
      <c r="E15" s="31">
        <v>39.619999999999997</v>
      </c>
      <c r="F15" s="357">
        <v>2403</v>
      </c>
      <c r="G15" s="346">
        <f t="shared" si="20"/>
        <v>95206.86</v>
      </c>
      <c r="H15" s="359" t="s">
        <v>103</v>
      </c>
      <c r="I15" s="355">
        <v>19</v>
      </c>
      <c r="J15" s="26">
        <v>1500</v>
      </c>
      <c r="K15" s="10">
        <f t="shared" si="24"/>
        <v>78.94736842105263</v>
      </c>
      <c r="L15" s="355">
        <v>19</v>
      </c>
      <c r="M15" s="11">
        <f t="shared" si="25"/>
        <v>1441.8000000000004</v>
      </c>
      <c r="N15" s="10">
        <f t="shared" si="21"/>
        <v>75.884210526315812</v>
      </c>
      <c r="O15" s="12">
        <f t="shared" si="26"/>
        <v>0</v>
      </c>
      <c r="P15" s="13">
        <f t="shared" si="27"/>
        <v>-3.0631578947368183</v>
      </c>
      <c r="Q15" s="351">
        <f t="shared" si="28"/>
        <v>0.96120000000000028</v>
      </c>
      <c r="R15" s="442"/>
      <c r="S15" s="28">
        <v>0.56249999999999989</v>
      </c>
      <c r="T15" s="28">
        <v>0.63194444444444431</v>
      </c>
      <c r="U15" s="346">
        <f t="shared" si="29"/>
        <v>115.99999999999991</v>
      </c>
      <c r="V15" s="356">
        <f t="shared" si="30"/>
        <v>99.999999999999972</v>
      </c>
      <c r="W15" s="16"/>
      <c r="X15" s="16"/>
      <c r="Y15" s="443"/>
      <c r="Z15" s="443"/>
      <c r="AA15" s="12">
        <f t="shared" si="2"/>
        <v>-58.199999999999591</v>
      </c>
      <c r="AB15" s="351">
        <f t="shared" si="19"/>
        <v>0.96120000000000028</v>
      </c>
      <c r="AC15" s="442"/>
    </row>
    <row r="16" spans="1:29" ht="16.5" customHeight="1">
      <c r="A16" s="470" t="s">
        <v>1749</v>
      </c>
      <c r="B16" s="357" t="s">
        <v>67</v>
      </c>
      <c r="C16" s="464" t="s">
        <v>1616</v>
      </c>
      <c r="D16" s="464"/>
      <c r="E16" s="31">
        <v>24.25</v>
      </c>
      <c r="F16" s="357">
        <v>3272</v>
      </c>
      <c r="G16" s="346">
        <f t="shared" si="20"/>
        <v>79346</v>
      </c>
      <c r="H16" s="359" t="s">
        <v>103</v>
      </c>
      <c r="I16" s="355">
        <v>14</v>
      </c>
      <c r="J16" s="26">
        <v>2400</v>
      </c>
      <c r="K16" s="10">
        <f t="shared" si="24"/>
        <v>171.42857142857142</v>
      </c>
      <c r="L16" s="355">
        <v>14</v>
      </c>
      <c r="M16" s="11">
        <f t="shared" si="25"/>
        <v>2282.7906976744184</v>
      </c>
      <c r="N16" s="10">
        <f t="shared" si="21"/>
        <v>163.0564784053156</v>
      </c>
      <c r="O16" s="12">
        <f t="shared" si="26"/>
        <v>0</v>
      </c>
      <c r="P16" s="13">
        <f t="shared" si="27"/>
        <v>-8.3720930232558146</v>
      </c>
      <c r="Q16" s="351">
        <f t="shared" si="28"/>
        <v>0.9511627906976744</v>
      </c>
      <c r="R16" s="442"/>
      <c r="S16" s="28">
        <v>0.6368055555555554</v>
      </c>
      <c r="T16" s="28">
        <v>0.69652777777777763</v>
      </c>
      <c r="U16" s="346">
        <f t="shared" si="29"/>
        <v>6.9999999999999751</v>
      </c>
      <c r="V16" s="356">
        <f t="shared" si="30"/>
        <v>86.000000000000014</v>
      </c>
      <c r="W16" s="16"/>
      <c r="X16" s="16"/>
      <c r="Y16" s="443"/>
      <c r="Z16" s="443"/>
      <c r="AA16" s="12">
        <f t="shared" si="2"/>
        <v>-117.20930232558158</v>
      </c>
      <c r="AB16" s="351">
        <f t="shared" si="19"/>
        <v>0.9511627906976744</v>
      </c>
      <c r="AC16" s="442"/>
    </row>
    <row r="17" spans="1:29" ht="16.5" customHeight="1">
      <c r="A17" s="470" t="s">
        <v>1749</v>
      </c>
      <c r="B17" s="357" t="s">
        <v>58</v>
      </c>
      <c r="C17" s="465" t="s">
        <v>59</v>
      </c>
      <c r="D17" s="466"/>
      <c r="E17" s="31">
        <v>50.98</v>
      </c>
      <c r="F17" s="357">
        <v>3052</v>
      </c>
      <c r="G17" s="346">
        <f t="shared" si="20"/>
        <v>155590.96</v>
      </c>
      <c r="H17" s="359" t="s">
        <v>103</v>
      </c>
      <c r="I17" s="355">
        <v>16</v>
      </c>
      <c r="J17" s="26">
        <v>2000</v>
      </c>
      <c r="K17" s="10">
        <f t="shared" si="24"/>
        <v>125</v>
      </c>
      <c r="L17" s="355">
        <v>16</v>
      </c>
      <c r="M17" s="11">
        <f>F17/V17*60</f>
        <v>1907.5000000000005</v>
      </c>
      <c r="N17" s="10">
        <f t="shared" si="21"/>
        <v>119.21875000000003</v>
      </c>
      <c r="O17" s="12">
        <f t="shared" si="26"/>
        <v>0</v>
      </c>
      <c r="P17" s="13">
        <f t="shared" si="27"/>
        <v>-5.7812499999999716</v>
      </c>
      <c r="Q17" s="351">
        <f t="shared" si="28"/>
        <v>0.95375000000000021</v>
      </c>
      <c r="R17" s="442"/>
      <c r="S17" s="28">
        <v>0.70833333333333337</v>
      </c>
      <c r="T17" s="28">
        <v>0.77500000000000002</v>
      </c>
      <c r="U17" s="346" t="str">
        <f t="shared" si="29"/>
        <v/>
      </c>
      <c r="V17" s="356">
        <f t="shared" si="30"/>
        <v>95.999999999999972</v>
      </c>
      <c r="W17" s="16"/>
      <c r="X17" s="16"/>
      <c r="Y17" s="447"/>
      <c r="Z17" s="448"/>
      <c r="AA17" s="12">
        <f t="shared" si="2"/>
        <v>-92.499999999999545</v>
      </c>
      <c r="AB17" s="351">
        <f t="shared" si="19"/>
        <v>0.95375000000000021</v>
      </c>
      <c r="AC17" s="442"/>
    </row>
    <row r="18" spans="1:29" ht="16.5" customHeight="1">
      <c r="A18" s="470" t="s">
        <v>1749</v>
      </c>
      <c r="B18" s="357" t="s">
        <v>58</v>
      </c>
      <c r="C18" s="353" t="s">
        <v>60</v>
      </c>
      <c r="D18" s="354"/>
      <c r="E18" s="31">
        <v>50.92</v>
      </c>
      <c r="F18" s="357">
        <v>3336</v>
      </c>
      <c r="G18" s="346">
        <f t="shared" si="20"/>
        <v>169869.12</v>
      </c>
      <c r="H18" s="359" t="s">
        <v>103</v>
      </c>
      <c r="I18" s="355">
        <v>15</v>
      </c>
      <c r="J18" s="26">
        <v>2000</v>
      </c>
      <c r="K18" s="10">
        <f t="shared" si="24"/>
        <v>133.33333333333334</v>
      </c>
      <c r="L18" s="355">
        <v>15</v>
      </c>
      <c r="M18" s="11">
        <f t="shared" ref="M18" si="31">F18/V18*60</f>
        <v>1906.2857142857154</v>
      </c>
      <c r="N18" s="10">
        <f t="shared" si="21"/>
        <v>127.08571428571436</v>
      </c>
      <c r="O18" s="12">
        <f t="shared" si="26"/>
        <v>0</v>
      </c>
      <c r="P18" s="13">
        <f t="shared" si="27"/>
        <v>-6.2476190476189828</v>
      </c>
      <c r="Q18" s="351">
        <f t="shared" si="28"/>
        <v>0.95314285714285762</v>
      </c>
      <c r="R18" s="442"/>
      <c r="S18" s="28">
        <v>0.77986111111111112</v>
      </c>
      <c r="T18" s="28">
        <v>0.85277777777777775</v>
      </c>
      <c r="U18" s="346">
        <f t="shared" si="29"/>
        <v>6.9999999999999751</v>
      </c>
      <c r="V18" s="356">
        <f t="shared" si="30"/>
        <v>104.99999999999994</v>
      </c>
      <c r="W18" s="16"/>
      <c r="X18" s="16"/>
      <c r="Y18" s="447"/>
      <c r="Z18" s="448"/>
      <c r="AA18" s="12">
        <f t="shared" si="2"/>
        <v>-93.714285714284642</v>
      </c>
      <c r="AB18" s="351">
        <f t="shared" si="19"/>
        <v>0.95314285714285762</v>
      </c>
      <c r="AC18" s="442"/>
    </row>
    <row r="19" spans="1:29" ht="16.5" customHeight="1">
      <c r="A19" s="470" t="s">
        <v>1749</v>
      </c>
      <c r="B19" s="31" t="s">
        <v>1678</v>
      </c>
      <c r="C19" s="446"/>
      <c r="D19" s="446"/>
      <c r="E19" s="345"/>
      <c r="F19" s="33"/>
      <c r="G19" s="10"/>
      <c r="H19" s="357"/>
      <c r="I19" s="19">
        <v>18.428571428571427</v>
      </c>
      <c r="J19" s="26">
        <v>1771.4285714285713</v>
      </c>
      <c r="K19" s="10">
        <f>J19/I19</f>
        <v>96.124031007751938</v>
      </c>
      <c r="L19" s="19">
        <v>18.428571428571427</v>
      </c>
      <c r="M19" s="11">
        <f>AVERAGE(M12:M18)</f>
        <v>1692.1867917023003</v>
      </c>
      <c r="N19" s="10">
        <f t="shared" si="21"/>
        <v>91.82408947221785</v>
      </c>
      <c r="O19" s="12">
        <f>L19-I19</f>
        <v>0</v>
      </c>
      <c r="P19" s="13">
        <f>N19-K19</f>
        <v>-4.2999415355340886</v>
      </c>
      <c r="Q19" s="351">
        <f t="shared" si="28"/>
        <v>0.95526673725129863</v>
      </c>
      <c r="R19" s="442"/>
      <c r="S19" s="28"/>
      <c r="T19" s="28"/>
      <c r="U19" s="346"/>
      <c r="V19" s="356"/>
      <c r="W19" s="10"/>
      <c r="X19" s="10"/>
      <c r="Y19" s="443"/>
      <c r="Z19" s="443"/>
      <c r="AA19" s="12">
        <f t="shared" si="2"/>
        <v>-79.241779726271034</v>
      </c>
      <c r="AB19" s="351">
        <f t="shared" si="19"/>
        <v>0.95526673725129863</v>
      </c>
      <c r="AC19" s="442"/>
    </row>
    <row r="20" spans="1:29" ht="15.75" customHeight="1">
      <c r="A20" s="467" t="s">
        <v>1750</v>
      </c>
      <c r="B20" s="31" t="s">
        <v>56</v>
      </c>
      <c r="C20" s="464" t="s">
        <v>61</v>
      </c>
      <c r="D20" s="464"/>
      <c r="E20" s="31">
        <v>43.14</v>
      </c>
      <c r="F20" s="357">
        <v>1502</v>
      </c>
      <c r="G20" s="346">
        <f t="shared" ref="G20:G24" si="32">E20*F20</f>
        <v>64796.28</v>
      </c>
      <c r="H20" s="359" t="s">
        <v>103</v>
      </c>
      <c r="I20" s="355">
        <v>17</v>
      </c>
      <c r="J20" s="26">
        <v>2000</v>
      </c>
      <c r="K20" s="10">
        <f t="shared" ref="K20:K25" si="33">J20/I20</f>
        <v>117.64705882352941</v>
      </c>
      <c r="L20" s="355">
        <v>17</v>
      </c>
      <c r="M20" s="11">
        <f t="shared" ref="M20:M24" si="34">F20/V20*60</f>
        <v>1917.4468085106384</v>
      </c>
      <c r="N20" s="10">
        <f t="shared" si="21"/>
        <v>112.79098873591991</v>
      </c>
      <c r="O20" s="12">
        <f t="shared" ref="O20:O24" si="35">L20-I20</f>
        <v>0</v>
      </c>
      <c r="P20" s="13">
        <f t="shared" ref="P20:P24" si="36">N20-K20</f>
        <v>-4.8560700876094955</v>
      </c>
      <c r="Q20" s="351">
        <f t="shared" si="28"/>
        <v>0.95872340425531932</v>
      </c>
      <c r="R20" s="442">
        <f>Q25</f>
        <v>0.95739791214358105</v>
      </c>
      <c r="S20" s="28">
        <v>0.20833333333333334</v>
      </c>
      <c r="T20" s="28">
        <v>0.24097222222222223</v>
      </c>
      <c r="U20" s="346"/>
      <c r="V20" s="356">
        <f>(T20-S20)*24*60</f>
        <v>46.999999999999993</v>
      </c>
      <c r="W20" s="18"/>
      <c r="X20" s="18"/>
      <c r="Y20" s="443"/>
      <c r="Z20" s="443"/>
      <c r="AA20" s="12">
        <f t="shared" si="2"/>
        <v>-82.553191489361552</v>
      </c>
      <c r="AB20" s="351">
        <f t="shared" si="19"/>
        <v>0.95872340425531921</v>
      </c>
      <c r="AC20" s="442">
        <f>AB25</f>
        <v>0.95739791214358105</v>
      </c>
    </row>
    <row r="21" spans="1:29" ht="15.75" customHeight="1">
      <c r="A21" s="468" t="s">
        <v>1750</v>
      </c>
      <c r="B21" s="31" t="s">
        <v>58</v>
      </c>
      <c r="C21" s="464" t="s">
        <v>62</v>
      </c>
      <c r="D21" s="464"/>
      <c r="E21" s="31">
        <v>57.73</v>
      </c>
      <c r="F21" s="357">
        <v>3070</v>
      </c>
      <c r="G21" s="346">
        <f t="shared" si="32"/>
        <v>177231.09999999998</v>
      </c>
      <c r="H21" s="359" t="s">
        <v>103</v>
      </c>
      <c r="I21" s="355">
        <v>15</v>
      </c>
      <c r="J21" s="26">
        <v>2000</v>
      </c>
      <c r="K21" s="10">
        <f t="shared" si="33"/>
        <v>133.33333333333334</v>
      </c>
      <c r="L21" s="355">
        <v>15</v>
      </c>
      <c r="M21" s="11">
        <f t="shared" si="34"/>
        <v>1918.7500000000005</v>
      </c>
      <c r="N21" s="10">
        <f t="shared" si="21"/>
        <v>127.9166666666667</v>
      </c>
      <c r="O21" s="12">
        <f t="shared" si="35"/>
        <v>0</v>
      </c>
      <c r="P21" s="13">
        <f t="shared" si="36"/>
        <v>-5.416666666666643</v>
      </c>
      <c r="Q21" s="351">
        <f t="shared" si="28"/>
        <v>0.9593750000000002</v>
      </c>
      <c r="R21" s="442"/>
      <c r="S21" s="28">
        <v>0.24652777777777779</v>
      </c>
      <c r="T21" s="28">
        <v>0.31319444444444444</v>
      </c>
      <c r="U21" s="346">
        <f>IF(S21=TIME(17,0,0),"",(S21-T20)*24*60)</f>
        <v>8.0000000000000107</v>
      </c>
      <c r="V21" s="356">
        <f t="shared" ref="V21:V24" si="37">(T21-S21)*24*60</f>
        <v>95.999999999999972</v>
      </c>
      <c r="W21" s="16"/>
      <c r="X21" s="346"/>
      <c r="Y21" s="443"/>
      <c r="Z21" s="443"/>
      <c r="AA21" s="12">
        <f t="shared" si="2"/>
        <v>-81.249999999999545</v>
      </c>
      <c r="AB21" s="351">
        <f t="shared" si="19"/>
        <v>0.9593750000000002</v>
      </c>
      <c r="AC21" s="442"/>
    </row>
    <row r="22" spans="1:29" ht="15.75" customHeight="1">
      <c r="A22" s="468" t="s">
        <v>1750</v>
      </c>
      <c r="B22" s="31" t="s">
        <v>58</v>
      </c>
      <c r="C22" s="464" t="s">
        <v>63</v>
      </c>
      <c r="D22" s="464"/>
      <c r="E22" s="31">
        <v>53.68</v>
      </c>
      <c r="F22" s="357">
        <v>2009</v>
      </c>
      <c r="G22" s="346">
        <f t="shared" si="32"/>
        <v>107843.12</v>
      </c>
      <c r="H22" s="359" t="s">
        <v>103</v>
      </c>
      <c r="I22" s="355">
        <v>16</v>
      </c>
      <c r="J22" s="26">
        <v>2000</v>
      </c>
      <c r="K22" s="10">
        <f t="shared" si="33"/>
        <v>125</v>
      </c>
      <c r="L22" s="355">
        <v>16</v>
      </c>
      <c r="M22" s="11">
        <f t="shared" si="34"/>
        <v>1913.333333333333</v>
      </c>
      <c r="N22" s="10">
        <f t="shared" si="21"/>
        <v>119.58333333333331</v>
      </c>
      <c r="O22" s="12">
        <f t="shared" si="35"/>
        <v>0</v>
      </c>
      <c r="P22" s="13">
        <f t="shared" si="36"/>
        <v>-5.4166666666666856</v>
      </c>
      <c r="Q22" s="351">
        <f t="shared" si="28"/>
        <v>0.95666666666666655</v>
      </c>
      <c r="R22" s="442"/>
      <c r="S22" s="28">
        <v>0.31666666666666665</v>
      </c>
      <c r="T22" s="28">
        <v>0.36041666666666666</v>
      </c>
      <c r="U22" s="346">
        <f t="shared" ref="U22:U24" si="38">IF(S22=TIME(17,0,0),"",(S22-T21)*24*60)</f>
        <v>4.9999999999999822</v>
      </c>
      <c r="V22" s="356">
        <f t="shared" si="37"/>
        <v>63.000000000000014</v>
      </c>
      <c r="W22" s="16"/>
      <c r="X22" s="346"/>
      <c r="Y22" s="443"/>
      <c r="Z22" s="443"/>
      <c r="AA22" s="12">
        <f t="shared" si="2"/>
        <v>-86.66666666666697</v>
      </c>
      <c r="AB22" s="351">
        <f t="shared" si="19"/>
        <v>0.95666666666666655</v>
      </c>
      <c r="AC22" s="442"/>
    </row>
    <row r="23" spans="1:29" ht="15.75" customHeight="1">
      <c r="A23" s="468" t="s">
        <v>1750</v>
      </c>
      <c r="B23" s="31" t="s">
        <v>58</v>
      </c>
      <c r="C23" s="464" t="s">
        <v>1170</v>
      </c>
      <c r="D23" s="464"/>
      <c r="E23" s="31">
        <v>53.27</v>
      </c>
      <c r="F23" s="357">
        <v>2229</v>
      </c>
      <c r="G23" s="346">
        <f t="shared" si="32"/>
        <v>118738.83</v>
      </c>
      <c r="H23" s="359" t="s">
        <v>103</v>
      </c>
      <c r="I23" s="355">
        <v>17</v>
      </c>
      <c r="J23" s="26">
        <v>2000</v>
      </c>
      <c r="K23" s="10">
        <f t="shared" si="33"/>
        <v>117.64705882352941</v>
      </c>
      <c r="L23" s="355">
        <v>17</v>
      </c>
      <c r="M23" s="11">
        <f t="shared" si="34"/>
        <v>1910.5714285714289</v>
      </c>
      <c r="N23" s="10">
        <f t="shared" si="21"/>
        <v>112.38655462184876</v>
      </c>
      <c r="O23" s="12">
        <f t="shared" si="35"/>
        <v>0</v>
      </c>
      <c r="P23" s="13">
        <f t="shared" si="36"/>
        <v>-5.2605042016806465</v>
      </c>
      <c r="Q23" s="351">
        <f t="shared" si="28"/>
        <v>0.95528571428571452</v>
      </c>
      <c r="R23" s="442"/>
      <c r="S23" s="28">
        <v>0.36388888888888887</v>
      </c>
      <c r="T23" s="28">
        <v>0.41249999999999998</v>
      </c>
      <c r="U23" s="346">
        <f t="shared" si="38"/>
        <v>4.9999999999999822</v>
      </c>
      <c r="V23" s="356">
        <f t="shared" si="37"/>
        <v>69.999999999999986</v>
      </c>
      <c r="W23" s="16"/>
      <c r="X23" s="346"/>
      <c r="Y23" s="443"/>
      <c r="Z23" s="443"/>
      <c r="AA23" s="12">
        <f t="shared" si="2"/>
        <v>-89.428571428571104</v>
      </c>
      <c r="AB23" s="351">
        <f t="shared" si="19"/>
        <v>0.9552857142857144</v>
      </c>
      <c r="AC23" s="442"/>
    </row>
    <row r="24" spans="1:29" ht="15.75" customHeight="1">
      <c r="A24" s="468" t="s">
        <v>1750</v>
      </c>
      <c r="B24" s="31" t="s">
        <v>58</v>
      </c>
      <c r="C24" s="464" t="s">
        <v>65</v>
      </c>
      <c r="D24" s="464"/>
      <c r="E24" s="31">
        <v>54.09</v>
      </c>
      <c r="F24" s="357">
        <v>3126</v>
      </c>
      <c r="G24" s="346">
        <f t="shared" si="32"/>
        <v>169085.34</v>
      </c>
      <c r="H24" s="359" t="s">
        <v>103</v>
      </c>
      <c r="I24" s="355">
        <v>19</v>
      </c>
      <c r="J24" s="26">
        <v>2000</v>
      </c>
      <c r="K24" s="10">
        <f t="shared" si="33"/>
        <v>105.26315789473684</v>
      </c>
      <c r="L24" s="355">
        <v>19</v>
      </c>
      <c r="M24" s="11">
        <f t="shared" si="34"/>
        <v>1913.8775510204086</v>
      </c>
      <c r="N24" s="10">
        <f t="shared" si="21"/>
        <v>100.73039742212677</v>
      </c>
      <c r="O24" s="12">
        <f t="shared" si="35"/>
        <v>0</v>
      </c>
      <c r="P24" s="13">
        <f t="shared" si="36"/>
        <v>-4.5327604726100645</v>
      </c>
      <c r="Q24" s="351">
        <f t="shared" si="28"/>
        <v>0.95693877551020434</v>
      </c>
      <c r="R24" s="442"/>
      <c r="S24" s="28">
        <v>0.70833333333333337</v>
      </c>
      <c r="T24" s="28">
        <v>0.77638888888888891</v>
      </c>
      <c r="U24" s="346" t="str">
        <f t="shared" si="38"/>
        <v/>
      </c>
      <c r="V24" s="356">
        <f t="shared" si="37"/>
        <v>97.999999999999972</v>
      </c>
      <c r="W24" s="16"/>
      <c r="X24" s="346"/>
      <c r="Y24" s="443"/>
      <c r="Z24" s="443"/>
      <c r="AA24" s="12">
        <f t="shared" si="2"/>
        <v>-86.122448979591354</v>
      </c>
      <c r="AB24" s="351">
        <f t="shared" si="19"/>
        <v>0.95693877551020434</v>
      </c>
      <c r="AC24" s="442"/>
    </row>
    <row r="25" spans="1:29" ht="15.75" customHeight="1">
      <c r="A25" s="468" t="s">
        <v>1750</v>
      </c>
      <c r="B25" s="31" t="s">
        <v>1678</v>
      </c>
      <c r="C25" s="446"/>
      <c r="D25" s="446"/>
      <c r="E25" s="345"/>
      <c r="F25" s="357"/>
      <c r="G25" s="346"/>
      <c r="H25" s="357"/>
      <c r="I25" s="19">
        <v>16.8</v>
      </c>
      <c r="J25" s="26">
        <v>2000</v>
      </c>
      <c r="K25" s="10">
        <f t="shared" si="33"/>
        <v>119.04761904761904</v>
      </c>
      <c r="L25" s="19">
        <v>16.8</v>
      </c>
      <c r="M25" s="11">
        <f>AVERAGE(M20:M24)</f>
        <v>1914.7958242871621</v>
      </c>
      <c r="N25" s="10">
        <f>M25/L25</f>
        <v>113.97594192185488</v>
      </c>
      <c r="O25" s="12">
        <f>L25-I25</f>
        <v>0</v>
      </c>
      <c r="P25" s="13">
        <f>N25-K25</f>
        <v>-5.071677125764154</v>
      </c>
      <c r="Q25" s="351">
        <f>N25/K25</f>
        <v>0.95739791214358105</v>
      </c>
      <c r="R25" s="442"/>
      <c r="S25" s="28"/>
      <c r="T25" s="28"/>
      <c r="U25" s="10"/>
      <c r="V25" s="356"/>
      <c r="W25" s="10"/>
      <c r="X25" s="10"/>
      <c r="Y25" s="443"/>
      <c r="Z25" s="443"/>
      <c r="AA25" s="12">
        <f t="shared" si="2"/>
        <v>-85.204175712837923</v>
      </c>
      <c r="AB25" s="351">
        <f t="shared" si="19"/>
        <v>0.95739791214358105</v>
      </c>
      <c r="AC25" s="442"/>
    </row>
    <row r="26" spans="1:29" ht="15.75" customHeight="1">
      <c r="A26" s="463" t="s">
        <v>1751</v>
      </c>
      <c r="B26" s="31" t="s">
        <v>67</v>
      </c>
      <c r="C26" s="464" t="s">
        <v>68</v>
      </c>
      <c r="D26" s="464"/>
      <c r="E26" s="31">
        <v>26.2</v>
      </c>
      <c r="F26" s="357">
        <v>3000</v>
      </c>
      <c r="G26" s="346">
        <f t="shared" ref="G26:G36" si="39">E26*F26</f>
        <v>78600</v>
      </c>
      <c r="H26" s="359">
        <v>2</v>
      </c>
      <c r="I26" s="355">
        <v>20</v>
      </c>
      <c r="J26" s="26">
        <v>2400</v>
      </c>
      <c r="K26" s="10">
        <f>J26/I26</f>
        <v>120</v>
      </c>
      <c r="L26" s="355">
        <v>20</v>
      </c>
      <c r="M26" s="11">
        <f t="shared" ref="M26:M36" si="40">F26/V26*60</f>
        <v>2307.6923076923072</v>
      </c>
      <c r="N26" s="10">
        <f t="shared" ref="N26:N36" si="41">M26/L26</f>
        <v>115.38461538461536</v>
      </c>
      <c r="O26" s="12">
        <f t="shared" ref="O26:O36" si="42">L26-I26</f>
        <v>0</v>
      </c>
      <c r="P26" s="13">
        <f t="shared" ref="P26:P36" si="43">N26-K26</f>
        <v>-4.6153846153846416</v>
      </c>
      <c r="Q26" s="351">
        <f t="shared" ref="Q26:Q31" si="44">N26/K26</f>
        <v>0.96153846153846134</v>
      </c>
      <c r="R26" s="442">
        <f>Q37</f>
        <v>0.95666774717026515</v>
      </c>
      <c r="S26" s="28">
        <v>8.3333333333333329E-2</v>
      </c>
      <c r="T26" s="28">
        <v>0.13750000000000001</v>
      </c>
      <c r="U26" s="346"/>
      <c r="V26" s="356">
        <f t="shared" ref="V26:V36" si="45">(T26-S26)*24*60</f>
        <v>78.000000000000014</v>
      </c>
      <c r="W26" s="16">
        <f>T26</f>
        <v>0.13750000000000001</v>
      </c>
      <c r="X26" s="16">
        <f>S27</f>
        <v>0.15486111111111109</v>
      </c>
      <c r="Y26" s="443"/>
      <c r="Z26" s="443"/>
      <c r="AA26" s="12">
        <f t="shared" si="2"/>
        <v>-92.307692307692832</v>
      </c>
      <c r="AB26" s="351">
        <f>M26/J26</f>
        <v>0.96153846153846134</v>
      </c>
      <c r="AC26" s="442">
        <f>AB37</f>
        <v>0.95666774717026515</v>
      </c>
    </row>
    <row r="27" spans="1:29" ht="15.75" customHeight="1">
      <c r="A27" s="463" t="s">
        <v>1751</v>
      </c>
      <c r="B27" s="31" t="s">
        <v>67</v>
      </c>
      <c r="C27" s="464" t="s">
        <v>69</v>
      </c>
      <c r="D27" s="464"/>
      <c r="E27" s="31">
        <v>31.29</v>
      </c>
      <c r="F27" s="357">
        <v>6100</v>
      </c>
      <c r="G27" s="346">
        <f t="shared" si="39"/>
        <v>190869</v>
      </c>
      <c r="H27" s="359">
        <v>2</v>
      </c>
      <c r="I27" s="355">
        <v>18</v>
      </c>
      <c r="J27" s="26">
        <v>2400</v>
      </c>
      <c r="K27" s="10">
        <f t="shared" ref="K27:K37" si="46">J27/I27</f>
        <v>133.33333333333334</v>
      </c>
      <c r="L27" s="355">
        <v>18</v>
      </c>
      <c r="M27" s="11">
        <f t="shared" si="40"/>
        <v>2287.5000000000005</v>
      </c>
      <c r="N27" s="10">
        <f t="shared" si="41"/>
        <v>127.08333333333336</v>
      </c>
      <c r="O27" s="12">
        <f t="shared" si="42"/>
        <v>0</v>
      </c>
      <c r="P27" s="13">
        <f t="shared" si="43"/>
        <v>-6.2499999999999858</v>
      </c>
      <c r="Q27" s="351">
        <f t="shared" si="44"/>
        <v>0.95312500000000011</v>
      </c>
      <c r="R27" s="442"/>
      <c r="S27" s="28">
        <v>0.15486111111111109</v>
      </c>
      <c r="T27" s="28">
        <v>0.26597222222222217</v>
      </c>
      <c r="U27" s="346">
        <f>(S27-T26)*24*60</f>
        <v>24.99999999999995</v>
      </c>
      <c r="V27" s="356">
        <f t="shared" si="45"/>
        <v>159.99999999999997</v>
      </c>
      <c r="W27" s="16"/>
      <c r="X27" s="16"/>
      <c r="Y27" s="443"/>
      <c r="Z27" s="443"/>
      <c r="AA27" s="12">
        <f t="shared" si="2"/>
        <v>-112.49999999999955</v>
      </c>
      <c r="AB27" s="351">
        <f t="shared" ref="AB27:AB36" si="47">M27/J27</f>
        <v>0.95312500000000022</v>
      </c>
      <c r="AC27" s="442"/>
    </row>
    <row r="28" spans="1:29" ht="15.75" customHeight="1">
      <c r="A28" s="463" t="s">
        <v>1751</v>
      </c>
      <c r="B28" s="31" t="s">
        <v>67</v>
      </c>
      <c r="C28" s="464" t="s">
        <v>101</v>
      </c>
      <c r="D28" s="464"/>
      <c r="E28" s="31">
        <v>25</v>
      </c>
      <c r="F28" s="357">
        <v>2700</v>
      </c>
      <c r="G28" s="346">
        <f t="shared" si="39"/>
        <v>67500</v>
      </c>
      <c r="H28" s="359">
        <v>2</v>
      </c>
      <c r="I28" s="355">
        <v>15</v>
      </c>
      <c r="J28" s="26">
        <v>2400</v>
      </c>
      <c r="K28" s="10">
        <f t="shared" si="46"/>
        <v>160</v>
      </c>
      <c r="L28" s="355">
        <v>15</v>
      </c>
      <c r="M28" s="11">
        <f t="shared" si="40"/>
        <v>2281.6901408450708</v>
      </c>
      <c r="N28" s="10">
        <f t="shared" si="41"/>
        <v>152.11267605633805</v>
      </c>
      <c r="O28" s="12">
        <f t="shared" si="42"/>
        <v>0</v>
      </c>
      <c r="P28" s="13">
        <f t="shared" si="43"/>
        <v>-7.8873239436619542</v>
      </c>
      <c r="Q28" s="351">
        <f t="shared" si="44"/>
        <v>0.95070422535211274</v>
      </c>
      <c r="R28" s="442"/>
      <c r="S28" s="28">
        <v>0.2715277777777777</v>
      </c>
      <c r="T28" s="28">
        <v>0.32083333333333325</v>
      </c>
      <c r="U28" s="346">
        <f t="shared" ref="U28:U36" si="48">(S28-T27)*24*60</f>
        <v>7.9999999999999716</v>
      </c>
      <c r="V28" s="356">
        <f t="shared" si="45"/>
        <v>70.999999999999986</v>
      </c>
      <c r="W28" s="16"/>
      <c r="X28" s="16"/>
      <c r="Y28" s="443"/>
      <c r="Z28" s="443"/>
      <c r="AA28" s="12">
        <f t="shared" si="2"/>
        <v>-118.3098591549292</v>
      </c>
      <c r="AB28" s="351">
        <f t="shared" si="47"/>
        <v>0.95070422535211285</v>
      </c>
      <c r="AC28" s="442"/>
    </row>
    <row r="29" spans="1:29" ht="15.75" customHeight="1">
      <c r="A29" s="463" t="s">
        <v>1751</v>
      </c>
      <c r="B29" s="31" t="s">
        <v>67</v>
      </c>
      <c r="C29" s="464" t="s">
        <v>165</v>
      </c>
      <c r="D29" s="464"/>
      <c r="E29" s="31">
        <v>26.18</v>
      </c>
      <c r="F29" s="357">
        <v>3000</v>
      </c>
      <c r="G29" s="346">
        <f t="shared" si="39"/>
        <v>78540</v>
      </c>
      <c r="H29" s="359">
        <v>2</v>
      </c>
      <c r="I29" s="355">
        <v>19</v>
      </c>
      <c r="J29" s="26">
        <v>2400</v>
      </c>
      <c r="K29" s="10">
        <f t="shared" si="46"/>
        <v>126.31578947368421</v>
      </c>
      <c r="L29" s="355">
        <v>19</v>
      </c>
      <c r="M29" s="11">
        <f t="shared" si="40"/>
        <v>2307.692307692309</v>
      </c>
      <c r="N29" s="10">
        <f t="shared" si="41"/>
        <v>121.45748987854257</v>
      </c>
      <c r="O29" s="12">
        <f t="shared" si="42"/>
        <v>0</v>
      </c>
      <c r="P29" s="13">
        <f t="shared" si="43"/>
        <v>-4.8582995951416308</v>
      </c>
      <c r="Q29" s="351">
        <f t="shared" si="44"/>
        <v>0.96153846153846212</v>
      </c>
      <c r="R29" s="442"/>
      <c r="S29" s="28">
        <v>0.32638888888888878</v>
      </c>
      <c r="T29" s="28">
        <v>0.38055555555555542</v>
      </c>
      <c r="U29" s="346">
        <f t="shared" si="48"/>
        <v>7.9999999999999716</v>
      </c>
      <c r="V29" s="356">
        <f t="shared" si="45"/>
        <v>77.999999999999957</v>
      </c>
      <c r="W29" s="16"/>
      <c r="X29" s="16"/>
      <c r="Y29" s="443"/>
      <c r="Z29" s="443"/>
      <c r="AA29" s="12">
        <f t="shared" si="2"/>
        <v>-92.307692307691013</v>
      </c>
      <c r="AB29" s="351">
        <f t="shared" si="47"/>
        <v>0.96153846153846212</v>
      </c>
      <c r="AC29" s="442"/>
    </row>
    <row r="30" spans="1:29" ht="15.75" customHeight="1">
      <c r="A30" s="463" t="s">
        <v>1751</v>
      </c>
      <c r="B30" s="31" t="s">
        <v>67</v>
      </c>
      <c r="C30" s="464" t="s">
        <v>77</v>
      </c>
      <c r="D30" s="464"/>
      <c r="E30" s="31">
        <v>26.2</v>
      </c>
      <c r="F30" s="357">
        <v>3000</v>
      </c>
      <c r="G30" s="346">
        <f t="shared" si="39"/>
        <v>78600</v>
      </c>
      <c r="H30" s="359">
        <v>2</v>
      </c>
      <c r="I30" s="355">
        <v>19</v>
      </c>
      <c r="J30" s="26">
        <v>2400</v>
      </c>
      <c r="K30" s="10">
        <f t="shared" si="46"/>
        <v>126.31578947368421</v>
      </c>
      <c r="L30" s="355">
        <v>19</v>
      </c>
      <c r="M30" s="11">
        <f t="shared" si="40"/>
        <v>2307.6923076923063</v>
      </c>
      <c r="N30" s="10">
        <f t="shared" si="41"/>
        <v>121.45748987854243</v>
      </c>
      <c r="O30" s="12">
        <f t="shared" si="42"/>
        <v>0</v>
      </c>
      <c r="P30" s="13">
        <f t="shared" si="43"/>
        <v>-4.8582995951417729</v>
      </c>
      <c r="Q30" s="351">
        <f t="shared" si="44"/>
        <v>0.96153846153846101</v>
      </c>
      <c r="R30" s="442"/>
      <c r="S30" s="28">
        <v>0.38611111111111096</v>
      </c>
      <c r="T30" s="28">
        <v>0.44027777777777766</v>
      </c>
      <c r="U30" s="346">
        <f t="shared" si="48"/>
        <v>7.9999999999999716</v>
      </c>
      <c r="V30" s="356">
        <f t="shared" si="45"/>
        <v>78.000000000000043</v>
      </c>
      <c r="W30" s="16"/>
      <c r="X30" s="16"/>
      <c r="Y30" s="443"/>
      <c r="Z30" s="443"/>
      <c r="AA30" s="12">
        <f t="shared" si="2"/>
        <v>-92.307692307693742</v>
      </c>
      <c r="AB30" s="351">
        <f t="shared" si="47"/>
        <v>0.9615384615384609</v>
      </c>
      <c r="AC30" s="442"/>
    </row>
    <row r="31" spans="1:29" ht="15.75" customHeight="1">
      <c r="A31" s="463" t="s">
        <v>1751</v>
      </c>
      <c r="B31" s="31" t="s">
        <v>67</v>
      </c>
      <c r="C31" s="464" t="s">
        <v>76</v>
      </c>
      <c r="D31" s="464"/>
      <c r="E31" s="31">
        <v>20.52</v>
      </c>
      <c r="F31" s="357">
        <v>3924</v>
      </c>
      <c r="G31" s="346">
        <f t="shared" si="39"/>
        <v>80520.479999999996</v>
      </c>
      <c r="H31" s="359" t="s">
        <v>103</v>
      </c>
      <c r="I31" s="355">
        <v>18</v>
      </c>
      <c r="J31" s="26">
        <v>2400</v>
      </c>
      <c r="K31" s="10">
        <f t="shared" si="46"/>
        <v>133.33333333333334</v>
      </c>
      <c r="L31" s="355">
        <v>18</v>
      </c>
      <c r="M31" s="11">
        <f t="shared" si="40"/>
        <v>2285.8252427184475</v>
      </c>
      <c r="N31" s="10">
        <f t="shared" si="41"/>
        <v>126.99029126213597</v>
      </c>
      <c r="O31" s="12">
        <f t="shared" si="42"/>
        <v>0</v>
      </c>
      <c r="P31" s="13">
        <f t="shared" si="43"/>
        <v>-6.3430420711973738</v>
      </c>
      <c r="Q31" s="351">
        <f t="shared" si="44"/>
        <v>0.95242718446601971</v>
      </c>
      <c r="R31" s="442"/>
      <c r="S31" s="28">
        <v>0.44583333333333319</v>
      </c>
      <c r="T31" s="28">
        <v>0.51736111111111094</v>
      </c>
      <c r="U31" s="346">
        <f t="shared" si="48"/>
        <v>7.9999999999999716</v>
      </c>
      <c r="V31" s="356">
        <f t="shared" si="45"/>
        <v>102.99999999999996</v>
      </c>
      <c r="W31" s="16"/>
      <c r="X31" s="16"/>
      <c r="Y31" s="443"/>
      <c r="Z31" s="443"/>
      <c r="AA31" s="12">
        <f t="shared" si="2"/>
        <v>-114.1747572815525</v>
      </c>
      <c r="AB31" s="351">
        <f t="shared" si="47"/>
        <v>0.95242718446601982</v>
      </c>
      <c r="AC31" s="442"/>
    </row>
    <row r="32" spans="1:29" ht="15.75" customHeight="1">
      <c r="A32" s="463" t="s">
        <v>1751</v>
      </c>
      <c r="B32" s="31" t="s">
        <v>67</v>
      </c>
      <c r="C32" s="464" t="s">
        <v>165</v>
      </c>
      <c r="D32" s="464"/>
      <c r="E32" s="31">
        <v>26.18</v>
      </c>
      <c r="F32" s="357">
        <v>2181</v>
      </c>
      <c r="G32" s="346">
        <f t="shared" si="39"/>
        <v>57098.58</v>
      </c>
      <c r="H32" s="359" t="s">
        <v>103</v>
      </c>
      <c r="I32" s="355">
        <v>19</v>
      </c>
      <c r="J32" s="26">
        <v>2400</v>
      </c>
      <c r="K32" s="10">
        <f t="shared" si="46"/>
        <v>126.31578947368421</v>
      </c>
      <c r="L32" s="355">
        <v>19</v>
      </c>
      <c r="M32" s="11">
        <f t="shared" si="40"/>
        <v>2295.7894736842122</v>
      </c>
      <c r="N32" s="10">
        <f t="shared" si="41"/>
        <v>120.83102493074801</v>
      </c>
      <c r="O32" s="12">
        <f t="shared" si="42"/>
        <v>0</v>
      </c>
      <c r="P32" s="13">
        <f t="shared" si="43"/>
        <v>-5.4847645429361904</v>
      </c>
      <c r="Q32" s="351">
        <f>N32/K32</f>
        <v>0.95657894736842186</v>
      </c>
      <c r="R32" s="442"/>
      <c r="S32" s="28">
        <v>0.52222222222222203</v>
      </c>
      <c r="T32" s="28">
        <v>0.56180555555555534</v>
      </c>
      <c r="U32" s="346">
        <f t="shared" si="48"/>
        <v>6.9999999999999751</v>
      </c>
      <c r="V32" s="356">
        <f t="shared" si="45"/>
        <v>56.999999999999957</v>
      </c>
      <c r="W32" s="16"/>
      <c r="X32" s="16"/>
      <c r="Y32" s="443"/>
      <c r="Z32" s="443"/>
      <c r="AA32" s="12">
        <f t="shared" si="2"/>
        <v>-104.21052631578777</v>
      </c>
      <c r="AB32" s="351">
        <f t="shared" si="47"/>
        <v>0.95657894736842175</v>
      </c>
      <c r="AC32" s="442"/>
    </row>
    <row r="33" spans="1:29" ht="15.75" customHeight="1">
      <c r="A33" s="463" t="s">
        <v>1751</v>
      </c>
      <c r="B33" s="31" t="s">
        <v>67</v>
      </c>
      <c r="C33" s="464" t="s">
        <v>69</v>
      </c>
      <c r="D33" s="464"/>
      <c r="E33" s="31">
        <v>31.29</v>
      </c>
      <c r="F33" s="357">
        <v>4625</v>
      </c>
      <c r="G33" s="346">
        <f t="shared" si="39"/>
        <v>144716.25</v>
      </c>
      <c r="H33" s="359" t="s">
        <v>103</v>
      </c>
      <c r="I33" s="355">
        <v>18</v>
      </c>
      <c r="J33" s="26">
        <v>2400</v>
      </c>
      <c r="K33" s="10">
        <f t="shared" si="46"/>
        <v>133.33333333333334</v>
      </c>
      <c r="L33" s="355">
        <v>18</v>
      </c>
      <c r="M33" s="11">
        <f t="shared" si="40"/>
        <v>2293.3884297520653</v>
      </c>
      <c r="N33" s="10">
        <f t="shared" si="41"/>
        <v>127.41046831955919</v>
      </c>
      <c r="O33" s="12">
        <f t="shared" si="42"/>
        <v>0</v>
      </c>
      <c r="P33" s="13">
        <f t="shared" si="43"/>
        <v>-5.9228650137741568</v>
      </c>
      <c r="Q33" s="351">
        <f>N33/K33</f>
        <v>0.95557851239669378</v>
      </c>
      <c r="R33" s="442"/>
      <c r="S33" s="28">
        <v>0.56597222222222199</v>
      </c>
      <c r="T33" s="28">
        <v>0.6499999999999998</v>
      </c>
      <c r="U33" s="346">
        <f t="shared" si="48"/>
        <v>5.9999999999999787</v>
      </c>
      <c r="V33" s="356">
        <f t="shared" si="45"/>
        <v>121.00000000000006</v>
      </c>
      <c r="W33" s="16"/>
      <c r="X33" s="16"/>
      <c r="Y33" s="443"/>
      <c r="Z33" s="443"/>
      <c r="AA33" s="12">
        <f t="shared" si="2"/>
        <v>-106.61157024793465</v>
      </c>
      <c r="AB33" s="351">
        <f t="shared" si="47"/>
        <v>0.95557851239669389</v>
      </c>
      <c r="AC33" s="442"/>
    </row>
    <row r="34" spans="1:29" ht="15.75" customHeight="1">
      <c r="A34" s="463" t="s">
        <v>1751</v>
      </c>
      <c r="B34" s="31" t="s">
        <v>67</v>
      </c>
      <c r="C34" s="465" t="s">
        <v>68</v>
      </c>
      <c r="D34" s="466"/>
      <c r="E34" s="31">
        <v>26.2</v>
      </c>
      <c r="F34" s="357">
        <v>2337</v>
      </c>
      <c r="G34" s="346">
        <f t="shared" si="39"/>
        <v>61229.4</v>
      </c>
      <c r="H34" s="359" t="s">
        <v>103</v>
      </c>
      <c r="I34" s="355">
        <v>20</v>
      </c>
      <c r="J34" s="26">
        <v>2400</v>
      </c>
      <c r="K34" s="10">
        <f t="shared" si="46"/>
        <v>120</v>
      </c>
      <c r="L34" s="355">
        <v>20</v>
      </c>
      <c r="M34" s="11">
        <f t="shared" si="40"/>
        <v>2298.6885245901658</v>
      </c>
      <c r="N34" s="10">
        <f t="shared" si="41"/>
        <v>114.93442622950829</v>
      </c>
      <c r="O34" s="12">
        <f t="shared" si="42"/>
        <v>0</v>
      </c>
      <c r="P34" s="13">
        <f t="shared" si="43"/>
        <v>-5.0655737704917101</v>
      </c>
      <c r="Q34" s="351">
        <f t="shared" ref="Q34" si="49">N34/K34</f>
        <v>0.95778688524590239</v>
      </c>
      <c r="R34" s="442"/>
      <c r="S34" s="28">
        <v>0.65347222222222201</v>
      </c>
      <c r="T34" s="28">
        <v>0.69583333333333308</v>
      </c>
      <c r="U34" s="346">
        <f t="shared" si="48"/>
        <v>4.9999999999999822</v>
      </c>
      <c r="V34" s="356">
        <f t="shared" si="45"/>
        <v>60.999999999999943</v>
      </c>
      <c r="W34" s="16"/>
      <c r="X34" s="16"/>
      <c r="Y34" s="447"/>
      <c r="Z34" s="448"/>
      <c r="AA34" s="12">
        <f t="shared" si="2"/>
        <v>-101.3114754098342</v>
      </c>
      <c r="AB34" s="351">
        <f t="shared" si="47"/>
        <v>0.95778688524590239</v>
      </c>
      <c r="AC34" s="442"/>
    </row>
    <row r="35" spans="1:29" ht="15.75" customHeight="1">
      <c r="A35" s="463" t="s">
        <v>1751</v>
      </c>
      <c r="B35" s="31" t="s">
        <v>67</v>
      </c>
      <c r="C35" s="465" t="s">
        <v>77</v>
      </c>
      <c r="D35" s="466"/>
      <c r="E35" s="31">
        <v>26.2</v>
      </c>
      <c r="F35" s="357">
        <v>1948</v>
      </c>
      <c r="G35" s="346">
        <f t="shared" si="39"/>
        <v>51037.599999999999</v>
      </c>
      <c r="H35" s="359" t="s">
        <v>103</v>
      </c>
      <c r="I35" s="355">
        <v>19</v>
      </c>
      <c r="J35" s="26">
        <v>2400</v>
      </c>
      <c r="K35" s="10">
        <f t="shared" si="46"/>
        <v>126.31578947368421</v>
      </c>
      <c r="L35" s="355">
        <v>19</v>
      </c>
      <c r="M35" s="11">
        <f t="shared" si="40"/>
        <v>2291.7647058823536</v>
      </c>
      <c r="N35" s="10">
        <f t="shared" si="41"/>
        <v>120.61919504643966</v>
      </c>
      <c r="O35" s="12">
        <f t="shared" si="42"/>
        <v>0</v>
      </c>
      <c r="P35" s="13">
        <f t="shared" si="43"/>
        <v>-5.6965944272445483</v>
      </c>
      <c r="Q35" s="351">
        <f>N35/K35</f>
        <v>0.954901960784314</v>
      </c>
      <c r="R35" s="442"/>
      <c r="S35" s="28">
        <v>0.69999999999999973</v>
      </c>
      <c r="T35" s="28">
        <v>0.73541666666666639</v>
      </c>
      <c r="U35" s="346">
        <f t="shared" si="48"/>
        <v>5.9999999999999787</v>
      </c>
      <c r="V35" s="356">
        <f t="shared" si="45"/>
        <v>50.999999999999979</v>
      </c>
      <c r="W35" s="16"/>
      <c r="X35" s="16"/>
      <c r="Y35" s="447"/>
      <c r="Z35" s="448"/>
      <c r="AA35" s="12">
        <f t="shared" si="2"/>
        <v>-108.23529411764639</v>
      </c>
      <c r="AB35" s="351">
        <f t="shared" si="47"/>
        <v>0.954901960784314</v>
      </c>
      <c r="AC35" s="442"/>
    </row>
    <row r="36" spans="1:29" ht="15.75" customHeight="1">
      <c r="A36" s="463" t="s">
        <v>1751</v>
      </c>
      <c r="B36" s="31" t="s">
        <v>67</v>
      </c>
      <c r="C36" s="465" t="s">
        <v>101</v>
      </c>
      <c r="D36" s="466"/>
      <c r="E36" s="31">
        <v>25</v>
      </c>
      <c r="F36" s="357">
        <v>2260</v>
      </c>
      <c r="G36" s="346">
        <f t="shared" si="39"/>
        <v>56500</v>
      </c>
      <c r="H36" s="359" t="s">
        <v>103</v>
      </c>
      <c r="I36" s="355">
        <v>15</v>
      </c>
      <c r="J36" s="26">
        <v>2400</v>
      </c>
      <c r="K36" s="10">
        <f t="shared" si="46"/>
        <v>160</v>
      </c>
      <c r="L36" s="355">
        <v>15</v>
      </c>
      <c r="M36" s="11">
        <f t="shared" si="40"/>
        <v>2298.3050847457644</v>
      </c>
      <c r="N36" s="10">
        <f t="shared" si="41"/>
        <v>153.22033898305096</v>
      </c>
      <c r="O36" s="12">
        <f t="shared" si="42"/>
        <v>0</v>
      </c>
      <c r="P36" s="13">
        <f t="shared" si="43"/>
        <v>-6.779661016949035</v>
      </c>
      <c r="Q36" s="351">
        <f t="shared" ref="Q36" si="50">N36/K36</f>
        <v>0.95762711864406858</v>
      </c>
      <c r="R36" s="442"/>
      <c r="S36" s="28">
        <v>0.7388888888888886</v>
      </c>
      <c r="T36" s="28">
        <v>0.77986111111111078</v>
      </c>
      <c r="U36" s="346">
        <f t="shared" si="48"/>
        <v>4.9999999999999822</v>
      </c>
      <c r="V36" s="356">
        <f t="shared" si="45"/>
        <v>58.99999999999995</v>
      </c>
      <c r="W36" s="16"/>
      <c r="X36" s="16"/>
      <c r="Y36" s="447"/>
      <c r="Z36" s="448"/>
      <c r="AA36" s="12">
        <f t="shared" si="2"/>
        <v>-101.69491525423564</v>
      </c>
      <c r="AB36" s="351">
        <f t="shared" si="47"/>
        <v>0.95762711864406846</v>
      </c>
      <c r="AC36" s="442"/>
    </row>
    <row r="37" spans="1:29" ht="15.75" customHeight="1">
      <c r="A37" s="463" t="s">
        <v>1751</v>
      </c>
      <c r="B37" s="31" t="s">
        <v>1678</v>
      </c>
      <c r="C37" s="446"/>
      <c r="D37" s="446"/>
      <c r="E37" s="345"/>
      <c r="F37" s="357"/>
      <c r="G37" s="346"/>
      <c r="H37" s="357"/>
      <c r="I37" s="19">
        <v>18.181818181818183</v>
      </c>
      <c r="J37" s="26">
        <v>2400</v>
      </c>
      <c r="K37" s="10">
        <f t="shared" si="46"/>
        <v>132</v>
      </c>
      <c r="L37" s="19">
        <v>18.181818181818183</v>
      </c>
      <c r="M37" s="11">
        <f>AVERAGE(M26:M36)</f>
        <v>2296.0025932086364</v>
      </c>
      <c r="N37" s="10">
        <f>M37/L37</f>
        <v>126.280142626475</v>
      </c>
      <c r="O37" s="12">
        <f>L37-I37</f>
        <v>0</v>
      </c>
      <c r="P37" s="13">
        <f>N37-K37</f>
        <v>-5.7198573735250022</v>
      </c>
      <c r="Q37" s="351">
        <f>N37/K37</f>
        <v>0.95666774717026515</v>
      </c>
      <c r="R37" s="442"/>
      <c r="S37" s="28"/>
      <c r="T37" s="28"/>
      <c r="U37" s="346"/>
      <c r="V37" s="356"/>
      <c r="W37" s="346"/>
      <c r="X37" s="346"/>
      <c r="Y37" s="443"/>
      <c r="Z37" s="443"/>
      <c r="AA37" s="12">
        <f t="shared" si="2"/>
        <v>-103.99740679136357</v>
      </c>
      <c r="AB37" s="351">
        <f>M37/J37</f>
        <v>0.95666774717026515</v>
      </c>
      <c r="AC37" s="442"/>
    </row>
    <row r="38" spans="1:29" ht="15.75" customHeight="1">
      <c r="A38" s="461" t="s">
        <v>1675</v>
      </c>
      <c r="B38" s="31" t="s">
        <v>67</v>
      </c>
      <c r="C38" s="441" t="s">
        <v>73</v>
      </c>
      <c r="D38" s="441"/>
      <c r="E38" s="31">
        <v>26.2</v>
      </c>
      <c r="F38" s="357">
        <v>5000</v>
      </c>
      <c r="G38" s="346">
        <f t="shared" ref="G38:G45" si="51">E38*F38</f>
        <v>131000</v>
      </c>
      <c r="H38" s="359">
        <v>2</v>
      </c>
      <c r="I38" s="355">
        <v>18</v>
      </c>
      <c r="J38" s="26">
        <v>2400</v>
      </c>
      <c r="K38" s="10">
        <f>J38/I38</f>
        <v>133.33333333333334</v>
      </c>
      <c r="L38" s="355">
        <v>18</v>
      </c>
      <c r="M38" s="11">
        <f>F38/V38*60</f>
        <v>2290.0763358778627</v>
      </c>
      <c r="N38" s="10">
        <f>M38/L38</f>
        <v>127.2264631043257</v>
      </c>
      <c r="O38" s="12">
        <f t="shared" ref="O38:O52" si="52">L38-I38</f>
        <v>0</v>
      </c>
      <c r="P38" s="13">
        <f t="shared" ref="P38:P53" si="53">N38-K38</f>
        <v>-6.1068702290076402</v>
      </c>
      <c r="Q38" s="351">
        <f t="shared" ref="Q38:Q53" si="54">N38/K38</f>
        <v>0.95419847328244267</v>
      </c>
      <c r="R38" s="442">
        <f>Q46</f>
        <v>0.95681401988574666</v>
      </c>
      <c r="S38" s="28">
        <v>8.3333333333333329E-2</v>
      </c>
      <c r="T38" s="28">
        <v>0.17430555555555555</v>
      </c>
      <c r="U38" s="346"/>
      <c r="V38" s="356">
        <f t="shared" ref="V38:V45" si="55">(T38-S38)*24*60</f>
        <v>131</v>
      </c>
      <c r="W38" s="18">
        <f>T38</f>
        <v>0.17430555555555555</v>
      </c>
      <c r="X38" s="18">
        <f>S39</f>
        <v>0.19166666666666662</v>
      </c>
      <c r="Y38" s="443"/>
      <c r="Z38" s="443"/>
      <c r="AA38" s="12">
        <f t="shared" si="2"/>
        <v>-109.92366412213732</v>
      </c>
      <c r="AB38" s="351">
        <f>M38/J38</f>
        <v>0.95419847328244278</v>
      </c>
      <c r="AC38" s="442">
        <f>AB46</f>
        <v>0.95681401988574677</v>
      </c>
    </row>
    <row r="39" spans="1:29" ht="15.75" customHeight="1">
      <c r="A39" s="461" t="s">
        <v>1675</v>
      </c>
      <c r="B39" s="31" t="s">
        <v>67</v>
      </c>
      <c r="C39" s="441" t="s">
        <v>75</v>
      </c>
      <c r="D39" s="441"/>
      <c r="E39" s="31">
        <v>26.39</v>
      </c>
      <c r="F39" s="357">
        <v>4200</v>
      </c>
      <c r="G39" s="346">
        <f t="shared" si="51"/>
        <v>110838</v>
      </c>
      <c r="H39" s="359">
        <v>2</v>
      </c>
      <c r="I39" s="355">
        <v>19</v>
      </c>
      <c r="J39" s="26">
        <v>2400</v>
      </c>
      <c r="K39" s="10">
        <f t="shared" ref="K39:K52" si="56">J39/I39</f>
        <v>126.31578947368421</v>
      </c>
      <c r="L39" s="355">
        <v>19</v>
      </c>
      <c r="M39" s="11">
        <f t="shared" ref="M39:M45" si="57">F39/V39*60</f>
        <v>2290.9090909090914</v>
      </c>
      <c r="N39" s="10">
        <f t="shared" ref="N39:N53" si="58">M39/L39</f>
        <v>120.57416267942587</v>
      </c>
      <c r="O39" s="12">
        <f t="shared" si="52"/>
        <v>0</v>
      </c>
      <c r="P39" s="13">
        <f t="shared" si="53"/>
        <v>-5.7416267942583374</v>
      </c>
      <c r="Q39" s="351">
        <f t="shared" si="54"/>
        <v>0.95454545454545481</v>
      </c>
      <c r="R39" s="442"/>
      <c r="S39" s="28">
        <v>0.19166666666666662</v>
      </c>
      <c r="T39" s="28">
        <v>0.26805555555555549</v>
      </c>
      <c r="U39" s="346">
        <f>(S39-T38)*24*60</f>
        <v>24.99999999999995</v>
      </c>
      <c r="V39" s="356">
        <f t="shared" si="55"/>
        <v>109.99999999999997</v>
      </c>
      <c r="W39" s="346"/>
      <c r="X39" s="346"/>
      <c r="Y39" s="443"/>
      <c r="Z39" s="443"/>
      <c r="AA39" s="12">
        <f t="shared" si="2"/>
        <v>-109.09090909090855</v>
      </c>
      <c r="AB39" s="351">
        <f t="shared" ref="AB39:AB65" si="59">M39/J39</f>
        <v>0.95454545454545481</v>
      </c>
      <c r="AC39" s="442"/>
    </row>
    <row r="40" spans="1:29">
      <c r="A40" s="462" t="s">
        <v>1675</v>
      </c>
      <c r="B40" s="31" t="s">
        <v>67</v>
      </c>
      <c r="C40" s="441" t="s">
        <v>1167</v>
      </c>
      <c r="D40" s="441"/>
      <c r="E40" s="31">
        <v>24.43</v>
      </c>
      <c r="F40" s="357">
        <v>5400</v>
      </c>
      <c r="G40" s="346">
        <f t="shared" si="51"/>
        <v>131922</v>
      </c>
      <c r="H40" s="359">
        <v>2</v>
      </c>
      <c r="I40" s="355">
        <v>15</v>
      </c>
      <c r="J40" s="26">
        <v>2400</v>
      </c>
      <c r="K40" s="10">
        <f t="shared" si="56"/>
        <v>160</v>
      </c>
      <c r="L40" s="355">
        <v>15</v>
      </c>
      <c r="M40" s="11">
        <f t="shared" si="57"/>
        <v>2297.8723404255325</v>
      </c>
      <c r="N40" s="10">
        <f t="shared" si="58"/>
        <v>153.19148936170217</v>
      </c>
      <c r="O40" s="12">
        <f t="shared" si="52"/>
        <v>0</v>
      </c>
      <c r="P40" s="13">
        <f t="shared" si="53"/>
        <v>-6.8085106382978324</v>
      </c>
      <c r="Q40" s="351">
        <f t="shared" si="54"/>
        <v>0.95744680851063857</v>
      </c>
      <c r="R40" s="442"/>
      <c r="S40" s="28">
        <v>0.27291666666666659</v>
      </c>
      <c r="T40" s="28">
        <v>0.37083333333333324</v>
      </c>
      <c r="U40" s="346">
        <f t="shared" ref="U40:U45" si="60">(S40-T39)*24*60</f>
        <v>6.9999999999999751</v>
      </c>
      <c r="V40" s="356">
        <f t="shared" si="55"/>
        <v>140.99999999999997</v>
      </c>
      <c r="W40" s="346"/>
      <c r="X40" s="346"/>
      <c r="Y40" s="443"/>
      <c r="Z40" s="443"/>
      <c r="AA40" s="12">
        <f t="shared" si="2"/>
        <v>-102.12765957446754</v>
      </c>
      <c r="AB40" s="351">
        <f t="shared" si="59"/>
        <v>0.95744680851063857</v>
      </c>
      <c r="AC40" s="442"/>
    </row>
    <row r="41" spans="1:29">
      <c r="A41" s="462" t="s">
        <v>1675</v>
      </c>
      <c r="B41" s="31" t="s">
        <v>67</v>
      </c>
      <c r="C41" s="441" t="s">
        <v>1616</v>
      </c>
      <c r="D41" s="441"/>
      <c r="E41" s="31">
        <v>24.25</v>
      </c>
      <c r="F41" s="357">
        <v>4600</v>
      </c>
      <c r="G41" s="346">
        <f t="shared" si="51"/>
        <v>111550</v>
      </c>
      <c r="H41" s="359">
        <v>2</v>
      </c>
      <c r="I41" s="355">
        <v>14</v>
      </c>
      <c r="J41" s="26">
        <v>2400</v>
      </c>
      <c r="K41" s="10">
        <f t="shared" si="56"/>
        <v>171.42857142857142</v>
      </c>
      <c r="L41" s="355">
        <v>14</v>
      </c>
      <c r="M41" s="11">
        <f t="shared" si="57"/>
        <v>2300.0000000000005</v>
      </c>
      <c r="N41" s="10">
        <f t="shared" si="58"/>
        <v>164.28571428571431</v>
      </c>
      <c r="O41" s="12">
        <f t="shared" si="52"/>
        <v>0</v>
      </c>
      <c r="P41" s="13">
        <f t="shared" si="53"/>
        <v>-7.1428571428571104</v>
      </c>
      <c r="Q41" s="351">
        <f t="shared" si="54"/>
        <v>0.95833333333333348</v>
      </c>
      <c r="R41" s="442"/>
      <c r="S41" s="28">
        <v>0.37499999999999989</v>
      </c>
      <c r="T41" s="28">
        <v>0.4583333333333332</v>
      </c>
      <c r="U41" s="346">
        <f t="shared" si="60"/>
        <v>5.9999999999999787</v>
      </c>
      <c r="V41" s="356">
        <f t="shared" si="55"/>
        <v>119.99999999999997</v>
      </c>
      <c r="W41" s="16"/>
      <c r="X41" s="16"/>
      <c r="Y41" s="443"/>
      <c r="Z41" s="443"/>
      <c r="AA41" s="12">
        <f t="shared" si="2"/>
        <v>-99.999999999999545</v>
      </c>
      <c r="AB41" s="351">
        <f t="shared" si="59"/>
        <v>0.95833333333333348</v>
      </c>
      <c r="AC41" s="442"/>
    </row>
    <row r="42" spans="1:29">
      <c r="A42" s="462" t="s">
        <v>1675</v>
      </c>
      <c r="B42" s="31" t="s">
        <v>67</v>
      </c>
      <c r="C42" s="441" t="s">
        <v>78</v>
      </c>
      <c r="D42" s="441"/>
      <c r="E42" s="31">
        <v>25.98</v>
      </c>
      <c r="F42" s="357">
        <v>2710</v>
      </c>
      <c r="G42" s="346">
        <f t="shared" si="51"/>
        <v>70405.8</v>
      </c>
      <c r="H42" s="359" t="s">
        <v>103</v>
      </c>
      <c r="I42" s="355">
        <v>17</v>
      </c>
      <c r="J42" s="26">
        <v>2400</v>
      </c>
      <c r="K42" s="10">
        <f t="shared" si="56"/>
        <v>141.1764705882353</v>
      </c>
      <c r="L42" s="355">
        <v>17</v>
      </c>
      <c r="M42" s="11">
        <f t="shared" si="57"/>
        <v>2290.140845070423</v>
      </c>
      <c r="N42" s="10">
        <f t="shared" si="58"/>
        <v>134.71416735708371</v>
      </c>
      <c r="O42" s="12">
        <f t="shared" si="52"/>
        <v>0</v>
      </c>
      <c r="P42" s="13">
        <f t="shared" si="53"/>
        <v>-6.4623032311515942</v>
      </c>
      <c r="Q42" s="351">
        <f t="shared" si="54"/>
        <v>0.95422535211267623</v>
      </c>
      <c r="R42" s="442"/>
      <c r="S42" s="28">
        <v>0.46249999999999986</v>
      </c>
      <c r="T42" s="28">
        <v>0.5118055555555554</v>
      </c>
      <c r="U42" s="346">
        <f t="shared" si="60"/>
        <v>5.9999999999999787</v>
      </c>
      <c r="V42" s="356">
        <f t="shared" si="55"/>
        <v>70.999999999999986</v>
      </c>
      <c r="W42" s="16">
        <f>T42</f>
        <v>0.5118055555555554</v>
      </c>
      <c r="X42" s="16">
        <f>S43</f>
        <v>0.55208333333333315</v>
      </c>
      <c r="Y42" s="443"/>
      <c r="Z42" s="443"/>
      <c r="AA42" s="12">
        <f t="shared" si="2"/>
        <v>-109.85915492957702</v>
      </c>
      <c r="AB42" s="351">
        <f t="shared" si="59"/>
        <v>0.95422535211267623</v>
      </c>
      <c r="AC42" s="442"/>
    </row>
    <row r="43" spans="1:29">
      <c r="A43" s="462" t="s">
        <v>1675</v>
      </c>
      <c r="B43" s="31" t="s">
        <v>67</v>
      </c>
      <c r="C43" s="441" t="s">
        <v>73</v>
      </c>
      <c r="D43" s="441"/>
      <c r="E43" s="31">
        <v>26.2</v>
      </c>
      <c r="F43" s="357">
        <v>2852</v>
      </c>
      <c r="G43" s="346">
        <f t="shared" si="51"/>
        <v>74722.399999999994</v>
      </c>
      <c r="H43" s="359" t="s">
        <v>103</v>
      </c>
      <c r="I43" s="355">
        <v>18</v>
      </c>
      <c r="J43" s="26">
        <v>2400</v>
      </c>
      <c r="K43" s="10">
        <f t="shared" si="56"/>
        <v>133.33333333333334</v>
      </c>
      <c r="L43" s="355">
        <v>18</v>
      </c>
      <c r="M43" s="11">
        <f t="shared" si="57"/>
        <v>2312.4324324324307</v>
      </c>
      <c r="N43" s="10">
        <f t="shared" si="58"/>
        <v>128.46846846846836</v>
      </c>
      <c r="O43" s="12">
        <f t="shared" si="52"/>
        <v>0</v>
      </c>
      <c r="P43" s="13">
        <f t="shared" si="53"/>
        <v>-4.8648648648649839</v>
      </c>
      <c r="Q43" s="351">
        <f t="shared" si="54"/>
        <v>0.96351351351351266</v>
      </c>
      <c r="R43" s="442"/>
      <c r="S43" s="28">
        <v>0.55208333333333315</v>
      </c>
      <c r="T43" s="28">
        <v>0.60347222222222208</v>
      </c>
      <c r="U43" s="346">
        <f t="shared" si="60"/>
        <v>57.999999999999957</v>
      </c>
      <c r="V43" s="356">
        <f t="shared" si="55"/>
        <v>74.000000000000057</v>
      </c>
      <c r="W43" s="16"/>
      <c r="X43" s="16"/>
      <c r="Y43" s="443"/>
      <c r="Z43" s="443"/>
      <c r="AA43" s="12">
        <f t="shared" si="2"/>
        <v>-87.567567567569313</v>
      </c>
      <c r="AB43" s="351">
        <f t="shared" si="59"/>
        <v>0.96351351351351278</v>
      </c>
      <c r="AC43" s="442"/>
    </row>
    <row r="44" spans="1:29">
      <c r="A44" s="462" t="s">
        <v>1675</v>
      </c>
      <c r="B44" s="31" t="s">
        <v>67</v>
      </c>
      <c r="C44" s="441" t="s">
        <v>1167</v>
      </c>
      <c r="D44" s="441"/>
      <c r="E44" s="31">
        <v>24.43</v>
      </c>
      <c r="F44" s="357">
        <v>4037</v>
      </c>
      <c r="G44" s="346">
        <f t="shared" si="51"/>
        <v>98623.91</v>
      </c>
      <c r="H44" s="359" t="s">
        <v>103</v>
      </c>
      <c r="I44" s="355">
        <v>15</v>
      </c>
      <c r="J44" s="26">
        <v>2400</v>
      </c>
      <c r="K44" s="10">
        <f t="shared" si="56"/>
        <v>160</v>
      </c>
      <c r="L44" s="355">
        <v>15</v>
      </c>
      <c r="M44" s="11">
        <f t="shared" si="57"/>
        <v>2285.094339622643</v>
      </c>
      <c r="N44" s="10">
        <f t="shared" si="58"/>
        <v>152.33962264150952</v>
      </c>
      <c r="O44" s="12">
        <f t="shared" si="52"/>
        <v>0</v>
      </c>
      <c r="P44" s="13">
        <f t="shared" si="53"/>
        <v>-7.6603773584904786</v>
      </c>
      <c r="Q44" s="351">
        <f t="shared" si="54"/>
        <v>0.95212264150943449</v>
      </c>
      <c r="R44" s="442"/>
      <c r="S44" s="28">
        <v>0.60833333333333317</v>
      </c>
      <c r="T44" s="28">
        <v>0.68194444444444424</v>
      </c>
      <c r="U44" s="346">
        <f t="shared" si="60"/>
        <v>6.9999999999999751</v>
      </c>
      <c r="V44" s="356">
        <f t="shared" si="55"/>
        <v>105.99999999999994</v>
      </c>
      <c r="W44" s="16"/>
      <c r="X44" s="16"/>
      <c r="Y44" s="447"/>
      <c r="Z44" s="448"/>
      <c r="AA44" s="12">
        <f t="shared" si="2"/>
        <v>-114.90566037735698</v>
      </c>
      <c r="AB44" s="351">
        <f t="shared" si="59"/>
        <v>0.9521226415094346</v>
      </c>
      <c r="AC44" s="442"/>
    </row>
    <row r="45" spans="1:29">
      <c r="A45" s="462" t="s">
        <v>1675</v>
      </c>
      <c r="B45" s="31" t="s">
        <v>67</v>
      </c>
      <c r="C45" s="441" t="s">
        <v>75</v>
      </c>
      <c r="D45" s="441"/>
      <c r="E45" s="31">
        <v>26.39</v>
      </c>
      <c r="F45" s="357">
        <v>3034</v>
      </c>
      <c r="G45" s="346">
        <f t="shared" si="51"/>
        <v>80067.259999999995</v>
      </c>
      <c r="H45" s="359" t="s">
        <v>103</v>
      </c>
      <c r="I45" s="355">
        <v>19</v>
      </c>
      <c r="J45" s="26">
        <v>2400</v>
      </c>
      <c r="K45" s="10">
        <f t="shared" si="56"/>
        <v>126.31578947368421</v>
      </c>
      <c r="L45" s="355">
        <v>19</v>
      </c>
      <c r="M45" s="11">
        <f t="shared" si="57"/>
        <v>2304.3037974683534</v>
      </c>
      <c r="N45" s="10">
        <f t="shared" si="58"/>
        <v>121.2791472351765</v>
      </c>
      <c r="O45" s="12">
        <f t="shared" si="52"/>
        <v>0</v>
      </c>
      <c r="P45" s="13">
        <f t="shared" si="53"/>
        <v>-5.0366422385077101</v>
      </c>
      <c r="Q45" s="351">
        <f t="shared" si="54"/>
        <v>0.96012658227848058</v>
      </c>
      <c r="R45" s="442"/>
      <c r="S45" s="28">
        <v>0.68611111111111089</v>
      </c>
      <c r="T45" s="28">
        <v>0.74097222222222203</v>
      </c>
      <c r="U45" s="346">
        <f t="shared" si="60"/>
        <v>5.9999999999999787</v>
      </c>
      <c r="V45" s="356">
        <f t="shared" si="55"/>
        <v>79.000000000000043</v>
      </c>
      <c r="W45" s="16"/>
      <c r="X45" s="16"/>
      <c r="Y45" s="447"/>
      <c r="Z45" s="448"/>
      <c r="AA45" s="12">
        <f t="shared" si="2"/>
        <v>-95.696202531646577</v>
      </c>
      <c r="AB45" s="351">
        <f t="shared" si="59"/>
        <v>0.96012658227848058</v>
      </c>
      <c r="AC45" s="442"/>
    </row>
    <row r="46" spans="1:29">
      <c r="A46" s="462" t="s">
        <v>1675</v>
      </c>
      <c r="B46" s="33" t="s">
        <v>1678</v>
      </c>
      <c r="C46" s="446"/>
      <c r="D46" s="446"/>
      <c r="E46" s="345"/>
      <c r="F46" s="33"/>
      <c r="G46" s="10"/>
      <c r="H46" s="357"/>
      <c r="I46" s="19">
        <v>16.875</v>
      </c>
      <c r="J46" s="26">
        <v>2400</v>
      </c>
      <c r="K46" s="10">
        <f t="shared" si="56"/>
        <v>142.22222222222223</v>
      </c>
      <c r="L46" s="19">
        <v>16.875</v>
      </c>
      <c r="M46" s="11">
        <f>AVERAGE(M38:M45)</f>
        <v>2296.3536477257921</v>
      </c>
      <c r="N46" s="10">
        <f>M46/L46</f>
        <v>136.08021616152843</v>
      </c>
      <c r="O46" s="12">
        <f>L46-I46</f>
        <v>0</v>
      </c>
      <c r="P46" s="13">
        <f t="shared" si="53"/>
        <v>-6.1420060606938023</v>
      </c>
      <c r="Q46" s="351">
        <f t="shared" si="54"/>
        <v>0.95681401988574666</v>
      </c>
      <c r="R46" s="442"/>
      <c r="S46" s="28"/>
      <c r="T46" s="28"/>
      <c r="U46" s="10"/>
      <c r="V46" s="356"/>
      <c r="W46" s="10"/>
      <c r="X46" s="10"/>
      <c r="Y46" s="443"/>
      <c r="Z46" s="443"/>
      <c r="AA46" s="12">
        <f t="shared" si="2"/>
        <v>-103.64635227420786</v>
      </c>
      <c r="AB46" s="351">
        <f t="shared" si="59"/>
        <v>0.95681401988574677</v>
      </c>
      <c r="AC46" s="442"/>
    </row>
    <row r="47" spans="1:29" ht="15.75" customHeight="1">
      <c r="A47" s="453" t="s">
        <v>1679</v>
      </c>
      <c r="B47" s="31" t="s">
        <v>79</v>
      </c>
      <c r="C47" s="444" t="s">
        <v>80</v>
      </c>
      <c r="D47" s="445"/>
      <c r="E47" s="31">
        <v>21.13</v>
      </c>
      <c r="F47" s="357">
        <v>6027</v>
      </c>
      <c r="G47" s="357">
        <f t="shared" ref="G47:G52" si="61">E47*F47</f>
        <v>127350.51</v>
      </c>
      <c r="H47" s="359" t="s">
        <v>103</v>
      </c>
      <c r="I47" s="19">
        <v>10</v>
      </c>
      <c r="J47" s="26">
        <v>3000</v>
      </c>
      <c r="K47" s="33">
        <f t="shared" si="56"/>
        <v>300</v>
      </c>
      <c r="L47" s="19">
        <v>10</v>
      </c>
      <c r="M47" s="26">
        <f t="shared" ref="M47:M52" si="62">F47/V47*60</f>
        <v>2870</v>
      </c>
      <c r="N47" s="33">
        <f t="shared" si="58"/>
        <v>287</v>
      </c>
      <c r="O47" s="379">
        <f t="shared" si="52"/>
        <v>0</v>
      </c>
      <c r="P47" s="380">
        <f t="shared" si="53"/>
        <v>-13</v>
      </c>
      <c r="Q47" s="381">
        <f t="shared" si="54"/>
        <v>0.95666666666666667</v>
      </c>
      <c r="R47" s="456">
        <f>Q53</f>
        <v>0.95729150954607578</v>
      </c>
      <c r="S47" s="28">
        <v>8.3333333333333329E-2</v>
      </c>
      <c r="T47" s="28">
        <v>0.17083333333333334</v>
      </c>
      <c r="U47" s="346"/>
      <c r="V47" s="356">
        <f t="shared" ref="V47:V59" si="63">(T47-S47)*24*60</f>
        <v>126</v>
      </c>
      <c r="W47" s="16">
        <f>T47</f>
        <v>0.17083333333333334</v>
      </c>
      <c r="X47" s="16">
        <f>S48</f>
        <v>0.19097222222222224</v>
      </c>
      <c r="Y47" s="447"/>
      <c r="Z47" s="448"/>
      <c r="AA47" s="12">
        <f t="shared" si="2"/>
        <v>-130</v>
      </c>
      <c r="AB47" s="351">
        <f t="shared" si="59"/>
        <v>0.95666666666666667</v>
      </c>
      <c r="AC47" s="456">
        <f>AB53</f>
        <v>0.95729150954607578</v>
      </c>
    </row>
    <row r="48" spans="1:29" ht="15.75" customHeight="1">
      <c r="A48" s="454" t="s">
        <v>1679</v>
      </c>
      <c r="B48" s="31" t="s">
        <v>79</v>
      </c>
      <c r="C48" s="444" t="s">
        <v>81</v>
      </c>
      <c r="D48" s="445"/>
      <c r="E48" s="31">
        <v>27.17</v>
      </c>
      <c r="F48" s="357">
        <v>7698</v>
      </c>
      <c r="G48" s="357">
        <f t="shared" si="61"/>
        <v>209154.66</v>
      </c>
      <c r="H48" s="359" t="s">
        <v>103</v>
      </c>
      <c r="I48" s="19">
        <v>10</v>
      </c>
      <c r="J48" s="26">
        <v>3000</v>
      </c>
      <c r="K48" s="33">
        <f t="shared" si="56"/>
        <v>300</v>
      </c>
      <c r="L48" s="19">
        <v>10</v>
      </c>
      <c r="M48" s="26">
        <f t="shared" si="62"/>
        <v>2851.1111111111113</v>
      </c>
      <c r="N48" s="33">
        <f t="shared" si="58"/>
        <v>285.11111111111114</v>
      </c>
      <c r="O48" s="379">
        <f t="shared" si="52"/>
        <v>0</v>
      </c>
      <c r="P48" s="380">
        <f t="shared" si="53"/>
        <v>-14.888888888888857</v>
      </c>
      <c r="Q48" s="381">
        <f t="shared" si="54"/>
        <v>0.95037037037037042</v>
      </c>
      <c r="R48" s="457"/>
      <c r="S48" s="28">
        <v>0.19097222222222224</v>
      </c>
      <c r="T48" s="28">
        <v>0.30347222222222225</v>
      </c>
      <c r="U48" s="346">
        <f>(S48-T47)*24*60</f>
        <v>29.000000000000018</v>
      </c>
      <c r="V48" s="356">
        <f t="shared" si="63"/>
        <v>162</v>
      </c>
      <c r="W48" s="16"/>
      <c r="X48" s="16"/>
      <c r="Y48" s="447"/>
      <c r="Z48" s="448"/>
      <c r="AA48" s="12">
        <f t="shared" si="2"/>
        <v>-148.88888888888869</v>
      </c>
      <c r="AB48" s="351">
        <f t="shared" si="59"/>
        <v>0.95037037037037042</v>
      </c>
      <c r="AC48" s="457"/>
    </row>
    <row r="49" spans="1:29" ht="15.75" customHeight="1">
      <c r="A49" s="454" t="s">
        <v>1679</v>
      </c>
      <c r="B49" s="31" t="s">
        <v>79</v>
      </c>
      <c r="C49" s="444" t="s">
        <v>82</v>
      </c>
      <c r="D49" s="445"/>
      <c r="E49" s="31">
        <v>35.119999999999997</v>
      </c>
      <c r="F49" s="357">
        <v>5287</v>
      </c>
      <c r="G49" s="357">
        <f t="shared" si="61"/>
        <v>185679.43999999997</v>
      </c>
      <c r="H49" s="359" t="s">
        <v>103</v>
      </c>
      <c r="I49" s="19">
        <v>10</v>
      </c>
      <c r="J49" s="26">
        <v>3000</v>
      </c>
      <c r="K49" s="33">
        <f t="shared" si="56"/>
        <v>300</v>
      </c>
      <c r="L49" s="19">
        <v>10</v>
      </c>
      <c r="M49" s="26">
        <f>F49/V49*60</f>
        <v>2857.8378378378379</v>
      </c>
      <c r="N49" s="33">
        <f t="shared" si="58"/>
        <v>285.7837837837838</v>
      </c>
      <c r="O49" s="379">
        <f t="shared" si="52"/>
        <v>0</v>
      </c>
      <c r="P49" s="380">
        <f t="shared" si="53"/>
        <v>-14.216216216216196</v>
      </c>
      <c r="Q49" s="381">
        <f t="shared" si="54"/>
        <v>0.95261261261261265</v>
      </c>
      <c r="R49" s="457"/>
      <c r="S49" s="28">
        <v>0.30763888888888891</v>
      </c>
      <c r="T49" s="28">
        <v>0.38472222222222224</v>
      </c>
      <c r="U49" s="346">
        <f t="shared" ref="U49:U54" si="64">(S49-T48)*24*60</f>
        <v>5.9999999999999787</v>
      </c>
      <c r="V49" s="356">
        <f t="shared" si="63"/>
        <v>111</v>
      </c>
      <c r="W49" s="16"/>
      <c r="X49" s="16"/>
      <c r="Y49" s="447"/>
      <c r="Z49" s="448"/>
      <c r="AA49" s="12">
        <f t="shared" si="2"/>
        <v>-142.16216216216208</v>
      </c>
      <c r="AB49" s="351">
        <f t="shared" si="59"/>
        <v>0.95261261261261265</v>
      </c>
      <c r="AC49" s="457"/>
    </row>
    <row r="50" spans="1:29" ht="15.75" customHeight="1">
      <c r="A50" s="454" t="s">
        <v>1679</v>
      </c>
      <c r="B50" s="31" t="s">
        <v>79</v>
      </c>
      <c r="C50" s="444" t="s">
        <v>85</v>
      </c>
      <c r="D50" s="445"/>
      <c r="E50" s="31">
        <v>35.869999999999997</v>
      </c>
      <c r="F50" s="357">
        <v>3498</v>
      </c>
      <c r="G50" s="357">
        <f t="shared" si="61"/>
        <v>125473.26</v>
      </c>
      <c r="H50" s="359" t="s">
        <v>103</v>
      </c>
      <c r="I50" s="19">
        <v>10</v>
      </c>
      <c r="J50" s="26">
        <v>3000</v>
      </c>
      <c r="K50" s="33">
        <f t="shared" si="56"/>
        <v>300</v>
      </c>
      <c r="L50" s="19">
        <v>10</v>
      </c>
      <c r="M50" s="26">
        <f t="shared" si="62"/>
        <v>2875.0684931506853</v>
      </c>
      <c r="N50" s="33">
        <f t="shared" si="58"/>
        <v>287.50684931506851</v>
      </c>
      <c r="O50" s="379">
        <f t="shared" si="52"/>
        <v>0</v>
      </c>
      <c r="P50" s="380">
        <f t="shared" si="53"/>
        <v>-12.493150684931493</v>
      </c>
      <c r="Q50" s="381">
        <f t="shared" si="54"/>
        <v>0.95835616438356164</v>
      </c>
      <c r="R50" s="457"/>
      <c r="S50" s="28">
        <v>0.39027777777777778</v>
      </c>
      <c r="T50" s="28">
        <v>0.44097222222222221</v>
      </c>
      <c r="U50" s="346">
        <f t="shared" si="64"/>
        <v>7.9999999999999716</v>
      </c>
      <c r="V50" s="356">
        <f t="shared" si="63"/>
        <v>72.999999999999986</v>
      </c>
      <c r="W50" s="16"/>
      <c r="X50" s="16"/>
      <c r="Y50" s="447"/>
      <c r="Z50" s="448"/>
      <c r="AA50" s="12">
        <f t="shared" si="2"/>
        <v>-124.9315068493147</v>
      </c>
      <c r="AB50" s="351">
        <f t="shared" si="59"/>
        <v>0.95835616438356175</v>
      </c>
      <c r="AC50" s="457"/>
    </row>
    <row r="51" spans="1:29" ht="15.75" customHeight="1">
      <c r="A51" s="454" t="s">
        <v>1679</v>
      </c>
      <c r="B51" s="31" t="s">
        <v>79</v>
      </c>
      <c r="C51" s="444" t="s">
        <v>86</v>
      </c>
      <c r="D51" s="445"/>
      <c r="E51" s="31">
        <v>36.14</v>
      </c>
      <c r="F51" s="357">
        <v>2310</v>
      </c>
      <c r="G51" s="357">
        <f t="shared" si="61"/>
        <v>83483.399999999994</v>
      </c>
      <c r="H51" s="359" t="s">
        <v>103</v>
      </c>
      <c r="I51" s="19">
        <v>8</v>
      </c>
      <c r="J51" s="26">
        <v>3000</v>
      </c>
      <c r="K51" s="33">
        <f t="shared" si="56"/>
        <v>375</v>
      </c>
      <c r="L51" s="19">
        <v>8</v>
      </c>
      <c r="M51" s="26">
        <f t="shared" si="62"/>
        <v>2887.5000000000009</v>
      </c>
      <c r="N51" s="33">
        <f t="shared" si="58"/>
        <v>360.93750000000011</v>
      </c>
      <c r="O51" s="379">
        <f t="shared" si="52"/>
        <v>0</v>
      </c>
      <c r="P51" s="380">
        <f t="shared" si="53"/>
        <v>-14.062499999999886</v>
      </c>
      <c r="Q51" s="381">
        <f t="shared" si="54"/>
        <v>0.96250000000000036</v>
      </c>
      <c r="R51" s="457"/>
      <c r="S51" s="28">
        <v>0.44513888888888886</v>
      </c>
      <c r="T51" s="28">
        <v>0.47847222222222219</v>
      </c>
      <c r="U51" s="346">
        <f t="shared" si="64"/>
        <v>5.9999999999999787</v>
      </c>
      <c r="V51" s="356">
        <f t="shared" si="63"/>
        <v>47.999999999999986</v>
      </c>
      <c r="W51" s="16"/>
      <c r="X51" s="16"/>
      <c r="Y51" s="447"/>
      <c r="Z51" s="448"/>
      <c r="AA51" s="12">
        <f t="shared" si="2"/>
        <v>-112.49999999999909</v>
      </c>
      <c r="AB51" s="351">
        <f t="shared" si="59"/>
        <v>0.96250000000000036</v>
      </c>
      <c r="AC51" s="457"/>
    </row>
    <row r="52" spans="1:29" ht="15.75" customHeight="1">
      <c r="A52" s="454" t="s">
        <v>1679</v>
      </c>
      <c r="B52" s="31" t="s">
        <v>79</v>
      </c>
      <c r="C52" s="444" t="s">
        <v>95</v>
      </c>
      <c r="D52" s="445"/>
      <c r="E52" s="31">
        <v>35.369999999999997</v>
      </c>
      <c r="F52" s="357">
        <v>1782</v>
      </c>
      <c r="G52" s="357">
        <f t="shared" si="61"/>
        <v>63029.34</v>
      </c>
      <c r="H52" s="359" t="s">
        <v>103</v>
      </c>
      <c r="I52" s="19">
        <v>10</v>
      </c>
      <c r="J52" s="26">
        <v>3000</v>
      </c>
      <c r="K52" s="33">
        <f t="shared" si="56"/>
        <v>300</v>
      </c>
      <c r="L52" s="19">
        <v>10</v>
      </c>
      <c r="M52" s="26">
        <f t="shared" si="62"/>
        <v>2889.7297297297278</v>
      </c>
      <c r="N52" s="33">
        <f t="shared" si="58"/>
        <v>288.9729729729728</v>
      </c>
      <c r="O52" s="379">
        <f t="shared" si="52"/>
        <v>0</v>
      </c>
      <c r="P52" s="380">
        <f t="shared" si="53"/>
        <v>-11.027027027027202</v>
      </c>
      <c r="Q52" s="381">
        <f t="shared" si="54"/>
        <v>0.96324324324324262</v>
      </c>
      <c r="R52" s="457"/>
      <c r="S52" s="28">
        <v>0.48263888888888884</v>
      </c>
      <c r="T52" s="28">
        <v>0.5083333333333333</v>
      </c>
      <c r="U52" s="346">
        <f t="shared" si="64"/>
        <v>5.9999999999999787</v>
      </c>
      <c r="V52" s="356">
        <f t="shared" si="63"/>
        <v>37.000000000000028</v>
      </c>
      <c r="W52" s="16"/>
      <c r="X52" s="16"/>
      <c r="Y52" s="447"/>
      <c r="Z52" s="448"/>
      <c r="AA52" s="12">
        <f t="shared" si="2"/>
        <v>-110.27027027027225</v>
      </c>
      <c r="AB52" s="351">
        <f t="shared" si="59"/>
        <v>0.96324324324324262</v>
      </c>
      <c r="AC52" s="457"/>
    </row>
    <row r="53" spans="1:29" ht="15.75" customHeight="1">
      <c r="A53" s="455" t="s">
        <v>1679</v>
      </c>
      <c r="B53" s="31" t="s">
        <v>1678</v>
      </c>
      <c r="C53" s="459"/>
      <c r="D53" s="460"/>
      <c r="E53" s="352"/>
      <c r="F53" s="357"/>
      <c r="G53" s="357"/>
      <c r="H53" s="357"/>
      <c r="I53" s="19">
        <v>9.6666666666666661</v>
      </c>
      <c r="J53" s="26">
        <v>3000</v>
      </c>
      <c r="K53" s="33">
        <f>J53/I53</f>
        <v>310.34482758620692</v>
      </c>
      <c r="L53" s="19">
        <v>9.6666666666666661</v>
      </c>
      <c r="M53" s="26">
        <f>AVERAGE(M47:M52)</f>
        <v>2871.8745286382273</v>
      </c>
      <c r="N53" s="33">
        <f t="shared" si="58"/>
        <v>297.09046847981665</v>
      </c>
      <c r="O53" s="379">
        <f>L53-I53</f>
        <v>0</v>
      </c>
      <c r="P53" s="380">
        <f t="shared" si="53"/>
        <v>-13.254359106390268</v>
      </c>
      <c r="Q53" s="381">
        <f t="shared" si="54"/>
        <v>0.95729150954607578</v>
      </c>
      <c r="R53" s="458"/>
      <c r="S53" s="28"/>
      <c r="T53" s="28"/>
      <c r="U53" s="346"/>
      <c r="V53" s="356"/>
      <c r="W53" s="16"/>
      <c r="X53" s="16"/>
      <c r="Y53" s="447"/>
      <c r="Z53" s="448"/>
      <c r="AA53" s="12">
        <f t="shared" si="2"/>
        <v>-128.12547136177272</v>
      </c>
      <c r="AB53" s="351">
        <f t="shared" si="59"/>
        <v>0.95729150954607578</v>
      </c>
      <c r="AC53" s="458"/>
    </row>
    <row r="54" spans="1:29" ht="15.75" customHeight="1">
      <c r="A54" s="451" t="s">
        <v>1682</v>
      </c>
      <c r="B54" s="31" t="s">
        <v>53</v>
      </c>
      <c r="C54" s="441" t="s">
        <v>87</v>
      </c>
      <c r="D54" s="441"/>
      <c r="E54" s="31">
        <v>46</v>
      </c>
      <c r="F54" s="35">
        <v>3413</v>
      </c>
      <c r="G54" s="346">
        <f t="shared" ref="G54:G59" si="65">E54*F54</f>
        <v>156998</v>
      </c>
      <c r="H54" s="359" t="s">
        <v>103</v>
      </c>
      <c r="I54" s="355">
        <v>17</v>
      </c>
      <c r="J54" s="26">
        <v>2000</v>
      </c>
      <c r="K54" s="10">
        <f t="shared" ref="K54:K59" si="66">J54/I54</f>
        <v>117.64705882352941</v>
      </c>
      <c r="L54" s="19">
        <v>17</v>
      </c>
      <c r="M54" s="11">
        <f t="shared" ref="M54:M59" si="67">F54/V54*60</f>
        <v>1913.8317757009345</v>
      </c>
      <c r="N54" s="11">
        <f>M54/L54</f>
        <v>112.57833974711379</v>
      </c>
      <c r="O54" s="12">
        <f>L54-I54</f>
        <v>0</v>
      </c>
      <c r="P54" s="13">
        <f>N54-K54</f>
        <v>-5.0687190764156185</v>
      </c>
      <c r="Q54" s="351">
        <f>N54/K54</f>
        <v>0.95691588785046722</v>
      </c>
      <c r="R54" s="442">
        <f>Q60</f>
        <v>0.95894312812220373</v>
      </c>
      <c r="S54" s="28">
        <v>0.29166666666666669</v>
      </c>
      <c r="T54" s="28">
        <v>0.36597222222222225</v>
      </c>
      <c r="U54" s="346">
        <f t="shared" si="64"/>
        <v>420</v>
      </c>
      <c r="V54" s="356">
        <f t="shared" si="63"/>
        <v>107.00000000000001</v>
      </c>
      <c r="W54" s="18"/>
      <c r="X54" s="18"/>
      <c r="Y54" s="443"/>
      <c r="Z54" s="443"/>
      <c r="AA54" s="12">
        <f t="shared" si="2"/>
        <v>-86.168224299065514</v>
      </c>
      <c r="AB54" s="351">
        <f t="shared" si="59"/>
        <v>0.95691588785046722</v>
      </c>
      <c r="AC54" s="442">
        <f>AB60</f>
        <v>0.95894312812220373</v>
      </c>
    </row>
    <row r="55" spans="1:29" ht="15.75" customHeight="1">
      <c r="A55" s="451" t="s">
        <v>1682</v>
      </c>
      <c r="B55" s="31" t="s">
        <v>53</v>
      </c>
      <c r="C55" s="441" t="s">
        <v>88</v>
      </c>
      <c r="D55" s="441"/>
      <c r="E55" s="31">
        <v>46</v>
      </c>
      <c r="F55" s="35">
        <v>3566</v>
      </c>
      <c r="G55" s="346">
        <f t="shared" si="65"/>
        <v>164036</v>
      </c>
      <c r="H55" s="359" t="s">
        <v>103</v>
      </c>
      <c r="I55" s="355">
        <v>17</v>
      </c>
      <c r="J55" s="26">
        <v>2000</v>
      </c>
      <c r="K55" s="10">
        <f t="shared" si="66"/>
        <v>117.64705882352941</v>
      </c>
      <c r="L55" s="355">
        <v>17</v>
      </c>
      <c r="M55" s="11">
        <f t="shared" si="67"/>
        <v>1910.3571428571429</v>
      </c>
      <c r="N55" s="11">
        <f t="shared" ref="N55:N59" si="68">M55/L55</f>
        <v>112.37394957983193</v>
      </c>
      <c r="O55" s="12">
        <f t="shared" ref="O55:O59" si="69">L55-I55</f>
        <v>0</v>
      </c>
      <c r="P55" s="13">
        <f t="shared" ref="P55:P59" si="70">N55-K55</f>
        <v>-5.2731092436974762</v>
      </c>
      <c r="Q55" s="351">
        <f t="shared" ref="Q55:Q59" si="71">N55/K55</f>
        <v>0.95517857142857143</v>
      </c>
      <c r="R55" s="442"/>
      <c r="S55" s="28">
        <v>0.37013888888888891</v>
      </c>
      <c r="T55" s="28">
        <v>0.44791666666666669</v>
      </c>
      <c r="U55" s="346">
        <f>IF(S55=TIME(17,0,0),"",(S55-T54)*24*60)</f>
        <v>5.9999999999999787</v>
      </c>
      <c r="V55" s="356">
        <f t="shared" si="63"/>
        <v>112</v>
      </c>
      <c r="W55" s="16"/>
      <c r="X55" s="16"/>
      <c r="Y55" s="443"/>
      <c r="Z55" s="443"/>
      <c r="AA55" s="12">
        <f t="shared" si="2"/>
        <v>-89.64285714285711</v>
      </c>
      <c r="AB55" s="351">
        <f t="shared" si="59"/>
        <v>0.95517857142857143</v>
      </c>
      <c r="AC55" s="442"/>
    </row>
    <row r="56" spans="1:29" ht="15.75" customHeight="1">
      <c r="A56" s="451" t="s">
        <v>1682</v>
      </c>
      <c r="B56" s="31" t="s">
        <v>58</v>
      </c>
      <c r="C56" s="444" t="s">
        <v>168</v>
      </c>
      <c r="D56" s="445"/>
      <c r="E56" s="31">
        <v>54.09</v>
      </c>
      <c r="F56" s="35">
        <v>1999</v>
      </c>
      <c r="G56" s="346">
        <f t="shared" si="65"/>
        <v>108125.91</v>
      </c>
      <c r="H56" s="359" t="s">
        <v>103</v>
      </c>
      <c r="I56" s="355">
        <v>16</v>
      </c>
      <c r="J56" s="26">
        <v>2000</v>
      </c>
      <c r="K56" s="10">
        <f t="shared" si="66"/>
        <v>125</v>
      </c>
      <c r="L56" s="355">
        <v>16</v>
      </c>
      <c r="M56" s="11">
        <f t="shared" si="67"/>
        <v>1934.5161290322571</v>
      </c>
      <c r="N56" s="11">
        <f t="shared" si="68"/>
        <v>120.90725806451607</v>
      </c>
      <c r="O56" s="12">
        <f t="shared" si="69"/>
        <v>0</v>
      </c>
      <c r="P56" s="13">
        <f t="shared" si="70"/>
        <v>-4.0927419354839287</v>
      </c>
      <c r="Q56" s="351">
        <f t="shared" si="71"/>
        <v>0.96725806451612861</v>
      </c>
      <c r="R56" s="442"/>
      <c r="S56" s="28">
        <v>0.45347222222222222</v>
      </c>
      <c r="T56" s="28">
        <v>0.49652777777777779</v>
      </c>
      <c r="U56" s="346">
        <f t="shared" ref="U56:U59" si="72">IF(S56=TIME(17,0,0),"",(S56-T55)*24*60)</f>
        <v>7.9999999999999716</v>
      </c>
      <c r="V56" s="356">
        <f t="shared" si="63"/>
        <v>62.000000000000021</v>
      </c>
      <c r="W56" s="16"/>
      <c r="X56" s="16"/>
      <c r="Y56" s="349"/>
      <c r="Z56" s="350"/>
      <c r="AA56" s="12">
        <f t="shared" si="2"/>
        <v>-65.48387096774286</v>
      </c>
      <c r="AB56" s="351">
        <f t="shared" si="59"/>
        <v>0.96725806451612861</v>
      </c>
      <c r="AC56" s="442"/>
    </row>
    <row r="57" spans="1:29" ht="15.75" customHeight="1">
      <c r="A57" s="451" t="s">
        <v>1682</v>
      </c>
      <c r="B57" s="31" t="s">
        <v>58</v>
      </c>
      <c r="C57" s="347" t="s">
        <v>89</v>
      </c>
      <c r="D57" s="348"/>
      <c r="E57" s="31">
        <v>55.56</v>
      </c>
      <c r="F57" s="35">
        <v>2488</v>
      </c>
      <c r="G57" s="346">
        <f t="shared" si="65"/>
        <v>138233.28</v>
      </c>
      <c r="H57" s="359" t="s">
        <v>103</v>
      </c>
      <c r="I57" s="355">
        <v>17</v>
      </c>
      <c r="J57" s="26">
        <v>2000</v>
      </c>
      <c r="K57" s="10">
        <f t="shared" si="66"/>
        <v>117.64705882352941</v>
      </c>
      <c r="L57" s="355">
        <v>17</v>
      </c>
      <c r="M57" s="11">
        <f t="shared" si="67"/>
        <v>1913.8461538461529</v>
      </c>
      <c r="N57" s="11">
        <f t="shared" si="68"/>
        <v>112.57918552036193</v>
      </c>
      <c r="O57" s="12">
        <f t="shared" si="69"/>
        <v>0</v>
      </c>
      <c r="P57" s="13">
        <f t="shared" si="70"/>
        <v>-5.0678733031674739</v>
      </c>
      <c r="Q57" s="351">
        <f t="shared" si="71"/>
        <v>0.95692307692307643</v>
      </c>
      <c r="R57" s="442"/>
      <c r="S57" s="28">
        <v>0.70833333333333337</v>
      </c>
      <c r="T57" s="28">
        <v>0.76250000000000007</v>
      </c>
      <c r="U57" s="346" t="str">
        <f t="shared" si="72"/>
        <v/>
      </c>
      <c r="V57" s="356">
        <f t="shared" si="63"/>
        <v>78.000000000000043</v>
      </c>
      <c r="W57" s="16"/>
      <c r="X57" s="16"/>
      <c r="Y57" s="349"/>
      <c r="Z57" s="350"/>
      <c r="AA57" s="12">
        <f t="shared" si="2"/>
        <v>-86.153846153847098</v>
      </c>
      <c r="AB57" s="351">
        <f t="shared" si="59"/>
        <v>0.95692307692307643</v>
      </c>
      <c r="AC57" s="442"/>
    </row>
    <row r="58" spans="1:29" ht="15.75" customHeight="1">
      <c r="A58" s="451" t="s">
        <v>1682</v>
      </c>
      <c r="B58" s="31" t="s">
        <v>58</v>
      </c>
      <c r="C58" s="347" t="s">
        <v>90</v>
      </c>
      <c r="D58" s="348"/>
      <c r="E58" s="31">
        <v>55.32</v>
      </c>
      <c r="F58" s="35">
        <v>1977</v>
      </c>
      <c r="G58" s="346">
        <f t="shared" si="65"/>
        <v>109367.64</v>
      </c>
      <c r="H58" s="359" t="s">
        <v>103</v>
      </c>
      <c r="I58" s="355">
        <v>15</v>
      </c>
      <c r="J58" s="26">
        <v>2000</v>
      </c>
      <c r="K58" s="10">
        <f t="shared" si="66"/>
        <v>133.33333333333334</v>
      </c>
      <c r="L58" s="355">
        <v>15</v>
      </c>
      <c r="M58" s="11">
        <f t="shared" si="67"/>
        <v>1913.2258064516145</v>
      </c>
      <c r="N58" s="11">
        <f t="shared" si="68"/>
        <v>127.54838709677431</v>
      </c>
      <c r="O58" s="12">
        <f t="shared" si="69"/>
        <v>0</v>
      </c>
      <c r="P58" s="13">
        <f t="shared" si="70"/>
        <v>-5.7849462365590369</v>
      </c>
      <c r="Q58" s="351">
        <f t="shared" si="71"/>
        <v>0.95661290322580728</v>
      </c>
      <c r="R58" s="442"/>
      <c r="S58" s="28">
        <v>0.76597222222222228</v>
      </c>
      <c r="T58" s="28">
        <v>0.80902777777777779</v>
      </c>
      <c r="U58" s="346">
        <f t="shared" si="72"/>
        <v>4.9999999999999822</v>
      </c>
      <c r="V58" s="356">
        <f t="shared" si="63"/>
        <v>61.999999999999943</v>
      </c>
      <c r="W58" s="16"/>
      <c r="X58" s="16"/>
      <c r="Y58" s="349"/>
      <c r="Z58" s="350"/>
      <c r="AA58" s="12">
        <f t="shared" si="2"/>
        <v>-86.774193548385483</v>
      </c>
      <c r="AB58" s="351">
        <f t="shared" si="59"/>
        <v>0.95661290322580728</v>
      </c>
      <c r="AC58" s="442"/>
    </row>
    <row r="59" spans="1:29" ht="15.75" customHeight="1">
      <c r="A59" s="451" t="s">
        <v>1682</v>
      </c>
      <c r="B59" s="31" t="s">
        <v>58</v>
      </c>
      <c r="C59" s="444" t="s">
        <v>91</v>
      </c>
      <c r="D59" s="445"/>
      <c r="E59" s="31">
        <v>57.73</v>
      </c>
      <c r="F59" s="35">
        <v>1394</v>
      </c>
      <c r="G59" s="346">
        <f t="shared" si="65"/>
        <v>80475.62</v>
      </c>
      <c r="H59" s="359" t="s">
        <v>103</v>
      </c>
      <c r="I59" s="355">
        <v>16</v>
      </c>
      <c r="J59" s="26">
        <v>1500</v>
      </c>
      <c r="K59" s="10">
        <f t="shared" si="66"/>
        <v>93.75</v>
      </c>
      <c r="L59" s="355">
        <v>16</v>
      </c>
      <c r="M59" s="11">
        <f t="shared" si="67"/>
        <v>1442.0689655172425</v>
      </c>
      <c r="N59" s="11">
        <f t="shared" si="68"/>
        <v>90.129310344827658</v>
      </c>
      <c r="O59" s="12">
        <f t="shared" si="69"/>
        <v>0</v>
      </c>
      <c r="P59" s="13">
        <f t="shared" si="70"/>
        <v>-3.6206896551723418</v>
      </c>
      <c r="Q59" s="351">
        <f t="shared" si="71"/>
        <v>0.96137931034482838</v>
      </c>
      <c r="R59" s="442"/>
      <c r="S59" s="28">
        <v>0.81319444444444444</v>
      </c>
      <c r="T59" s="28">
        <v>0.85347222222222219</v>
      </c>
      <c r="U59" s="346">
        <f t="shared" si="72"/>
        <v>5.9999999999999787</v>
      </c>
      <c r="V59" s="356">
        <f t="shared" si="63"/>
        <v>57.999999999999957</v>
      </c>
      <c r="W59" s="16"/>
      <c r="X59" s="16"/>
      <c r="Y59" s="447"/>
      <c r="Z59" s="448"/>
      <c r="AA59" s="12">
        <f t="shared" si="2"/>
        <v>-57.931034482757468</v>
      </c>
      <c r="AB59" s="351">
        <f t="shared" si="59"/>
        <v>0.96137931034482838</v>
      </c>
      <c r="AC59" s="442"/>
    </row>
    <row r="60" spans="1:29">
      <c r="A60" s="452" t="s">
        <v>1682</v>
      </c>
      <c r="B60" s="31" t="s">
        <v>1678</v>
      </c>
      <c r="C60" s="446"/>
      <c r="D60" s="446"/>
      <c r="E60" s="345"/>
      <c r="F60" s="33"/>
      <c r="G60" s="10"/>
      <c r="H60" s="357"/>
      <c r="I60" s="19">
        <v>16.333333333333332</v>
      </c>
      <c r="J60" s="26">
        <v>1916.6666666666667</v>
      </c>
      <c r="K60" s="10">
        <f>J60/I60</f>
        <v>117.34693877551021</v>
      </c>
      <c r="L60" s="19">
        <v>16.333333333333332</v>
      </c>
      <c r="M60" s="11">
        <f>AVERAGE(M54:M59)</f>
        <v>1837.9743289008904</v>
      </c>
      <c r="N60" s="10">
        <f>M60/L60</f>
        <v>112.52904054495248</v>
      </c>
      <c r="O60" s="12">
        <f>L60-I60</f>
        <v>0</v>
      </c>
      <c r="P60" s="13">
        <f>N60-K60</f>
        <v>-4.8178982305577307</v>
      </c>
      <c r="Q60" s="351">
        <f>N60/K60</f>
        <v>0.95894312812220373</v>
      </c>
      <c r="R60" s="442"/>
      <c r="S60" s="29"/>
      <c r="T60" s="28"/>
      <c r="U60" s="10"/>
      <c r="V60" s="356"/>
      <c r="W60" s="10"/>
      <c r="X60" s="10"/>
      <c r="Y60" s="443"/>
      <c r="Z60" s="443"/>
      <c r="AA60" s="12">
        <f t="shared" si="2"/>
        <v>-78.692337765776301</v>
      </c>
      <c r="AB60" s="351">
        <f t="shared" si="59"/>
        <v>0.95894312812220373</v>
      </c>
      <c r="AC60" s="442"/>
    </row>
    <row r="61" spans="1:29" ht="15.75" customHeight="1">
      <c r="A61" s="449" t="s">
        <v>1683</v>
      </c>
      <c r="B61" s="357" t="s">
        <v>79</v>
      </c>
      <c r="C61" s="441" t="s">
        <v>94</v>
      </c>
      <c r="D61" s="441"/>
      <c r="E61" s="31">
        <v>26.78</v>
      </c>
      <c r="F61" s="35">
        <v>3091</v>
      </c>
      <c r="G61" s="346">
        <f t="shared" ref="G61:G64" si="73">E61*F61</f>
        <v>82776.98000000001</v>
      </c>
      <c r="H61" s="359" t="s">
        <v>103</v>
      </c>
      <c r="I61" s="355">
        <v>10</v>
      </c>
      <c r="J61" s="26">
        <v>3000</v>
      </c>
      <c r="K61" s="10">
        <f t="shared" ref="K61:K64" si="74">J61/I61</f>
        <v>300</v>
      </c>
      <c r="L61" s="19">
        <v>10</v>
      </c>
      <c r="M61" s="11">
        <f t="shared" ref="M61:M64" si="75">F61/V61*60</f>
        <v>2897.8125000000014</v>
      </c>
      <c r="N61" s="10">
        <f>M61/L61</f>
        <v>289.78125000000011</v>
      </c>
      <c r="O61" s="12">
        <f t="shared" ref="O61:O64" si="76">L61-I61</f>
        <v>0</v>
      </c>
      <c r="P61" s="13">
        <f t="shared" ref="P61:P64" si="77">N61-K61</f>
        <v>-10.218749999999886</v>
      </c>
      <c r="Q61" s="351">
        <f>N61/K61</f>
        <v>0.96593750000000034</v>
      </c>
      <c r="R61" s="442">
        <f>Q65</f>
        <v>0.96603003605995985</v>
      </c>
      <c r="S61" s="28">
        <v>0.20833333333333334</v>
      </c>
      <c r="T61" s="28">
        <v>0.25277777777777777</v>
      </c>
      <c r="U61" s="346"/>
      <c r="V61" s="356">
        <f t="shared" ref="V61:V64" si="78">(T61-S61)*24*60</f>
        <v>63.999999999999972</v>
      </c>
      <c r="W61" s="18"/>
      <c r="X61" s="18"/>
      <c r="Y61" s="443"/>
      <c r="Z61" s="443"/>
      <c r="AA61" s="12">
        <f t="shared" si="2"/>
        <v>-102.18749999999864</v>
      </c>
      <c r="AB61" s="351">
        <f t="shared" si="59"/>
        <v>0.96593750000000045</v>
      </c>
      <c r="AC61" s="442">
        <f>AB65</f>
        <v>0.96603003605995996</v>
      </c>
    </row>
    <row r="62" spans="1:29" ht="15.75" customHeight="1">
      <c r="A62" s="449" t="s">
        <v>1683</v>
      </c>
      <c r="B62" s="357" t="s">
        <v>79</v>
      </c>
      <c r="C62" s="441" t="s">
        <v>97</v>
      </c>
      <c r="D62" s="441"/>
      <c r="E62" s="31">
        <v>35.119999999999997</v>
      </c>
      <c r="F62" s="35">
        <v>1265</v>
      </c>
      <c r="G62" s="346">
        <f t="shared" si="73"/>
        <v>44426.799999999996</v>
      </c>
      <c r="H62" s="359" t="s">
        <v>103</v>
      </c>
      <c r="I62" s="355">
        <v>13</v>
      </c>
      <c r="J62" s="26">
        <v>2000</v>
      </c>
      <c r="K62" s="10">
        <f t="shared" si="74"/>
        <v>153.84615384615384</v>
      </c>
      <c r="L62" s="19">
        <v>13</v>
      </c>
      <c r="M62" s="11">
        <f t="shared" si="75"/>
        <v>1946.1538461538451</v>
      </c>
      <c r="N62" s="10">
        <f t="shared" ref="N62:N64" si="79">M62/L62</f>
        <v>149.70414201183422</v>
      </c>
      <c r="O62" s="12">
        <f t="shared" si="76"/>
        <v>0</v>
      </c>
      <c r="P62" s="13">
        <f t="shared" si="77"/>
        <v>-4.1420118343196179</v>
      </c>
      <c r="Q62" s="351">
        <f t="shared" ref="Q62:Q64" si="80">N62/K62</f>
        <v>0.97307692307692251</v>
      </c>
      <c r="R62" s="442"/>
      <c r="S62" s="28">
        <v>0.25694444444444442</v>
      </c>
      <c r="T62" s="28">
        <v>0.28402777777777777</v>
      </c>
      <c r="U62" s="346">
        <f>(S62-T61)*24*60</f>
        <v>5.9999999999999787</v>
      </c>
      <c r="V62" s="356">
        <f t="shared" si="78"/>
        <v>39.000000000000021</v>
      </c>
      <c r="W62" s="346"/>
      <c r="X62" s="346"/>
      <c r="Y62" s="443"/>
      <c r="Z62" s="443"/>
      <c r="AA62" s="12">
        <f t="shared" si="2"/>
        <v>-53.846153846154948</v>
      </c>
      <c r="AB62" s="351">
        <f t="shared" si="59"/>
        <v>0.97307692307692251</v>
      </c>
      <c r="AC62" s="442"/>
    </row>
    <row r="63" spans="1:29" ht="15.75" customHeight="1">
      <c r="A63" s="449" t="s">
        <v>1683</v>
      </c>
      <c r="B63" s="357" t="s">
        <v>79</v>
      </c>
      <c r="C63" s="441" t="s">
        <v>98</v>
      </c>
      <c r="D63" s="441"/>
      <c r="E63" s="31">
        <v>35.869999999999997</v>
      </c>
      <c r="F63" s="35">
        <v>2612</v>
      </c>
      <c r="G63" s="346">
        <f t="shared" si="73"/>
        <v>93692.439999999988</v>
      </c>
      <c r="H63" s="359" t="s">
        <v>103</v>
      </c>
      <c r="I63" s="355">
        <v>10</v>
      </c>
      <c r="J63" s="26">
        <v>3000</v>
      </c>
      <c r="K63" s="10">
        <f t="shared" si="74"/>
        <v>300</v>
      </c>
      <c r="L63" s="19">
        <v>10</v>
      </c>
      <c r="M63" s="11">
        <f t="shared" si="75"/>
        <v>2902.2222222222235</v>
      </c>
      <c r="N63" s="10">
        <f t="shared" si="79"/>
        <v>290.22222222222234</v>
      </c>
      <c r="O63" s="12">
        <f t="shared" si="76"/>
        <v>0</v>
      </c>
      <c r="P63" s="13">
        <f t="shared" si="77"/>
        <v>-9.7777777777776578</v>
      </c>
      <c r="Q63" s="351">
        <f t="shared" si="80"/>
        <v>0.96740740740740783</v>
      </c>
      <c r="R63" s="442"/>
      <c r="S63" s="28">
        <v>0.28749999999999998</v>
      </c>
      <c r="T63" s="28">
        <v>0.32499999999999996</v>
      </c>
      <c r="U63" s="346">
        <f t="shared" ref="U63:U64" si="81">(S63-T62)*24*60</f>
        <v>4.9999999999999822</v>
      </c>
      <c r="V63" s="356">
        <f t="shared" si="78"/>
        <v>53.999999999999972</v>
      </c>
      <c r="W63" s="346"/>
      <c r="X63" s="346"/>
      <c r="Y63" s="443"/>
      <c r="Z63" s="443"/>
      <c r="AA63" s="12">
        <f t="shared" si="2"/>
        <v>-97.777777777776464</v>
      </c>
      <c r="AB63" s="351">
        <f t="shared" si="59"/>
        <v>0.96740740740740783</v>
      </c>
      <c r="AC63" s="442"/>
    </row>
    <row r="64" spans="1:29" ht="15.75" customHeight="1">
      <c r="A64" s="449" t="s">
        <v>1683</v>
      </c>
      <c r="B64" s="357" t="s">
        <v>53</v>
      </c>
      <c r="C64" s="441" t="s">
        <v>96</v>
      </c>
      <c r="D64" s="441"/>
      <c r="E64" s="31">
        <v>26.97</v>
      </c>
      <c r="F64" s="35">
        <v>3697</v>
      </c>
      <c r="G64" s="346">
        <f t="shared" si="73"/>
        <v>99708.09</v>
      </c>
      <c r="H64" s="359" t="s">
        <v>103</v>
      </c>
      <c r="I64" s="355">
        <v>8</v>
      </c>
      <c r="J64" s="26">
        <v>1500</v>
      </c>
      <c r="K64" s="10">
        <f t="shared" si="74"/>
        <v>187.5</v>
      </c>
      <c r="L64" s="19">
        <v>8</v>
      </c>
      <c r="M64" s="11">
        <f t="shared" si="75"/>
        <v>1431.0967741935483</v>
      </c>
      <c r="N64" s="10">
        <f t="shared" si="79"/>
        <v>178.88709677419354</v>
      </c>
      <c r="O64" s="12">
        <f t="shared" si="76"/>
        <v>0</v>
      </c>
      <c r="P64" s="13">
        <f t="shared" si="77"/>
        <v>-8.6129032258064626</v>
      </c>
      <c r="Q64" s="351">
        <f t="shared" si="80"/>
        <v>0.9540645161290322</v>
      </c>
      <c r="R64" s="442"/>
      <c r="S64" s="28">
        <v>0.32986111111111105</v>
      </c>
      <c r="T64" s="28">
        <v>0.43749999999999994</v>
      </c>
      <c r="U64" s="346">
        <f t="shared" si="81"/>
        <v>6.9999999999999751</v>
      </c>
      <c r="V64" s="356">
        <f t="shared" si="78"/>
        <v>155</v>
      </c>
      <c r="W64" s="346"/>
      <c r="X64" s="346"/>
      <c r="Y64" s="443"/>
      <c r="Z64" s="443"/>
      <c r="AA64" s="12">
        <f t="shared" si="2"/>
        <v>-68.903225806451701</v>
      </c>
      <c r="AB64" s="351">
        <f t="shared" si="59"/>
        <v>0.9540645161290322</v>
      </c>
      <c r="AC64" s="442"/>
    </row>
    <row r="65" spans="1:29">
      <c r="A65" s="450" t="s">
        <v>1683</v>
      </c>
      <c r="B65" s="31" t="s">
        <v>1678</v>
      </c>
      <c r="C65" s="446"/>
      <c r="D65" s="446"/>
      <c r="E65" s="345"/>
      <c r="F65" s="33"/>
      <c r="G65" s="10"/>
      <c r="H65" s="357"/>
      <c r="I65" s="19">
        <v>10.25</v>
      </c>
      <c r="J65" s="26">
        <v>2375</v>
      </c>
      <c r="K65" s="10">
        <f>J65/I65</f>
        <v>231.70731707317074</v>
      </c>
      <c r="L65" s="19">
        <v>10.25</v>
      </c>
      <c r="M65" s="11">
        <f>AVERAGE(M61:M64)</f>
        <v>2294.3213356424048</v>
      </c>
      <c r="N65" s="10">
        <f>M65/L65</f>
        <v>223.83622786755168</v>
      </c>
      <c r="O65" s="12">
        <f>L65-I65</f>
        <v>0</v>
      </c>
      <c r="P65" s="13">
        <f>N65-K65</f>
        <v>-7.8710892056190573</v>
      </c>
      <c r="Q65" s="351">
        <f>N65/K65</f>
        <v>0.96603003605995985</v>
      </c>
      <c r="R65" s="442"/>
      <c r="S65" s="28"/>
      <c r="T65" s="28"/>
      <c r="U65" s="10"/>
      <c r="V65" s="356"/>
      <c r="W65" s="10"/>
      <c r="X65" s="10"/>
      <c r="Y65" s="443"/>
      <c r="Z65" s="443"/>
      <c r="AA65" s="12">
        <f t="shared" si="2"/>
        <v>-80.678664357595153</v>
      </c>
      <c r="AB65" s="351">
        <f t="shared" si="59"/>
        <v>0.96603003605995996</v>
      </c>
      <c r="AC65" s="442"/>
    </row>
    <row r="66" spans="1:29" ht="15.75" customHeight="1">
      <c r="A66" s="439" t="s">
        <v>1686</v>
      </c>
      <c r="B66" s="357" t="s">
        <v>67</v>
      </c>
      <c r="C66" s="441" t="s">
        <v>99</v>
      </c>
      <c r="D66" s="441"/>
      <c r="E66" s="31">
        <v>20.2</v>
      </c>
      <c r="F66" s="357">
        <v>2890</v>
      </c>
      <c r="G66" s="346">
        <f t="shared" ref="G66:G75" si="82">E66*F66</f>
        <v>58378</v>
      </c>
      <c r="H66" s="359" t="s">
        <v>103</v>
      </c>
      <c r="I66" s="355">
        <v>19</v>
      </c>
      <c r="J66" s="26">
        <v>2400</v>
      </c>
      <c r="K66" s="10">
        <f t="shared" ref="K66:K68" si="83">J66/I66</f>
        <v>126.31578947368421</v>
      </c>
      <c r="L66" s="19">
        <v>19</v>
      </c>
      <c r="M66" s="11">
        <f>F66/V66*60</f>
        <v>2281.5789473684213</v>
      </c>
      <c r="N66" s="10">
        <f t="shared" ref="N66:N75" si="84">M66/L66</f>
        <v>120.0831024930748</v>
      </c>
      <c r="O66" s="12">
        <f t="shared" ref="O66:O75" si="85">L66-I66</f>
        <v>0</v>
      </c>
      <c r="P66" s="13">
        <f t="shared" ref="P66:P75" si="86">N66-K66</f>
        <v>-6.232686980609401</v>
      </c>
      <c r="Q66" s="351">
        <f>N66/K66</f>
        <v>0.95065789473684226</v>
      </c>
      <c r="R66" s="442">
        <f>Q76</f>
        <v>0.95691399853524295</v>
      </c>
      <c r="S66" s="28">
        <v>8.3333333333333329E-2</v>
      </c>
      <c r="T66" s="28">
        <v>0.1361111111111111</v>
      </c>
      <c r="U66" s="18"/>
      <c r="V66" s="356">
        <f t="shared" ref="V66:V75" si="87">(T66-S66)*24*60</f>
        <v>76</v>
      </c>
      <c r="W66" s="16">
        <f>T66</f>
        <v>0.1361111111111111</v>
      </c>
      <c r="X66" s="16">
        <f>S67</f>
        <v>0.15416666666666665</v>
      </c>
      <c r="Y66" s="443"/>
      <c r="Z66" s="443"/>
      <c r="AA66" s="12">
        <f t="shared" si="2"/>
        <v>-118.42105263157873</v>
      </c>
      <c r="AB66" s="351">
        <f>M66/J66</f>
        <v>0.95065789473684215</v>
      </c>
      <c r="AC66" s="442">
        <f>AB76</f>
        <v>0.95691399853524295</v>
      </c>
    </row>
    <row r="67" spans="1:29" ht="15.75" customHeight="1">
      <c r="A67" s="439" t="s">
        <v>2007</v>
      </c>
      <c r="B67" s="357" t="s">
        <v>67</v>
      </c>
      <c r="C67" s="441" t="s">
        <v>100</v>
      </c>
      <c r="D67" s="441"/>
      <c r="E67" s="31">
        <v>19.02</v>
      </c>
      <c r="F67" s="357">
        <v>6400</v>
      </c>
      <c r="G67" s="346">
        <f t="shared" si="82"/>
        <v>121728</v>
      </c>
      <c r="H67" s="359">
        <v>2</v>
      </c>
      <c r="I67" s="355">
        <v>15</v>
      </c>
      <c r="J67" s="26">
        <v>2400</v>
      </c>
      <c r="K67" s="10">
        <f t="shared" si="83"/>
        <v>160</v>
      </c>
      <c r="L67" s="19">
        <v>15</v>
      </c>
      <c r="M67" s="11">
        <f t="shared" ref="M67:M75" si="88">F67/V67*60</f>
        <v>2285.7142857142858</v>
      </c>
      <c r="N67" s="10">
        <f t="shared" si="84"/>
        <v>152.38095238095238</v>
      </c>
      <c r="O67" s="12">
        <f t="shared" si="85"/>
        <v>0</v>
      </c>
      <c r="P67" s="13">
        <f t="shared" si="86"/>
        <v>-7.6190476190476204</v>
      </c>
      <c r="Q67" s="351">
        <f t="shared" ref="Q67:Q76" si="89">N67/K67</f>
        <v>0.95238095238095233</v>
      </c>
      <c r="R67" s="442"/>
      <c r="S67" s="28">
        <v>0.15416666666666665</v>
      </c>
      <c r="T67" s="28">
        <v>0.27083333333333331</v>
      </c>
      <c r="U67" s="346">
        <f>(S67-T66)*24*60</f>
        <v>25.999999999999986</v>
      </c>
      <c r="V67" s="356">
        <f t="shared" si="87"/>
        <v>168</v>
      </c>
      <c r="W67" s="16"/>
      <c r="X67" s="16"/>
      <c r="Y67" s="443"/>
      <c r="Z67" s="443"/>
      <c r="AA67" s="12">
        <f t="shared" si="2"/>
        <v>-114.28571428571422</v>
      </c>
      <c r="AB67" s="351">
        <f t="shared" ref="AB67:AB76" si="90">M67/J67</f>
        <v>0.95238095238095244</v>
      </c>
      <c r="AC67" s="442"/>
    </row>
    <row r="68" spans="1:29" ht="15.75" customHeight="1">
      <c r="A68" s="439" t="s">
        <v>2007</v>
      </c>
      <c r="B68" s="357" t="s">
        <v>67</v>
      </c>
      <c r="C68" s="441" t="s">
        <v>70</v>
      </c>
      <c r="D68" s="441"/>
      <c r="E68" s="31">
        <v>24.25</v>
      </c>
      <c r="F68" s="357">
        <v>3712</v>
      </c>
      <c r="G68" s="346">
        <f t="shared" si="82"/>
        <v>90016</v>
      </c>
      <c r="H68" s="359" t="s">
        <v>103</v>
      </c>
      <c r="I68" s="355">
        <v>18</v>
      </c>
      <c r="J68" s="26">
        <v>2400</v>
      </c>
      <c r="K68" s="10">
        <f t="shared" si="83"/>
        <v>133.33333333333334</v>
      </c>
      <c r="L68" s="19">
        <v>18</v>
      </c>
      <c r="M68" s="11">
        <f t="shared" si="88"/>
        <v>2296.0824742268051</v>
      </c>
      <c r="N68" s="10">
        <f t="shared" si="84"/>
        <v>127.56013745704473</v>
      </c>
      <c r="O68" s="12">
        <f t="shared" si="85"/>
        <v>0</v>
      </c>
      <c r="P68" s="13">
        <f t="shared" si="86"/>
        <v>-5.7731958762886109</v>
      </c>
      <c r="Q68" s="351">
        <f t="shared" si="89"/>
        <v>0.95670103092783543</v>
      </c>
      <c r="R68" s="442"/>
      <c r="S68" s="28">
        <v>0.27499999999999997</v>
      </c>
      <c r="T68" s="28">
        <v>0.34236111111111106</v>
      </c>
      <c r="U68" s="346">
        <f t="shared" ref="U68:U75" si="91">(S68-T67)*24*60</f>
        <v>5.9999999999999787</v>
      </c>
      <c r="V68" s="356">
        <f t="shared" si="87"/>
        <v>96.999999999999972</v>
      </c>
      <c r="W68" s="16"/>
      <c r="X68" s="16"/>
      <c r="Y68" s="443"/>
      <c r="Z68" s="443"/>
      <c r="AA68" s="12">
        <f t="shared" si="2"/>
        <v>-103.91752577319494</v>
      </c>
      <c r="AB68" s="351">
        <f t="shared" si="90"/>
        <v>0.95670103092783543</v>
      </c>
      <c r="AC68" s="442"/>
    </row>
    <row r="69" spans="1:29" ht="15.75" customHeight="1">
      <c r="A69" s="439" t="s">
        <v>2007</v>
      </c>
      <c r="B69" s="357" t="s">
        <v>67</v>
      </c>
      <c r="C69" s="441" t="s">
        <v>102</v>
      </c>
      <c r="D69" s="441"/>
      <c r="E69" s="31">
        <v>20.52</v>
      </c>
      <c r="F69" s="357">
        <v>3100</v>
      </c>
      <c r="G69" s="346">
        <f t="shared" si="82"/>
        <v>63612</v>
      </c>
      <c r="H69" s="359">
        <v>2</v>
      </c>
      <c r="I69" s="355">
        <v>18</v>
      </c>
      <c r="J69" s="26">
        <v>2400</v>
      </c>
      <c r="K69" s="10">
        <f>J69/I69</f>
        <v>133.33333333333334</v>
      </c>
      <c r="L69" s="19">
        <v>18</v>
      </c>
      <c r="M69" s="11">
        <f t="shared" si="88"/>
        <v>2296.2962962962956</v>
      </c>
      <c r="N69" s="10">
        <f t="shared" si="84"/>
        <v>127.57201646090532</v>
      </c>
      <c r="O69" s="12">
        <f t="shared" si="85"/>
        <v>0</v>
      </c>
      <c r="P69" s="13">
        <f t="shared" si="86"/>
        <v>-5.7613168724280257</v>
      </c>
      <c r="Q69" s="351">
        <f t="shared" si="89"/>
        <v>0.95679012345678982</v>
      </c>
      <c r="R69" s="442"/>
      <c r="S69" s="28">
        <v>0.3479166666666666</v>
      </c>
      <c r="T69" s="28">
        <v>0.40416666666666662</v>
      </c>
      <c r="U69" s="346">
        <f t="shared" si="91"/>
        <v>7.9999999999999716</v>
      </c>
      <c r="V69" s="356">
        <f t="shared" si="87"/>
        <v>81.000000000000028</v>
      </c>
      <c r="W69" s="16"/>
      <c r="X69" s="16"/>
      <c r="Y69" s="443"/>
      <c r="Z69" s="443"/>
      <c r="AA69" s="12">
        <f t="shared" ref="AA69:AA76" si="92">M69-J69</f>
        <v>-103.70370370370438</v>
      </c>
      <c r="AB69" s="351">
        <f t="shared" si="90"/>
        <v>0.95679012345678982</v>
      </c>
      <c r="AC69" s="442"/>
    </row>
    <row r="70" spans="1:29" ht="15.75" customHeight="1">
      <c r="A70" s="439" t="s">
        <v>2007</v>
      </c>
      <c r="B70" s="357" t="s">
        <v>67</v>
      </c>
      <c r="C70" s="441" t="s">
        <v>1161</v>
      </c>
      <c r="D70" s="441"/>
      <c r="E70" s="31">
        <v>24.25</v>
      </c>
      <c r="F70" s="357">
        <v>3100</v>
      </c>
      <c r="G70" s="346">
        <f t="shared" si="82"/>
        <v>75175</v>
      </c>
      <c r="H70" s="359">
        <v>2</v>
      </c>
      <c r="I70" s="355">
        <v>17</v>
      </c>
      <c r="J70" s="26">
        <v>2400</v>
      </c>
      <c r="K70" s="10">
        <f t="shared" ref="K70:K76" si="93">J70/I70</f>
        <v>141.1764705882353</v>
      </c>
      <c r="L70" s="19">
        <v>17</v>
      </c>
      <c r="M70" s="11">
        <f t="shared" si="88"/>
        <v>2296.2962962962956</v>
      </c>
      <c r="N70" s="10">
        <f t="shared" si="84"/>
        <v>135.07625272331151</v>
      </c>
      <c r="O70" s="12">
        <f t="shared" si="85"/>
        <v>0</v>
      </c>
      <c r="P70" s="13">
        <f t="shared" si="86"/>
        <v>-6.1002178649237919</v>
      </c>
      <c r="Q70" s="351">
        <f t="shared" si="89"/>
        <v>0.95679012345678982</v>
      </c>
      <c r="R70" s="442"/>
      <c r="S70" s="28">
        <v>0.40833333333333327</v>
      </c>
      <c r="T70" s="28">
        <v>0.46458333333333329</v>
      </c>
      <c r="U70" s="346">
        <f t="shared" si="91"/>
        <v>5.9999999999999787</v>
      </c>
      <c r="V70" s="356">
        <f t="shared" si="87"/>
        <v>81.000000000000028</v>
      </c>
      <c r="W70" s="16"/>
      <c r="X70" s="16"/>
      <c r="Y70" s="443"/>
      <c r="Z70" s="443"/>
      <c r="AA70" s="12">
        <f t="shared" si="92"/>
        <v>-103.70370370370438</v>
      </c>
      <c r="AB70" s="351">
        <f t="shared" si="90"/>
        <v>0.95679012345678982</v>
      </c>
      <c r="AC70" s="442"/>
    </row>
    <row r="71" spans="1:29" ht="15.75" customHeight="1">
      <c r="A71" s="439" t="s">
        <v>2007</v>
      </c>
      <c r="B71" s="357" t="s">
        <v>67</v>
      </c>
      <c r="C71" s="441" t="s">
        <v>71</v>
      </c>
      <c r="D71" s="441"/>
      <c r="E71" s="31">
        <v>22.35</v>
      </c>
      <c r="F71" s="357">
        <v>2208</v>
      </c>
      <c r="G71" s="346">
        <f t="shared" si="82"/>
        <v>49348.800000000003</v>
      </c>
      <c r="H71" s="359" t="s">
        <v>103</v>
      </c>
      <c r="I71" s="355">
        <v>16</v>
      </c>
      <c r="J71" s="26">
        <v>2400</v>
      </c>
      <c r="K71" s="10">
        <f t="shared" si="93"/>
        <v>150</v>
      </c>
      <c r="L71" s="19">
        <v>16</v>
      </c>
      <c r="M71" s="11">
        <f t="shared" si="88"/>
        <v>2284.1379310344814</v>
      </c>
      <c r="N71" s="10">
        <f t="shared" si="84"/>
        <v>142.75862068965509</v>
      </c>
      <c r="O71" s="12">
        <f t="shared" si="85"/>
        <v>0</v>
      </c>
      <c r="P71" s="13">
        <f t="shared" si="86"/>
        <v>-7.2413793103449109</v>
      </c>
      <c r="Q71" s="351">
        <f t="shared" si="89"/>
        <v>0.95172413793103394</v>
      </c>
      <c r="R71" s="442"/>
      <c r="S71" s="28">
        <v>0.46874999999999994</v>
      </c>
      <c r="T71" s="28">
        <v>0.50902777777777775</v>
      </c>
      <c r="U71" s="346">
        <f t="shared" si="91"/>
        <v>5.9999999999999787</v>
      </c>
      <c r="V71" s="356">
        <f t="shared" si="87"/>
        <v>58.000000000000036</v>
      </c>
      <c r="W71" s="16"/>
      <c r="X71" s="16"/>
      <c r="Y71" s="443"/>
      <c r="Z71" s="443"/>
      <c r="AA71" s="12">
        <f t="shared" si="92"/>
        <v>-115.86206896551857</v>
      </c>
      <c r="AB71" s="351">
        <f t="shared" si="90"/>
        <v>0.95172413793103394</v>
      </c>
      <c r="AC71" s="442"/>
    </row>
    <row r="72" spans="1:29" ht="15.75" customHeight="1">
      <c r="A72" s="439" t="s">
        <v>2007</v>
      </c>
      <c r="B72" s="357" t="s">
        <v>67</v>
      </c>
      <c r="C72" s="444" t="s">
        <v>74</v>
      </c>
      <c r="D72" s="445"/>
      <c r="E72" s="31">
        <v>24.45</v>
      </c>
      <c r="F72" s="357">
        <v>2766</v>
      </c>
      <c r="G72" s="346">
        <f t="shared" si="82"/>
        <v>67628.7</v>
      </c>
      <c r="H72" s="359" t="s">
        <v>103</v>
      </c>
      <c r="I72" s="355">
        <v>20</v>
      </c>
      <c r="J72" s="26">
        <v>2400</v>
      </c>
      <c r="K72" s="10">
        <f t="shared" si="93"/>
        <v>120</v>
      </c>
      <c r="L72" s="19">
        <v>20</v>
      </c>
      <c r="M72" s="11">
        <f t="shared" si="88"/>
        <v>2304.9999999999982</v>
      </c>
      <c r="N72" s="10">
        <f t="shared" si="84"/>
        <v>115.24999999999991</v>
      </c>
      <c r="O72" s="12">
        <f t="shared" si="85"/>
        <v>0</v>
      </c>
      <c r="P72" s="13">
        <f t="shared" si="86"/>
        <v>-4.7500000000000853</v>
      </c>
      <c r="Q72" s="351">
        <f t="shared" si="89"/>
        <v>0.96041666666666592</v>
      </c>
      <c r="R72" s="442"/>
      <c r="S72" s="28">
        <v>0.51249999999999996</v>
      </c>
      <c r="T72" s="28">
        <v>0.5625</v>
      </c>
      <c r="U72" s="346">
        <f t="shared" si="91"/>
        <v>4.9999999999999822</v>
      </c>
      <c r="V72" s="356">
        <f t="shared" si="87"/>
        <v>72.000000000000057</v>
      </c>
      <c r="W72" s="16"/>
      <c r="X72" s="16"/>
      <c r="Y72" s="447"/>
      <c r="Z72" s="448"/>
      <c r="AA72" s="12">
        <f t="shared" si="92"/>
        <v>-95.000000000001819</v>
      </c>
      <c r="AB72" s="351">
        <f t="shared" si="90"/>
        <v>0.96041666666666592</v>
      </c>
      <c r="AC72" s="442"/>
    </row>
    <row r="73" spans="1:29" ht="15.75" customHeight="1">
      <c r="A73" s="439" t="s">
        <v>2007</v>
      </c>
      <c r="B73" s="357" t="s">
        <v>67</v>
      </c>
      <c r="C73" s="444" t="s">
        <v>100</v>
      </c>
      <c r="D73" s="445"/>
      <c r="E73" s="31">
        <v>19.02</v>
      </c>
      <c r="F73" s="357">
        <v>5400</v>
      </c>
      <c r="G73" s="346">
        <f t="shared" si="82"/>
        <v>102708</v>
      </c>
      <c r="H73" s="359" t="s">
        <v>103</v>
      </c>
      <c r="I73" s="355">
        <v>15</v>
      </c>
      <c r="J73" s="26">
        <v>2400</v>
      </c>
      <c r="K73" s="10">
        <f t="shared" si="93"/>
        <v>160</v>
      </c>
      <c r="L73" s="19">
        <v>15</v>
      </c>
      <c r="M73" s="11">
        <f t="shared" si="88"/>
        <v>2297.8723404255325</v>
      </c>
      <c r="N73" s="10">
        <f t="shared" si="84"/>
        <v>153.19148936170217</v>
      </c>
      <c r="O73" s="12">
        <f t="shared" si="85"/>
        <v>0</v>
      </c>
      <c r="P73" s="13">
        <f t="shared" si="86"/>
        <v>-6.8085106382978324</v>
      </c>
      <c r="Q73" s="351">
        <f t="shared" si="89"/>
        <v>0.95744680851063857</v>
      </c>
      <c r="R73" s="442"/>
      <c r="S73" s="28">
        <v>0.56597222222222221</v>
      </c>
      <c r="T73" s="28">
        <v>0.66388888888888886</v>
      </c>
      <c r="U73" s="346">
        <f t="shared" si="91"/>
        <v>4.9999999999999822</v>
      </c>
      <c r="V73" s="356">
        <f t="shared" si="87"/>
        <v>140.99999999999997</v>
      </c>
      <c r="W73" s="16"/>
      <c r="X73" s="16"/>
      <c r="Y73" s="447"/>
      <c r="Z73" s="448"/>
      <c r="AA73" s="12">
        <f t="shared" si="92"/>
        <v>-102.12765957446754</v>
      </c>
      <c r="AB73" s="351">
        <f t="shared" si="90"/>
        <v>0.95744680851063857</v>
      </c>
      <c r="AC73" s="442"/>
    </row>
    <row r="74" spans="1:29" ht="15.75" customHeight="1">
      <c r="A74" s="439" t="s">
        <v>2007</v>
      </c>
      <c r="B74" s="357" t="s">
        <v>67</v>
      </c>
      <c r="C74" s="444" t="s">
        <v>1161</v>
      </c>
      <c r="D74" s="445"/>
      <c r="E74" s="31">
        <v>24.25</v>
      </c>
      <c r="F74" s="357">
        <v>2205</v>
      </c>
      <c r="G74" s="346">
        <f t="shared" si="82"/>
        <v>53471.25</v>
      </c>
      <c r="H74" s="359" t="s">
        <v>103</v>
      </c>
      <c r="I74" s="355">
        <v>17</v>
      </c>
      <c r="J74" s="26">
        <v>2400</v>
      </c>
      <c r="K74" s="10">
        <f t="shared" si="93"/>
        <v>141.1764705882353</v>
      </c>
      <c r="L74" s="19">
        <v>17</v>
      </c>
      <c r="M74" s="11">
        <f t="shared" si="88"/>
        <v>2321.0526315789489</v>
      </c>
      <c r="N74" s="10">
        <f t="shared" si="84"/>
        <v>136.53250773993818</v>
      </c>
      <c r="O74" s="12">
        <f t="shared" si="85"/>
        <v>0</v>
      </c>
      <c r="P74" s="13">
        <f t="shared" si="86"/>
        <v>-4.6439628482971216</v>
      </c>
      <c r="Q74" s="351">
        <f t="shared" si="89"/>
        <v>0.96710526315789536</v>
      </c>
      <c r="R74" s="442"/>
      <c r="S74" s="28">
        <v>0.66805555555555551</v>
      </c>
      <c r="T74" s="28">
        <v>0.70763888888888882</v>
      </c>
      <c r="U74" s="346">
        <f t="shared" si="91"/>
        <v>5.9999999999999787</v>
      </c>
      <c r="V74" s="356">
        <f t="shared" si="87"/>
        <v>56.999999999999957</v>
      </c>
      <c r="W74" s="16"/>
      <c r="X74" s="16"/>
      <c r="Y74" s="447"/>
      <c r="Z74" s="448"/>
      <c r="AA74" s="12">
        <f t="shared" si="92"/>
        <v>-78.947368421051124</v>
      </c>
      <c r="AB74" s="351">
        <f t="shared" si="90"/>
        <v>0.96710526315789536</v>
      </c>
      <c r="AC74" s="442"/>
    </row>
    <row r="75" spans="1:29" ht="15.75" customHeight="1">
      <c r="A75" s="439" t="s">
        <v>2007</v>
      </c>
      <c r="B75" s="357" t="s">
        <v>67</v>
      </c>
      <c r="C75" s="444" t="s">
        <v>102</v>
      </c>
      <c r="D75" s="445"/>
      <c r="E75" s="31">
        <v>20.52</v>
      </c>
      <c r="F75" s="357">
        <v>2417</v>
      </c>
      <c r="G75" s="346">
        <f t="shared" si="82"/>
        <v>49596.84</v>
      </c>
      <c r="H75" s="359" t="s">
        <v>103</v>
      </c>
      <c r="I75" s="355">
        <v>18</v>
      </c>
      <c r="J75" s="26">
        <v>2400</v>
      </c>
      <c r="K75" s="10">
        <f t="shared" si="93"/>
        <v>133.33333333333334</v>
      </c>
      <c r="L75" s="19">
        <v>18</v>
      </c>
      <c r="M75" s="11">
        <f t="shared" si="88"/>
        <v>2301.9047619047642</v>
      </c>
      <c r="N75" s="10">
        <f t="shared" si="84"/>
        <v>127.88359788359801</v>
      </c>
      <c r="O75" s="12">
        <f t="shared" si="85"/>
        <v>0</v>
      </c>
      <c r="P75" s="13">
        <f t="shared" si="86"/>
        <v>-5.4497354497353285</v>
      </c>
      <c r="Q75" s="351">
        <f t="shared" si="89"/>
        <v>0.95912698412698505</v>
      </c>
      <c r="R75" s="442"/>
      <c r="S75" s="28">
        <v>0.71319444444444435</v>
      </c>
      <c r="T75" s="28">
        <v>0.75694444444444431</v>
      </c>
      <c r="U75" s="346">
        <f t="shared" si="91"/>
        <v>7.9999999999999716</v>
      </c>
      <c r="V75" s="356">
        <f t="shared" si="87"/>
        <v>62.999999999999936</v>
      </c>
      <c r="W75" s="16"/>
      <c r="X75" s="16"/>
      <c r="Y75" s="447"/>
      <c r="Z75" s="448"/>
      <c r="AA75" s="12">
        <f t="shared" si="92"/>
        <v>-98.0952380952358</v>
      </c>
      <c r="AB75" s="351">
        <f t="shared" si="90"/>
        <v>0.95912698412698505</v>
      </c>
      <c r="AC75" s="442"/>
    </row>
    <row r="76" spans="1:29" ht="16.5" customHeight="1">
      <c r="A76" s="440" t="s">
        <v>2007</v>
      </c>
      <c r="B76" s="31" t="s">
        <v>1681</v>
      </c>
      <c r="C76" s="446"/>
      <c r="D76" s="446"/>
      <c r="E76" s="345"/>
      <c r="F76" s="33"/>
      <c r="G76" s="10"/>
      <c r="H76" s="357"/>
      <c r="I76" s="19">
        <v>17.3</v>
      </c>
      <c r="J76" s="26">
        <v>2400</v>
      </c>
      <c r="K76" s="10">
        <f t="shared" si="93"/>
        <v>138.72832369942196</v>
      </c>
      <c r="L76" s="19">
        <v>17.3</v>
      </c>
      <c r="M76" s="11">
        <f>AVERAGE(M66:M75)</f>
        <v>2296.593596484583</v>
      </c>
      <c r="N76" s="10">
        <f>M76/L76</f>
        <v>132.75107494130538</v>
      </c>
      <c r="O76" s="12">
        <f>L76-I76</f>
        <v>0</v>
      </c>
      <c r="P76" s="13">
        <f>N76-K76</f>
        <v>-5.9772487581165876</v>
      </c>
      <c r="Q76" s="351">
        <f t="shared" si="89"/>
        <v>0.95691399853524295</v>
      </c>
      <c r="R76" s="442"/>
      <c r="S76" s="28"/>
      <c r="T76" s="28"/>
      <c r="U76" s="10"/>
      <c r="V76" s="356"/>
      <c r="W76" s="10"/>
      <c r="X76" s="10"/>
      <c r="Y76" s="443"/>
      <c r="Z76" s="443"/>
      <c r="AA76" s="12">
        <f t="shared" si="92"/>
        <v>-103.40640351541697</v>
      </c>
      <c r="AB76" s="351">
        <f t="shared" si="90"/>
        <v>0.95691399853524295</v>
      </c>
      <c r="AC76" s="442"/>
    </row>
    <row r="77" spans="1:29">
      <c r="D77" s="22"/>
      <c r="E77" s="22"/>
      <c r="H77" s="30"/>
    </row>
    <row r="78" spans="1:29">
      <c r="H78" s="30"/>
    </row>
    <row r="79" spans="1:29">
      <c r="H79" s="30"/>
    </row>
    <row r="80" spans="1:29">
      <c r="H80" s="30"/>
    </row>
    <row r="81" spans="8:8">
      <c r="H81" s="30"/>
    </row>
  </sheetData>
  <mergeCells count="199">
    <mergeCell ref="A66:A76"/>
    <mergeCell ref="C66:D66"/>
    <mergeCell ref="R66:R76"/>
    <mergeCell ref="Y66:Z66"/>
    <mergeCell ref="AC66:AC76"/>
    <mergeCell ref="C67:D67"/>
    <mergeCell ref="Y67:Z67"/>
    <mergeCell ref="C68:D68"/>
    <mergeCell ref="Y68:Z68"/>
    <mergeCell ref="C69:D69"/>
    <mergeCell ref="C76:D76"/>
    <mergeCell ref="Y76:Z76"/>
    <mergeCell ref="C73:D73"/>
    <mergeCell ref="Y73:Z73"/>
    <mergeCell ref="C74:D74"/>
    <mergeCell ref="Y74:Z74"/>
    <mergeCell ref="C75:D75"/>
    <mergeCell ref="Y75:Z75"/>
    <mergeCell ref="Y69:Z69"/>
    <mergeCell ref="C70:D70"/>
    <mergeCell ref="Y70:Z70"/>
    <mergeCell ref="C71:D71"/>
    <mergeCell ref="Y71:Z71"/>
    <mergeCell ref="C72:D72"/>
    <mergeCell ref="AC61:AC65"/>
    <mergeCell ref="C62:D62"/>
    <mergeCell ref="Y62:Z62"/>
    <mergeCell ref="C63:D63"/>
    <mergeCell ref="Y63:Z63"/>
    <mergeCell ref="C64:D64"/>
    <mergeCell ref="Y64:Z64"/>
    <mergeCell ref="C65:D65"/>
    <mergeCell ref="Y65:Z65"/>
    <mergeCell ref="Y72:Z72"/>
    <mergeCell ref="A61:A65"/>
    <mergeCell ref="C61:D61"/>
    <mergeCell ref="R61:R65"/>
    <mergeCell ref="Y61:Z61"/>
    <mergeCell ref="Y53:Z53"/>
    <mergeCell ref="A54:A60"/>
    <mergeCell ref="C54:D54"/>
    <mergeCell ref="R54:R60"/>
    <mergeCell ref="Y54:Z54"/>
    <mergeCell ref="AC54:AC60"/>
    <mergeCell ref="C55:D55"/>
    <mergeCell ref="Y55:Z55"/>
    <mergeCell ref="C56:D56"/>
    <mergeCell ref="C59:D59"/>
    <mergeCell ref="AC47:AC53"/>
    <mergeCell ref="C48:D48"/>
    <mergeCell ref="Y48:Z48"/>
    <mergeCell ref="C49:D49"/>
    <mergeCell ref="Y49:Z49"/>
    <mergeCell ref="C50:D50"/>
    <mergeCell ref="Y50:Z50"/>
    <mergeCell ref="C51:D51"/>
    <mergeCell ref="Y51:Z51"/>
    <mergeCell ref="C52:D52"/>
    <mergeCell ref="Y59:Z59"/>
    <mergeCell ref="C60:D60"/>
    <mergeCell ref="Y60:Z60"/>
    <mergeCell ref="A38:A46"/>
    <mergeCell ref="C38:D38"/>
    <mergeCell ref="R38:R46"/>
    <mergeCell ref="Y38:Z38"/>
    <mergeCell ref="C45:D45"/>
    <mergeCell ref="Y45:Z45"/>
    <mergeCell ref="C46:D46"/>
    <mergeCell ref="Y46:Z46"/>
    <mergeCell ref="A47:A53"/>
    <mergeCell ref="C47:D47"/>
    <mergeCell ref="R47:R53"/>
    <mergeCell ref="Y47:Z47"/>
    <mergeCell ref="Y52:Z52"/>
    <mergeCell ref="C53:D53"/>
    <mergeCell ref="AC38:AC46"/>
    <mergeCell ref="C39:D39"/>
    <mergeCell ref="Y39:Z39"/>
    <mergeCell ref="C40:D40"/>
    <mergeCell ref="Y40:Z40"/>
    <mergeCell ref="C41:D41"/>
    <mergeCell ref="C35:D35"/>
    <mergeCell ref="Y35:Z35"/>
    <mergeCell ref="C36:D36"/>
    <mergeCell ref="Y36:Z36"/>
    <mergeCell ref="C37:D37"/>
    <mergeCell ref="Y37:Z37"/>
    <mergeCell ref="Y41:Z41"/>
    <mergeCell ref="C42:D42"/>
    <mergeCell ref="Y42:Z42"/>
    <mergeCell ref="C43:D43"/>
    <mergeCell ref="Y43:Z43"/>
    <mergeCell ref="C44:D44"/>
    <mergeCell ref="Y44:Z44"/>
    <mergeCell ref="AC26:AC37"/>
    <mergeCell ref="C27:D27"/>
    <mergeCell ref="Y27:Z27"/>
    <mergeCell ref="C28:D28"/>
    <mergeCell ref="Y28:Z28"/>
    <mergeCell ref="A20:A25"/>
    <mergeCell ref="C20:D20"/>
    <mergeCell ref="R20:R25"/>
    <mergeCell ref="Y20:Z20"/>
    <mergeCell ref="C32:D32"/>
    <mergeCell ref="Y32:Z32"/>
    <mergeCell ref="C33:D33"/>
    <mergeCell ref="Y33:Z33"/>
    <mergeCell ref="C34:D34"/>
    <mergeCell ref="Y34:Z34"/>
    <mergeCell ref="C29:D29"/>
    <mergeCell ref="Y29:Z29"/>
    <mergeCell ref="C30:D30"/>
    <mergeCell ref="Y30:Z30"/>
    <mergeCell ref="C31:D31"/>
    <mergeCell ref="A26:A37"/>
    <mergeCell ref="C26:D26"/>
    <mergeCell ref="R26:R37"/>
    <mergeCell ref="Y26:Z26"/>
    <mergeCell ref="Y31:Z31"/>
    <mergeCell ref="AC20:AC25"/>
    <mergeCell ref="C21:D21"/>
    <mergeCell ref="Y21:Z21"/>
    <mergeCell ref="C22:D22"/>
    <mergeCell ref="Y22:Z22"/>
    <mergeCell ref="C23:D23"/>
    <mergeCell ref="C16:D16"/>
    <mergeCell ref="Y16:Z16"/>
    <mergeCell ref="C17:D17"/>
    <mergeCell ref="Y17:Z17"/>
    <mergeCell ref="Y18:Z18"/>
    <mergeCell ref="C19:D19"/>
    <mergeCell ref="Y19:Z19"/>
    <mergeCell ref="Y23:Z23"/>
    <mergeCell ref="C24:D24"/>
    <mergeCell ref="Y24:Z24"/>
    <mergeCell ref="C25:D25"/>
    <mergeCell ref="Y25:Z25"/>
    <mergeCell ref="H3:H4"/>
    <mergeCell ref="I3:I4"/>
    <mergeCell ref="A12:A19"/>
    <mergeCell ref="C12:D12"/>
    <mergeCell ref="R12:R19"/>
    <mergeCell ref="Y12:Z12"/>
    <mergeCell ref="AC12:AC19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4:O71 O76 O5:O9 O11:O13 O19:O33 O54:O61 O37:O52">
    <cfRule type="cellIs" dxfId="1709" priority="79" operator="greaterThan">
      <formula>0</formula>
    </cfRule>
  </conditionalFormatting>
  <conditionalFormatting sqref="P5:P7 P64 AA64 P66:P71 P26:P33 P61 P9 P11:P13 AA66:AA76 P20:P24 P54:P59 AA5:AA61 P38:P52">
    <cfRule type="cellIs" dxfId="1708" priority="83" operator="lessThan">
      <formula>0</formula>
    </cfRule>
  </conditionalFormatting>
  <conditionalFormatting sqref="AB64 Q64:Q71 Q76 Q5:Q9 Q11:Q13 AB66:AB76 Q19:Q33 AB5:AB61 Q54:Q61 Q37:Q52">
    <cfRule type="cellIs" dxfId="1707" priority="80" operator="greaterThan">
      <formula>1</formula>
    </cfRule>
    <cfRule type="cellIs" dxfId="1706" priority="81" operator="lessThan">
      <formula>0.8</formula>
    </cfRule>
  </conditionalFormatting>
  <conditionalFormatting sqref="AC12:AC13 R12:R13 AC64 R64:R71 AC19:AC33 R19:R33 R76 AC5:AC9 R5:R9 AC37:AC61 R37:R61">
    <cfRule type="cellIs" dxfId="1705" priority="85" operator="lessThan">
      <formula>0.8</formula>
    </cfRule>
  </conditionalFormatting>
  <conditionalFormatting sqref="AC47">
    <cfRule type="cellIs" dxfId="1704" priority="87" operator="lessThan">
      <formula>0.8</formula>
    </cfRule>
  </conditionalFormatting>
  <conditionalFormatting sqref="AC20:AC24">
    <cfRule type="cellIs" dxfId="1703" priority="84" operator="lessThan">
      <formula>0.8</formula>
    </cfRule>
  </conditionalFormatting>
  <conditionalFormatting sqref="AC26">
    <cfRule type="cellIs" dxfId="1702" priority="86" operator="lessThan">
      <formula>0.8</formula>
    </cfRule>
  </conditionalFormatting>
  <conditionalFormatting sqref="AC38:AC45">
    <cfRule type="cellIs" dxfId="1701" priority="82" operator="lessThan">
      <formula>0.8</formula>
    </cfRule>
  </conditionalFormatting>
  <conditionalFormatting sqref="AA65">
    <cfRule type="cellIs" dxfId="1700" priority="78" operator="lessThan">
      <formula>0</formula>
    </cfRule>
  </conditionalFormatting>
  <conditionalFormatting sqref="AB65">
    <cfRule type="cellIs" dxfId="1699" priority="76" operator="greaterThan">
      <formula>1</formula>
    </cfRule>
    <cfRule type="cellIs" dxfId="1698" priority="77" operator="lessThan">
      <formula>0.8</formula>
    </cfRule>
  </conditionalFormatting>
  <conditionalFormatting sqref="O14:O15">
    <cfRule type="cellIs" dxfId="1697" priority="71" operator="greaterThan">
      <formula>0</formula>
    </cfRule>
  </conditionalFormatting>
  <conditionalFormatting sqref="P14:P15">
    <cfRule type="cellIs" dxfId="1696" priority="74" operator="lessThan">
      <formula>0</formula>
    </cfRule>
  </conditionalFormatting>
  <conditionalFormatting sqref="Q14:Q15">
    <cfRule type="cellIs" dxfId="1695" priority="72" operator="greaterThan">
      <formula>1</formula>
    </cfRule>
    <cfRule type="cellIs" dxfId="1694" priority="73" operator="lessThan">
      <formula>0.8</formula>
    </cfRule>
  </conditionalFormatting>
  <conditionalFormatting sqref="R14:R15 AC14:AC15">
    <cfRule type="cellIs" dxfId="1693" priority="75" operator="lessThan">
      <formula>0.8</formula>
    </cfRule>
  </conditionalFormatting>
  <conditionalFormatting sqref="O10">
    <cfRule type="cellIs" dxfId="1692" priority="67" operator="greaterThan">
      <formula>0</formula>
    </cfRule>
  </conditionalFormatting>
  <conditionalFormatting sqref="P10">
    <cfRule type="cellIs" dxfId="1691" priority="70" operator="lessThan">
      <formula>0</formula>
    </cfRule>
  </conditionalFormatting>
  <conditionalFormatting sqref="Q10">
    <cfRule type="cellIs" dxfId="1690" priority="68" operator="greaterThan">
      <formula>1</formula>
    </cfRule>
    <cfRule type="cellIs" dxfId="1689" priority="69" operator="lessThan">
      <formula>0.8</formula>
    </cfRule>
  </conditionalFormatting>
  <conditionalFormatting sqref="O63">
    <cfRule type="cellIs" dxfId="1688" priority="62" operator="greaterThan">
      <formula>0</formula>
    </cfRule>
  </conditionalFormatting>
  <conditionalFormatting sqref="P63 AA63">
    <cfRule type="cellIs" dxfId="1687" priority="65" operator="lessThan">
      <formula>0</formula>
    </cfRule>
  </conditionalFormatting>
  <conditionalFormatting sqref="Q63 AB63">
    <cfRule type="cellIs" dxfId="1686" priority="63" operator="greaterThan">
      <formula>1</formula>
    </cfRule>
    <cfRule type="cellIs" dxfId="1685" priority="64" operator="lessThan">
      <formula>0.8</formula>
    </cfRule>
  </conditionalFormatting>
  <conditionalFormatting sqref="R63 AC63">
    <cfRule type="cellIs" dxfId="1684" priority="66" operator="lessThan">
      <formula>0.8</formula>
    </cfRule>
  </conditionalFormatting>
  <conditionalFormatting sqref="O34">
    <cfRule type="cellIs" dxfId="1683" priority="57" operator="greaterThan">
      <formula>0</formula>
    </cfRule>
  </conditionalFormatting>
  <conditionalFormatting sqref="P34">
    <cfRule type="cellIs" dxfId="1682" priority="60" operator="lessThan">
      <formula>0</formula>
    </cfRule>
  </conditionalFormatting>
  <conditionalFormatting sqref="Q34">
    <cfRule type="cellIs" dxfId="1681" priority="58" operator="greaterThan">
      <formula>1</formula>
    </cfRule>
    <cfRule type="cellIs" dxfId="1680" priority="59" operator="lessThan">
      <formula>0.8</formula>
    </cfRule>
  </conditionalFormatting>
  <conditionalFormatting sqref="R34 AC34">
    <cfRule type="cellIs" dxfId="1679" priority="61" operator="lessThan">
      <formula>0.8</formula>
    </cfRule>
  </conditionalFormatting>
  <conditionalFormatting sqref="O72">
    <cfRule type="cellIs" dxfId="1678" priority="52" operator="greaterThan">
      <formula>0</formula>
    </cfRule>
  </conditionalFormatting>
  <conditionalFormatting sqref="P72">
    <cfRule type="cellIs" dxfId="1677" priority="55" operator="lessThan">
      <formula>0</formula>
    </cfRule>
  </conditionalFormatting>
  <conditionalFormatting sqref="Q72">
    <cfRule type="cellIs" dxfId="1676" priority="53" operator="greaterThan">
      <formula>1</formula>
    </cfRule>
    <cfRule type="cellIs" dxfId="1675" priority="54" operator="lessThan">
      <formula>0.8</formula>
    </cfRule>
  </conditionalFormatting>
  <conditionalFormatting sqref="R72">
    <cfRule type="cellIs" dxfId="1674" priority="56" operator="lessThan">
      <formula>0.8</formula>
    </cfRule>
  </conditionalFormatting>
  <conditionalFormatting sqref="O16:O17">
    <cfRule type="cellIs" dxfId="1673" priority="47" operator="greaterThan">
      <formula>0</formula>
    </cfRule>
  </conditionalFormatting>
  <conditionalFormatting sqref="P16:P17">
    <cfRule type="cellIs" dxfId="1672" priority="50" operator="lessThan">
      <formula>0</formula>
    </cfRule>
  </conditionalFormatting>
  <conditionalFormatting sqref="Q16:Q17">
    <cfRule type="cellIs" dxfId="1671" priority="48" operator="greaterThan">
      <formula>1</formula>
    </cfRule>
    <cfRule type="cellIs" dxfId="1670" priority="49" operator="lessThan">
      <formula>0.8</formula>
    </cfRule>
  </conditionalFormatting>
  <conditionalFormatting sqref="R16:R17 AC16:AC17">
    <cfRule type="cellIs" dxfId="1669" priority="51" operator="lessThan">
      <formula>0.8</formula>
    </cfRule>
  </conditionalFormatting>
  <conditionalFormatting sqref="O35">
    <cfRule type="cellIs" dxfId="1668" priority="42" operator="greaterThan">
      <formula>0</formula>
    </cfRule>
  </conditionalFormatting>
  <conditionalFormatting sqref="P35">
    <cfRule type="cellIs" dxfId="1667" priority="45" operator="lessThan">
      <formula>0</formula>
    </cfRule>
  </conditionalFormatting>
  <conditionalFormatting sqref="Q35">
    <cfRule type="cellIs" dxfId="1666" priority="43" operator="greaterThan">
      <formula>1</formula>
    </cfRule>
    <cfRule type="cellIs" dxfId="1665" priority="44" operator="lessThan">
      <formula>0.8</formula>
    </cfRule>
  </conditionalFormatting>
  <conditionalFormatting sqref="R35 AC35">
    <cfRule type="cellIs" dxfId="1664" priority="46" operator="lessThan">
      <formula>0.8</formula>
    </cfRule>
  </conditionalFormatting>
  <conditionalFormatting sqref="O62">
    <cfRule type="cellIs" dxfId="1663" priority="37" operator="greaterThan">
      <formula>0</formula>
    </cfRule>
  </conditionalFormatting>
  <conditionalFormatting sqref="P62 AA62">
    <cfRule type="cellIs" dxfId="1662" priority="40" operator="lessThan">
      <formula>0</formula>
    </cfRule>
  </conditionalFormatting>
  <conditionalFormatting sqref="Q62 AB62">
    <cfRule type="cellIs" dxfId="1661" priority="38" operator="greaterThan">
      <formula>1</formula>
    </cfRule>
    <cfRule type="cellIs" dxfId="1660" priority="39" operator="lessThan">
      <formula>0.8</formula>
    </cfRule>
  </conditionalFormatting>
  <conditionalFormatting sqref="R62 AC62">
    <cfRule type="cellIs" dxfId="1659" priority="41" operator="lessThan">
      <formula>0.8</formula>
    </cfRule>
  </conditionalFormatting>
  <conditionalFormatting sqref="O18">
    <cfRule type="cellIs" dxfId="1658" priority="32" operator="greaterThan">
      <formula>0</formula>
    </cfRule>
  </conditionalFormatting>
  <conditionalFormatting sqref="P18">
    <cfRule type="cellIs" dxfId="1657" priority="35" operator="lessThan">
      <formula>0</formula>
    </cfRule>
  </conditionalFormatting>
  <conditionalFormatting sqref="Q18">
    <cfRule type="cellIs" dxfId="1656" priority="33" operator="greaterThan">
      <formula>1</formula>
    </cfRule>
    <cfRule type="cellIs" dxfId="1655" priority="34" operator="lessThan">
      <formula>0.8</formula>
    </cfRule>
  </conditionalFormatting>
  <conditionalFormatting sqref="AC18 R18">
    <cfRule type="cellIs" dxfId="1654" priority="36" operator="lessThan">
      <formula>0.8</formula>
    </cfRule>
  </conditionalFormatting>
  <conditionalFormatting sqref="P8">
    <cfRule type="cellIs" dxfId="1653" priority="31" operator="lessThan">
      <formula>0</formula>
    </cfRule>
  </conditionalFormatting>
  <conditionalFormatting sqref="P19">
    <cfRule type="cellIs" dxfId="1652" priority="30" operator="lessThan">
      <formula>0</formula>
    </cfRule>
  </conditionalFormatting>
  <conditionalFormatting sqref="P25">
    <cfRule type="cellIs" dxfId="1651" priority="29" operator="lessThan">
      <formula>0</formula>
    </cfRule>
  </conditionalFormatting>
  <conditionalFormatting sqref="P37">
    <cfRule type="cellIs" dxfId="1650" priority="28" operator="lessThan">
      <formula>0</formula>
    </cfRule>
  </conditionalFormatting>
  <conditionalFormatting sqref="P60">
    <cfRule type="cellIs" dxfId="1649" priority="27" operator="lessThan">
      <formula>0</formula>
    </cfRule>
  </conditionalFormatting>
  <conditionalFormatting sqref="P65">
    <cfRule type="cellIs" dxfId="1648" priority="26" operator="lessThan">
      <formula>0</formula>
    </cfRule>
  </conditionalFormatting>
  <conditionalFormatting sqref="P76">
    <cfRule type="cellIs" dxfId="1647" priority="25" operator="lessThan">
      <formula>0</formula>
    </cfRule>
  </conditionalFormatting>
  <conditionalFormatting sqref="O36">
    <cfRule type="cellIs" dxfId="1646" priority="20" operator="greaterThan">
      <formula>0</formula>
    </cfRule>
  </conditionalFormatting>
  <conditionalFormatting sqref="P36">
    <cfRule type="cellIs" dxfId="1645" priority="23" operator="lessThan">
      <formula>0</formula>
    </cfRule>
  </conditionalFormatting>
  <conditionalFormatting sqref="Q36">
    <cfRule type="cellIs" dxfId="1644" priority="21" operator="greaterThan">
      <formula>1</formula>
    </cfRule>
    <cfRule type="cellIs" dxfId="1643" priority="22" operator="lessThan">
      <formula>0.8</formula>
    </cfRule>
  </conditionalFormatting>
  <conditionalFormatting sqref="R36 AC36">
    <cfRule type="cellIs" dxfId="1642" priority="24" operator="lessThan">
      <formula>0.8</formula>
    </cfRule>
  </conditionalFormatting>
  <conditionalFormatting sqref="O73">
    <cfRule type="cellIs" dxfId="1641" priority="15" operator="greaterThan">
      <formula>0</formula>
    </cfRule>
  </conditionalFormatting>
  <conditionalFormatting sqref="P73">
    <cfRule type="cellIs" dxfId="1640" priority="18" operator="lessThan">
      <formula>0</formula>
    </cfRule>
  </conditionalFormatting>
  <conditionalFormatting sqref="Q73">
    <cfRule type="cellIs" dxfId="1639" priority="16" operator="greaterThan">
      <formula>1</formula>
    </cfRule>
    <cfRule type="cellIs" dxfId="1638" priority="17" operator="lessThan">
      <formula>0.8</formula>
    </cfRule>
  </conditionalFormatting>
  <conditionalFormatting sqref="R73">
    <cfRule type="cellIs" dxfId="1637" priority="19" operator="lessThan">
      <formula>0.8</formula>
    </cfRule>
  </conditionalFormatting>
  <conditionalFormatting sqref="O74">
    <cfRule type="cellIs" dxfId="1636" priority="10" operator="greaterThan">
      <formula>0</formula>
    </cfRule>
  </conditionalFormatting>
  <conditionalFormatting sqref="P74">
    <cfRule type="cellIs" dxfId="1635" priority="13" operator="lessThan">
      <formula>0</formula>
    </cfRule>
  </conditionalFormatting>
  <conditionalFormatting sqref="Q74">
    <cfRule type="cellIs" dxfId="1634" priority="11" operator="greaterThan">
      <formula>1</formula>
    </cfRule>
    <cfRule type="cellIs" dxfId="1633" priority="12" operator="lessThan">
      <formula>0.8</formula>
    </cfRule>
  </conditionalFormatting>
  <conditionalFormatting sqref="R74">
    <cfRule type="cellIs" dxfId="1632" priority="14" operator="lessThan">
      <formula>0.8</formula>
    </cfRule>
  </conditionalFormatting>
  <conditionalFormatting sqref="O75">
    <cfRule type="cellIs" dxfId="1631" priority="5" operator="greaterThan">
      <formula>0</formula>
    </cfRule>
  </conditionalFormatting>
  <conditionalFormatting sqref="P75">
    <cfRule type="cellIs" dxfId="1630" priority="8" operator="lessThan">
      <formula>0</formula>
    </cfRule>
  </conditionalFormatting>
  <conditionalFormatting sqref="Q75">
    <cfRule type="cellIs" dxfId="1629" priority="6" operator="greaterThan">
      <formula>1</formula>
    </cfRule>
    <cfRule type="cellIs" dxfId="1628" priority="7" operator="lessThan">
      <formula>0.8</formula>
    </cfRule>
  </conditionalFormatting>
  <conditionalFormatting sqref="R75">
    <cfRule type="cellIs" dxfId="1627" priority="9" operator="lessThan">
      <formula>0.8</formula>
    </cfRule>
  </conditionalFormatting>
  <conditionalFormatting sqref="O53">
    <cfRule type="cellIs" dxfId="1626" priority="4" operator="greaterThan">
      <formula>0</formula>
    </cfRule>
  </conditionalFormatting>
  <conditionalFormatting sqref="P53">
    <cfRule type="cellIs" dxfId="1625" priority="3" operator="lessThan">
      <formula>0</formula>
    </cfRule>
  </conditionalFormatting>
  <conditionalFormatting sqref="Q53">
    <cfRule type="cellIs" dxfId="1624" priority="1" operator="greaterThan">
      <formula>1</formula>
    </cfRule>
    <cfRule type="cellIs" dxfId="1623" priority="2" operator="lessThan">
      <formula>0.8</formula>
    </cfRule>
  </conditionalFormatting>
  <dataValidations count="1">
    <dataValidation type="list" allowBlank="1" showInputMessage="1" showErrorMessage="1" sqref="Z8 Y65:Z76 Y5:Z7 Y8:Y64 Z10:Z6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F37" sqref="F37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1925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61" t="s">
        <v>1753</v>
      </c>
      <c r="C3" s="420" t="str">
        <f>TEXT('0928 4度C'!A2,"yyyy.mm.ddaaaa")</f>
        <v>2025.09.28星期日</v>
      </c>
      <c r="D3" s="421"/>
      <c r="E3" s="361" t="s">
        <v>1926</v>
      </c>
      <c r="F3" s="422">
        <f>'0928 4度C'!D1</f>
        <v>145605</v>
      </c>
      <c r="G3" s="423"/>
      <c r="H3" s="361" t="s">
        <v>1755</v>
      </c>
      <c r="I3" s="424">
        <f>'0928 4度C'!F1</f>
        <v>4811205.5599999996</v>
      </c>
      <c r="J3" s="425"/>
      <c r="K3" s="45"/>
      <c r="L3" s="46"/>
      <c r="M3" s="47"/>
      <c r="N3" s="47"/>
    </row>
    <row r="4" spans="2:17" ht="28.5" customHeight="1">
      <c r="B4" s="426" t="s">
        <v>1927</v>
      </c>
      <c r="C4" s="429" t="s">
        <v>1928</v>
      </c>
      <c r="D4" s="430"/>
      <c r="E4" s="431" t="s">
        <v>1929</v>
      </c>
      <c r="F4" s="432"/>
      <c r="G4" s="431" t="s">
        <v>1930</v>
      </c>
      <c r="H4" s="432"/>
      <c r="I4" s="431" t="s">
        <v>1931</v>
      </c>
      <c r="J4" s="432"/>
      <c r="L4" s="47"/>
      <c r="M4" s="47"/>
      <c r="N4" s="47"/>
    </row>
    <row r="5" spans="2:17" ht="28.5" customHeight="1">
      <c r="B5" s="427"/>
      <c r="C5" s="429" t="s">
        <v>1932</v>
      </c>
      <c r="D5" s="430"/>
      <c r="E5" s="429" t="s">
        <v>1933</v>
      </c>
      <c r="F5" s="430"/>
      <c r="G5" s="433" t="s">
        <v>1934</v>
      </c>
      <c r="H5" s="434"/>
      <c r="I5" s="435" t="s">
        <v>1935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149.55969079083579</v>
      </c>
      <c r="F6" s="438">
        <f>AVERAGE(D27:O27,D13:J13)</f>
        <v>154.31766618097438</v>
      </c>
      <c r="G6" s="399">
        <f>AVERAGE(D13:J13)</f>
        <v>154.31766618097438</v>
      </c>
      <c r="H6" s="400"/>
      <c r="I6" s="399">
        <f>AVERAGE(K13:M13)</f>
        <v>138.45774821384578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143.24768926809523</v>
      </c>
      <c r="F7" s="406">
        <f>AVERAGE(D28:O28,D14:J14)</f>
        <v>147.90015458353781</v>
      </c>
      <c r="G7" s="407">
        <f>AVERAGE(D14:J14)</f>
        <v>147.90015458353781</v>
      </c>
      <c r="H7" s="408"/>
      <c r="I7" s="407">
        <f>AVERAGE(K14:M14)</f>
        <v>132.39193686539585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0.9576180692248254</v>
      </c>
      <c r="F8" s="410">
        <f>AVERAGE(D15:J15,D29:O29)</f>
        <v>0.95820715475785978</v>
      </c>
      <c r="G8" s="411">
        <f>AVERAGE(D15:J15)</f>
        <v>0.95820715475785978</v>
      </c>
      <c r="H8" s="412"/>
      <c r="I8" s="411">
        <f>AVERAGE(K15:M15)</f>
        <v>0.95624353631441183</v>
      </c>
      <c r="J8" s="412"/>
      <c r="K8" s="48" t="s">
        <v>1757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1936</v>
      </c>
      <c r="C10" s="414"/>
      <c r="D10" s="415" t="s">
        <v>1937</v>
      </c>
      <c r="E10" s="416"/>
      <c r="F10" s="416"/>
      <c r="G10" s="416"/>
      <c r="H10" s="416"/>
      <c r="I10" s="416"/>
      <c r="J10" s="417"/>
      <c r="K10" s="389" t="s">
        <v>1938</v>
      </c>
      <c r="L10" s="390"/>
      <c r="M10" s="391"/>
      <c r="P10" s="51"/>
      <c r="Q10" s="51"/>
    </row>
    <row r="11" spans="2:17" ht="17.25" customHeight="1">
      <c r="B11" s="392" t="s">
        <v>1939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1940</v>
      </c>
      <c r="C13" s="58" t="s">
        <v>1941</v>
      </c>
      <c r="D13" s="59">
        <f>SUMIFS('0928 4度C'!$K:$K,'0928 4度C'!$A:$A,"新豐6線",'0928 4度C'!$B:$B,"平均")</f>
        <v>125</v>
      </c>
      <c r="E13" s="60">
        <f>SUMIFS('0928 4度C'!$K:$K,'0928 4度C'!$A:$A,"新豐2線",'0928 4度C'!$B:$B,"平均")</f>
        <v>88.235294117647058</v>
      </c>
      <c r="F13" s="61">
        <f>SUMIFS('0928 4度C'!$K:$K,'0928 4度C'!$A:$A,"新豐5線",'0928 4度C'!$B:$B,"平均")</f>
        <v>88.541666666666671</v>
      </c>
      <c r="G13" s="61">
        <f>SUMIFS('0928 4度C'!$K:$K,'0928 4度C'!$A:$A,"新豐7線",'0928 4度C'!$B:$B,"平均")</f>
        <v>119.04761904761904</v>
      </c>
      <c r="H13" s="61">
        <f>SUMIFS('0928 4度C'!$K:$K,'0928 4度C'!$A:$A,"新豐3線",'0928 4度C'!$B:$B,"平均")</f>
        <v>310.34482758620692</v>
      </c>
      <c r="I13" s="61">
        <f>SUMIFS('0928 4度C'!$K:$K,'0928 4度C'!$A:$A,"新豐1線",'0928 4度C'!$B:$B,"平均")</f>
        <v>117.34693877551021</v>
      </c>
      <c r="J13" s="62">
        <f>SUMIFS('0928 4度C'!$K:$K,'0928 4度C'!$A:$A,"新豐10線",'0928 4度C'!$B:$B,"平均")</f>
        <v>231.70731707317074</v>
      </c>
      <c r="K13" s="63">
        <f>SUMIFS('0928 4度C'!$K:$K,'0928 4度C'!$A:$A,"新豐8線",'0928 4度C'!$B:$B,"平均")</f>
        <v>133.33333333333334</v>
      </c>
      <c r="L13" s="64">
        <f>SUMIFS('0928 4度C'!$K:$K,'0928 4度C'!$A:$A,"新豐9線",'0928 4度C'!$B:$B,"平均")</f>
        <v>145.45454545454547</v>
      </c>
      <c r="M13" s="62">
        <f>SUMIFS('0928 4度C'!$K:$K,'0928 4度C'!$A:$A,"新豐4線",'0928 4度C'!$B:$B,"平均")</f>
        <v>136.58536585365852</v>
      </c>
    </row>
    <row r="14" spans="2:17" ht="39.6" customHeight="1">
      <c r="B14" s="397"/>
      <c r="C14" s="65" t="s">
        <v>1942</v>
      </c>
      <c r="D14" s="66">
        <f>SUMIFS('0928 4度C'!$N:$N,'0928 4度C'!$A:$A,"新豐6線",'0928 4度C'!$B:$B,"平均")</f>
        <v>120.08963585434164</v>
      </c>
      <c r="E14" s="67">
        <f>SUMIFS('0928 4度C'!$N:$N,'0928 4度C'!$A:$A,"新豐2線",'0928 4度C'!$B:$B,"平均")</f>
        <v>84.324324324324294</v>
      </c>
      <c r="F14" s="67">
        <f>SUMIFS('0928 4度C'!$N:$N,'0928 4度C'!$A:$A,"新豐5線",'0928 4度C'!$B:$B,"平均")</f>
        <v>84.775048144923034</v>
      </c>
      <c r="G14" s="67">
        <f>SUMIFS('0928 4度C'!$N:$N,'0928 4度C'!$A:$A,"新豐7線",'0928 4度C'!$B:$B,"平均")</f>
        <v>113.85187876217809</v>
      </c>
      <c r="H14" s="67">
        <f>SUMIFS('0928 4度C'!$N:$N,'0928 4度C'!$A:$A,"新豐3線",'0928 4度C'!$B:$B,"平均")</f>
        <v>297.12685266351684</v>
      </c>
      <c r="I14" s="67">
        <f>SUMIFS('0928 4度C'!$N:$N,'0928 4度C'!$A:$A,"新豐1線",'0928 4度C'!$B:$B,"平均")</f>
        <v>112.57112232552551</v>
      </c>
      <c r="J14" s="68">
        <f>SUMIFS('0928 4度C'!$N:$N,'0928 4度C'!$A:$A,"新豐10線",'0928 4度C'!$B:$B,"平均")</f>
        <v>222.56222000995527</v>
      </c>
      <c r="K14" s="69">
        <f>SUMIFS('0928 4度C'!$N:$N,'0928 4度C'!$A:$A,"新豐8線",'0928 4度C'!$B:$B,"平均")</f>
        <v>127.72044081585267</v>
      </c>
      <c r="L14" s="70">
        <f>SUMIFS('0928 4度C'!$N:$N,'0928 4度C'!$A:$A,"新豐9線",'0928 4度C'!$B:$B,"平均")</f>
        <v>138.81490607096862</v>
      </c>
      <c r="M14" s="68">
        <f>SUMIFS('0928 4度C'!$N:$N,'0928 4度C'!$A:$A,"新豐4線",'0928 4度C'!$B:$B,"平均")</f>
        <v>130.64046370936626</v>
      </c>
    </row>
    <row r="15" spans="2:17" ht="40.15" customHeight="1">
      <c r="B15" s="398"/>
      <c r="C15" s="71" t="s">
        <v>1943</v>
      </c>
      <c r="D15" s="72">
        <f t="shared" ref="D15:M15" si="0">D14/D13</f>
        <v>0.96071708683473311</v>
      </c>
      <c r="E15" s="73">
        <f t="shared" si="0"/>
        <v>0.95567567567567535</v>
      </c>
      <c r="F15" s="73">
        <f t="shared" si="0"/>
        <v>0.95745936728383652</v>
      </c>
      <c r="G15" s="73">
        <f t="shared" si="0"/>
        <v>0.95635578160229606</v>
      </c>
      <c r="H15" s="73">
        <f t="shared" si="0"/>
        <v>0.95740874747133198</v>
      </c>
      <c r="I15" s="73">
        <f t="shared" si="0"/>
        <v>0.95930173807839125</v>
      </c>
      <c r="J15" s="74">
        <f t="shared" si="0"/>
        <v>0.9605316863587543</v>
      </c>
      <c r="K15" s="72">
        <f t="shared" si="0"/>
        <v>0.95790330611889496</v>
      </c>
      <c r="L15" s="73">
        <f t="shared" si="0"/>
        <v>0.95435247923790911</v>
      </c>
      <c r="M15" s="74">
        <f t="shared" si="0"/>
        <v>0.95647482358643166</v>
      </c>
    </row>
    <row r="16" spans="2:17" ht="17.25" customHeight="1">
      <c r="B16" s="401" t="s">
        <v>1944</v>
      </c>
      <c r="C16" s="360" t="s">
        <v>1945</v>
      </c>
      <c r="D16" s="76">
        <f>VLOOKUP("新豐6線",'0928 4度C'!$A:$T,19,0)</f>
        <v>0.70833333333333337</v>
      </c>
      <c r="E16" s="28">
        <f>VLOOKUP("新豐2線",'0928 4度C'!$A:$T,19,0)</f>
        <v>0.20833333333333334</v>
      </c>
      <c r="F16" s="28">
        <f>VLOOKUP("新豐5線",'0928 4度C'!$A:$T,19,0)</f>
        <v>0.20833333333333334</v>
      </c>
      <c r="G16" s="28">
        <f>VLOOKUP("新豐7線",'0928 4度C'!$A:$T,19,0)</f>
        <v>0.20833333333333334</v>
      </c>
      <c r="H16" s="28">
        <f>VLOOKUP("新豐3線",'0928 4度C'!$A:$T,19,0)</f>
        <v>8.3333333333333329E-2</v>
      </c>
      <c r="I16" s="28">
        <f>VLOOKUP("新豐1線",'0928 4度C'!$A:$T,19,0)</f>
        <v>0.29166666666666669</v>
      </c>
      <c r="J16" s="77">
        <f>VLOOKUP("新豐10線",'0928 4度C'!$A:$T,19,0)</f>
        <v>0.20833333333333334</v>
      </c>
      <c r="K16" s="78">
        <f>VLOOKUP("新豐8線",'0928 4度C'!$A:$T,19,0)</f>
        <v>8.3333333333333329E-2</v>
      </c>
      <c r="L16" s="79">
        <f>VLOOKUP("新豐9線",'0928 4度C'!$A:$T,19,0)</f>
        <v>8.3333333333333329E-2</v>
      </c>
      <c r="M16" s="80">
        <f>VLOOKUP("新豐4線",'0928 4度C'!$A:$T,19,0)</f>
        <v>8.3333333333333329E-2</v>
      </c>
    </row>
    <row r="17" spans="2:13" ht="17.25" customHeight="1">
      <c r="B17" s="402"/>
      <c r="C17" s="360" t="s">
        <v>1946</v>
      </c>
      <c r="D17" s="78">
        <f>LOOKUP(2,1/(('0928 4度C'!$A:$A="新豐6線")*('0928 4度C'!$T:$T&lt;&gt;"")),'0928 4度C'!$T:$T)</f>
        <v>0.82500000000000007</v>
      </c>
      <c r="E17" s="28">
        <f>LOOKUP(2,1/(('0928 4度C'!$A:$A="新豐2線")*('0928 4度C'!$T:$T&lt;&gt;"")),'0928 4度C'!$T:$T)</f>
        <v>0.36250000000000004</v>
      </c>
      <c r="F17" s="28">
        <f>LOOKUP(2,1/(('0928 4度C'!$A:$A="新豐5線")*('0928 4度C'!$T:$T&lt;&gt;"")),'0928 4度C'!$T:$T)</f>
        <v>0.83819444444444446</v>
      </c>
      <c r="G17" s="28">
        <f>LOOKUP(2,1/(('0928 4度C'!$A:$A="新豐7線")*('0928 4度C'!$T:$T&lt;&gt;"")),'0928 4度C'!$T:$T)</f>
        <v>0.77500000000000002</v>
      </c>
      <c r="H17" s="28">
        <f>LOOKUP(2,1/(('0928 4度C'!$A:$A="新豐3線")*('0928 4度C'!$T:$T&lt;&gt;"")),'0928 4度C'!$T:$T)</f>
        <v>0.42499999999999993</v>
      </c>
      <c r="I17" s="28">
        <f>LOOKUP(2,1/(('0928 4度C'!$A:$A="新豐1線")*('0928 4度C'!$T:$T&lt;&gt;"")),'0928 4度C'!$T:$T)</f>
        <v>0.84027777777777779</v>
      </c>
      <c r="J17" s="77">
        <f>LOOKUP(2,1/(('0928 4度C'!$A:$A="新豐10線")*('0928 4度C'!$T:$T&lt;&gt;"")),'0928 4度C'!$T:$T)</f>
        <v>0.39513888888888882</v>
      </c>
      <c r="K17" s="76">
        <f>LOOKUP(2,1/(('0928 4度C'!$A:$A="新豐8線")*('0928 4度C'!$T:$T&lt;&gt;"")),'0928 4度C'!$T:$T)</f>
        <v>0.60416666666666652</v>
      </c>
      <c r="L17" s="28">
        <f>LOOKUP(2,1/(('0928 4度C'!$A:$A="新豐9線")*('0928 4度C'!$T:$T&lt;&gt;"")),'0928 4度C'!$T:$T)</f>
        <v>0.54513888888888884</v>
      </c>
      <c r="M17" s="77">
        <f>LOOKUP(2,1/(('0928 4度C'!$A:$A="新豐4線")*('0928 4度C'!$T:$T&lt;&gt;"")),'0928 4度C'!$T:$T)</f>
        <v>0.53680555555555554</v>
      </c>
    </row>
    <row r="18" spans="2:13" ht="17.25" customHeight="1">
      <c r="B18" s="383" t="s">
        <v>1947</v>
      </c>
      <c r="C18" s="384"/>
      <c r="D18" s="81">
        <f>SUMIFS('0928 4度C'!$I:$I,'0928 4度C'!$A:$A,"新豐6線",'0928 4度C'!$B:$B,"平均")</f>
        <v>16</v>
      </c>
      <c r="E18" s="82">
        <f>SUMIFS('0928 4度C'!$I:$I,'0928 4度C'!$A:$A,"新豐2線",'0928 4度C'!$B:$B,"平均")</f>
        <v>17</v>
      </c>
      <c r="F18" s="82">
        <f>SUMIFS('0928 4度C'!$I:$I,'0928 4度C'!$A:$A,"新豐5線",'0928 4度C'!$B:$B,"平均")</f>
        <v>19.2</v>
      </c>
      <c r="G18" s="82">
        <f>SUMIFS('0928 4度C'!$I:$I,'0928 4度C'!$A:$A,"新豐7線",'0928 4度C'!$B:$B,"平均")</f>
        <v>16.8</v>
      </c>
      <c r="H18" s="82">
        <f>SUMIFS('0928 4度C'!$I:$I,'0928 4度C'!$A:$A,"新豐3線",'0928 4度C'!$B:$B,"平均")</f>
        <v>9.6666666666666661</v>
      </c>
      <c r="I18" s="82">
        <f>SUMIFS('0928 4度C'!$I:$I,'0928 4度C'!$A:$A,"新豐1線",'0928 4度C'!$B:$B,"平均")</f>
        <v>16.333333333333332</v>
      </c>
      <c r="J18" s="83">
        <f>SUMIFS('0928 4度C'!$I:$I,'0928 4度C'!$A:$A,"新豐10線",'0928 4度C'!$B:$B,"平均")</f>
        <v>10.25</v>
      </c>
      <c r="K18" s="81">
        <f>SUMIFS('0928 4度C'!$I:$I,'0928 4度C'!$A:$A,"新豐8線",'0928 4度C'!$B:$B,"平均")</f>
        <v>18</v>
      </c>
      <c r="L18" s="82">
        <f>SUMIFS('0928 4度C'!$I:$I,'0928 4度C'!$A:$A,"新豐9線",'0928 4度C'!$B:$B,"平均")</f>
        <v>16.5</v>
      </c>
      <c r="M18" s="83">
        <f>SUMIFS('0928 4度C'!$I:$I,'0928 4度C'!$A:$A,"新豐4線",'0928 4度C'!$B:$B,"平均")</f>
        <v>17.571428571428573</v>
      </c>
    </row>
    <row r="19" spans="2:13" ht="17.25" customHeight="1">
      <c r="B19" s="383" t="s">
        <v>1948</v>
      </c>
      <c r="C19" s="384"/>
      <c r="D19" s="84" t="s">
        <v>148</v>
      </c>
      <c r="E19" s="85" t="s">
        <v>149</v>
      </c>
      <c r="F19" s="85" t="s">
        <v>1949</v>
      </c>
      <c r="G19" s="85" t="s">
        <v>1949</v>
      </c>
      <c r="H19" s="85" t="s">
        <v>151</v>
      </c>
      <c r="I19" s="85" t="s">
        <v>148</v>
      </c>
      <c r="J19" s="86" t="s">
        <v>151</v>
      </c>
      <c r="K19" s="84" t="s">
        <v>1950</v>
      </c>
      <c r="L19" s="85" t="s">
        <v>1950</v>
      </c>
      <c r="M19" s="86" t="s">
        <v>1950</v>
      </c>
    </row>
    <row r="20" spans="2:13" ht="17.25" customHeight="1">
      <c r="B20" s="383" t="s">
        <v>1951</v>
      </c>
      <c r="C20" s="384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1952</v>
      </c>
      <c r="C21" s="386"/>
      <c r="D21" s="87"/>
      <c r="E21" s="88" t="s">
        <v>1953</v>
      </c>
      <c r="F21" s="387" t="s">
        <v>1954</v>
      </c>
      <c r="G21" s="388"/>
      <c r="H21" s="88" t="s">
        <v>1955</v>
      </c>
      <c r="I21" s="88" t="s">
        <v>1956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6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4"/>
  <sheetViews>
    <sheetView zoomScale="80" zoomScaleNormal="80" workbookViewId="0">
      <pane ySplit="4" topLeftCell="A26" activePane="bottomLeft" state="frozen"/>
      <selection activeCell="F37" sqref="F37"/>
      <selection pane="bottomLeft" sqref="A1:N104857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1957</v>
      </c>
      <c r="B1" s="1"/>
      <c r="C1" s="2" t="s">
        <v>1958</v>
      </c>
      <c r="D1" s="3">
        <f>SUM(F5:F63)</f>
        <v>145605</v>
      </c>
      <c r="E1" s="346" t="s">
        <v>1959</v>
      </c>
      <c r="F1" s="1">
        <f>SUM(G5:G63)</f>
        <v>4811205.5599999996</v>
      </c>
      <c r="G1" s="1" t="s">
        <v>1960</v>
      </c>
      <c r="H1" s="106">
        <f>L8+L10+L43+L50+L16+L55+L31+L36+L22+L63</f>
        <v>157.32142857142858</v>
      </c>
      <c r="I1" s="482" t="s">
        <v>1961</v>
      </c>
      <c r="J1" s="482"/>
      <c r="K1" s="482"/>
      <c r="L1" s="482" t="s">
        <v>1962</v>
      </c>
      <c r="M1" s="482"/>
      <c r="N1" s="482"/>
      <c r="O1" s="482" t="s">
        <v>1963</v>
      </c>
      <c r="P1" s="482"/>
      <c r="Q1" s="482"/>
      <c r="R1" s="482"/>
      <c r="S1" s="482" t="s">
        <v>1964</v>
      </c>
      <c r="T1" s="482"/>
      <c r="U1" s="482"/>
      <c r="V1" s="482"/>
      <c r="W1" s="482"/>
      <c r="X1" s="482"/>
      <c r="Y1" s="482" t="s">
        <v>1965</v>
      </c>
      <c r="Z1" s="482"/>
      <c r="AA1" s="482" t="s">
        <v>1966</v>
      </c>
      <c r="AB1" s="483"/>
      <c r="AC1" s="483"/>
    </row>
    <row r="2" spans="1:29" ht="26.25" customHeight="1">
      <c r="A2" s="24">
        <v>45928</v>
      </c>
      <c r="B2" s="25" t="s">
        <v>541</v>
      </c>
      <c r="C2" s="2" t="s">
        <v>1940</v>
      </c>
      <c r="D2" s="6">
        <f>AVERAGE(N8,N10,N43,N50,N16,N55,N22,N31,N36,N63)</f>
        <v>143.24768926809523</v>
      </c>
      <c r="E2" s="7" t="s">
        <v>11</v>
      </c>
      <c r="F2" s="8">
        <f>F1/D1</f>
        <v>33.042859517186905</v>
      </c>
      <c r="G2" s="1" t="s">
        <v>1967</v>
      </c>
      <c r="H2" s="358">
        <f>COUNT(H5:H62)</f>
        <v>1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1968</v>
      </c>
      <c r="B3" s="443" t="s">
        <v>1969</v>
      </c>
      <c r="C3" s="443" t="s">
        <v>1970</v>
      </c>
      <c r="D3" s="443"/>
      <c r="E3" s="484" t="s">
        <v>1971</v>
      </c>
      <c r="F3" s="443" t="s">
        <v>1972</v>
      </c>
      <c r="G3" s="484" t="s">
        <v>1973</v>
      </c>
      <c r="H3" s="487" t="s">
        <v>1974</v>
      </c>
      <c r="I3" s="474" t="s">
        <v>1975</v>
      </c>
      <c r="J3" s="479" t="s">
        <v>1976</v>
      </c>
      <c r="K3" s="481" t="s">
        <v>1940</v>
      </c>
      <c r="L3" s="474" t="s">
        <v>1975</v>
      </c>
      <c r="M3" s="479" t="s">
        <v>1976</v>
      </c>
      <c r="N3" s="481" t="s">
        <v>1940</v>
      </c>
      <c r="O3" s="474" t="s">
        <v>1975</v>
      </c>
      <c r="P3" s="481" t="s">
        <v>1940</v>
      </c>
      <c r="Q3" s="480" t="s">
        <v>1977</v>
      </c>
      <c r="R3" s="451" t="s">
        <v>1978</v>
      </c>
      <c r="S3" s="486" t="s">
        <v>25</v>
      </c>
      <c r="T3" s="486"/>
      <c r="U3" s="476" t="s">
        <v>26</v>
      </c>
      <c r="V3" s="476" t="s">
        <v>1979</v>
      </c>
      <c r="W3" s="443" t="s">
        <v>1661</v>
      </c>
      <c r="X3" s="443"/>
      <c r="Y3" s="477" t="s">
        <v>1856</v>
      </c>
      <c r="Z3" s="478"/>
      <c r="AA3" s="479" t="s">
        <v>1663</v>
      </c>
      <c r="AB3" s="480" t="s">
        <v>1980</v>
      </c>
      <c r="AC3" s="451" t="s">
        <v>1978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57" t="s">
        <v>31</v>
      </c>
      <c r="T4" s="357" t="s">
        <v>32</v>
      </c>
      <c r="U4" s="476"/>
      <c r="V4" s="476"/>
      <c r="W4" s="346" t="s">
        <v>1924</v>
      </c>
      <c r="X4" s="346" t="s">
        <v>1745</v>
      </c>
      <c r="Y4" s="478"/>
      <c r="Z4" s="478"/>
      <c r="AA4" s="479"/>
      <c r="AB4" s="480"/>
      <c r="AC4" s="451"/>
    </row>
    <row r="5" spans="1:29">
      <c r="A5" s="473" t="s">
        <v>1981</v>
      </c>
      <c r="B5" s="31" t="s">
        <v>58</v>
      </c>
      <c r="C5" s="475" t="s">
        <v>104</v>
      </c>
      <c r="D5" s="475"/>
      <c r="E5" s="31">
        <v>46.93</v>
      </c>
      <c r="F5" s="357">
        <v>901</v>
      </c>
      <c r="G5" s="346">
        <f>E5*F5</f>
        <v>42283.93</v>
      </c>
      <c r="H5" s="359" t="s">
        <v>103</v>
      </c>
      <c r="I5" s="355">
        <v>16</v>
      </c>
      <c r="J5" s="26">
        <v>2000</v>
      </c>
      <c r="K5" s="10">
        <f>J5/I5</f>
        <v>125</v>
      </c>
      <c r="L5" s="355">
        <v>16</v>
      </c>
      <c r="M5" s="11">
        <f>F5/V5*60</f>
        <v>1930.7142857142817</v>
      </c>
      <c r="N5" s="10">
        <f>M5/L5</f>
        <v>120.66964285714261</v>
      </c>
      <c r="O5" s="12">
        <f t="shared" ref="O5:O7" si="0">L5-I5</f>
        <v>0</v>
      </c>
      <c r="P5" s="13">
        <f t="shared" ref="P5:P7" si="1">N5-K5</f>
        <v>-4.3303571428573946</v>
      </c>
      <c r="Q5" s="351">
        <f>N5/K5</f>
        <v>0.9653571428571408</v>
      </c>
      <c r="R5" s="442">
        <f>Q8</f>
        <v>0.96071708683473311</v>
      </c>
      <c r="S5" s="28">
        <v>0.70833333333333337</v>
      </c>
      <c r="T5" s="28">
        <v>0.72777777777777786</v>
      </c>
      <c r="U5" s="346"/>
      <c r="V5" s="356">
        <f>(T5-S5)*24*60</f>
        <v>28.00000000000006</v>
      </c>
      <c r="W5" s="16"/>
      <c r="X5" s="17"/>
      <c r="Y5" s="443"/>
      <c r="Z5" s="443"/>
      <c r="AA5" s="12">
        <f t="shared" ref="AA5:AA63" si="2">M5-J5</f>
        <v>-69.285714285718313</v>
      </c>
      <c r="AB5" s="351">
        <f t="shared" ref="AB5:AB7" si="3">M5/J5</f>
        <v>0.9653571428571408</v>
      </c>
      <c r="AC5" s="442">
        <f>AB8</f>
        <v>0.96071708683473311</v>
      </c>
    </row>
    <row r="6" spans="1:29">
      <c r="A6" s="474" t="s">
        <v>1747</v>
      </c>
      <c r="B6" s="31" t="s">
        <v>58</v>
      </c>
      <c r="C6" s="475" t="s">
        <v>105</v>
      </c>
      <c r="D6" s="475"/>
      <c r="E6" s="31">
        <v>50.49</v>
      </c>
      <c r="F6" s="357">
        <v>2171</v>
      </c>
      <c r="G6" s="346">
        <f t="shared" ref="G6:G7" si="4">E6*F6</f>
        <v>109613.79000000001</v>
      </c>
      <c r="H6" s="359" t="s">
        <v>103</v>
      </c>
      <c r="I6" s="355">
        <v>15</v>
      </c>
      <c r="J6" s="26">
        <v>2000</v>
      </c>
      <c r="K6" s="10">
        <f t="shared" ref="K6:K7" si="5">J6/I6</f>
        <v>133.33333333333334</v>
      </c>
      <c r="L6" s="355">
        <v>15</v>
      </c>
      <c r="M6" s="11">
        <f>F6/V6*60</f>
        <v>1915.5882352941153</v>
      </c>
      <c r="N6" s="10">
        <f t="shared" ref="N6:N7" si="6">M6/L6</f>
        <v>127.70588235294102</v>
      </c>
      <c r="O6" s="12">
        <f t="shared" si="0"/>
        <v>0</v>
      </c>
      <c r="P6" s="13">
        <f t="shared" si="1"/>
        <v>-5.6274509803923252</v>
      </c>
      <c r="Q6" s="351">
        <f t="shared" ref="Q6:Q7" si="7">N6/K6</f>
        <v>0.95779411764705757</v>
      </c>
      <c r="R6" s="442"/>
      <c r="S6" s="28">
        <v>0.73194444444444451</v>
      </c>
      <c r="T6" s="28">
        <v>0.77916666666666679</v>
      </c>
      <c r="U6" s="346">
        <f>(S6-T5)*24*60</f>
        <v>5.9999999999999787</v>
      </c>
      <c r="V6" s="356">
        <f>(T6-S6)*24*60</f>
        <v>68.000000000000085</v>
      </c>
      <c r="W6" s="16"/>
      <c r="X6" s="16"/>
      <c r="Y6" s="443"/>
      <c r="Z6" s="443"/>
      <c r="AA6" s="12">
        <f t="shared" si="2"/>
        <v>-84.411764705884707</v>
      </c>
      <c r="AB6" s="351">
        <f t="shared" si="3"/>
        <v>0.95779411764705769</v>
      </c>
      <c r="AC6" s="442"/>
    </row>
    <row r="7" spans="1:29">
      <c r="A7" s="474" t="s">
        <v>1747</v>
      </c>
      <c r="B7" s="31" t="s">
        <v>58</v>
      </c>
      <c r="C7" s="471" t="s">
        <v>106</v>
      </c>
      <c r="D7" s="472"/>
      <c r="E7" s="31">
        <v>50.67</v>
      </c>
      <c r="F7" s="357">
        <v>1918</v>
      </c>
      <c r="G7" s="346">
        <f t="shared" si="4"/>
        <v>97185.06</v>
      </c>
      <c r="H7" s="359" t="s">
        <v>103</v>
      </c>
      <c r="I7" s="355">
        <v>17</v>
      </c>
      <c r="J7" s="26">
        <v>2000</v>
      </c>
      <c r="K7" s="10">
        <f t="shared" si="5"/>
        <v>117.64705882352941</v>
      </c>
      <c r="L7" s="355">
        <v>17</v>
      </c>
      <c r="M7" s="11">
        <f t="shared" ref="M7" si="8">F7/V7*60</f>
        <v>1918.0000000000018</v>
      </c>
      <c r="N7" s="10">
        <f t="shared" si="6"/>
        <v>112.82352941176481</v>
      </c>
      <c r="O7" s="12">
        <f t="shared" si="0"/>
        <v>0</v>
      </c>
      <c r="P7" s="13">
        <f t="shared" si="1"/>
        <v>-4.8235294117645964</v>
      </c>
      <c r="Q7" s="351">
        <f t="shared" si="7"/>
        <v>0.95900000000000096</v>
      </c>
      <c r="R7" s="442"/>
      <c r="S7" s="28">
        <v>0.78333333333333344</v>
      </c>
      <c r="T7" s="28">
        <v>0.82500000000000007</v>
      </c>
      <c r="U7" s="346">
        <f t="shared" ref="U7" si="9">(S7-T6)*24*60</f>
        <v>5.9999999999999787</v>
      </c>
      <c r="V7" s="356">
        <f t="shared" ref="V7" si="10">(T7-S7)*24*60</f>
        <v>59.999999999999943</v>
      </c>
      <c r="W7" s="16"/>
      <c r="X7" s="16"/>
      <c r="Y7" s="447"/>
      <c r="Z7" s="448"/>
      <c r="AA7" s="12">
        <f t="shared" si="2"/>
        <v>-81.999999999998181</v>
      </c>
      <c r="AB7" s="351">
        <f t="shared" si="3"/>
        <v>0.95900000000000096</v>
      </c>
      <c r="AC7" s="442"/>
    </row>
    <row r="8" spans="1:29">
      <c r="A8" s="474" t="s">
        <v>1747</v>
      </c>
      <c r="B8" s="31" t="s">
        <v>1678</v>
      </c>
      <c r="C8" s="446"/>
      <c r="D8" s="446"/>
      <c r="E8" s="345"/>
      <c r="F8" s="33"/>
      <c r="G8" s="10"/>
      <c r="H8" s="357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1921.4341736694662</v>
      </c>
      <c r="N8" s="10">
        <f>M8/L8</f>
        <v>120.08963585434164</v>
      </c>
      <c r="O8" s="12">
        <f>L8-I8</f>
        <v>0</v>
      </c>
      <c r="P8" s="13">
        <f>N8-K8</f>
        <v>-4.9103641456583631</v>
      </c>
      <c r="Q8" s="351">
        <f>N8/K8</f>
        <v>0.96071708683473311</v>
      </c>
      <c r="R8" s="442"/>
      <c r="S8" s="28"/>
      <c r="T8" s="28"/>
      <c r="U8" s="346"/>
      <c r="V8" s="356"/>
      <c r="W8" s="10"/>
      <c r="X8" s="10"/>
      <c r="Y8" s="443"/>
      <c r="Z8" s="443"/>
      <c r="AA8" s="12">
        <f t="shared" si="2"/>
        <v>-78.56582633053381</v>
      </c>
      <c r="AB8" s="351">
        <f>M8/J8</f>
        <v>0.96071708683473311</v>
      </c>
      <c r="AC8" s="442"/>
    </row>
    <row r="9" spans="1:29" ht="15.75" customHeight="1">
      <c r="A9" s="439" t="s">
        <v>1748</v>
      </c>
      <c r="B9" s="31" t="s">
        <v>53</v>
      </c>
      <c r="C9" s="471" t="s">
        <v>54</v>
      </c>
      <c r="D9" s="472"/>
      <c r="E9" s="31">
        <v>39.799999999999997</v>
      </c>
      <c r="F9" s="357">
        <v>5304</v>
      </c>
      <c r="G9" s="346">
        <f t="shared" ref="G9" si="11">E9*F9</f>
        <v>211099.19999999998</v>
      </c>
      <c r="H9" s="359" t="s">
        <v>103</v>
      </c>
      <c r="I9" s="355">
        <v>17</v>
      </c>
      <c r="J9" s="26">
        <v>1500</v>
      </c>
      <c r="K9" s="10">
        <f t="shared" ref="K9" si="12">J9/I9</f>
        <v>88.235294117647058</v>
      </c>
      <c r="L9" s="355">
        <v>17</v>
      </c>
      <c r="M9" s="11">
        <f t="shared" ref="M9" si="13">F9/V9*60</f>
        <v>1433.5135135135131</v>
      </c>
      <c r="N9" s="10">
        <f t="shared" ref="N9" si="14">M9/L9</f>
        <v>84.324324324324294</v>
      </c>
      <c r="O9" s="12">
        <f t="shared" ref="O9" si="15">L9-I9</f>
        <v>0</v>
      </c>
      <c r="P9" s="13">
        <f>N9-K9</f>
        <v>-3.9109697933227636</v>
      </c>
      <c r="Q9" s="351">
        <f>N9/K9</f>
        <v>0.95567567567567535</v>
      </c>
      <c r="R9" s="442">
        <f>Q10</f>
        <v>0.95567567567567535</v>
      </c>
      <c r="S9" s="28">
        <v>0.20833333333333334</v>
      </c>
      <c r="T9" s="28">
        <v>0.36250000000000004</v>
      </c>
      <c r="U9" s="346"/>
      <c r="V9" s="356">
        <f t="shared" ref="V9" si="16">(T9-S9)*24*60</f>
        <v>222.00000000000006</v>
      </c>
      <c r="W9" s="16"/>
      <c r="X9" s="16"/>
      <c r="Y9" s="443"/>
      <c r="Z9" s="443"/>
      <c r="AA9" s="12">
        <f t="shared" si="2"/>
        <v>-66.486486486486911</v>
      </c>
      <c r="AB9" s="351">
        <f>M9/J9</f>
        <v>0.95567567567567535</v>
      </c>
      <c r="AC9" s="442">
        <f>AB10</f>
        <v>0.95567567567567535</v>
      </c>
    </row>
    <row r="10" spans="1:29" ht="16.5" customHeight="1">
      <c r="A10" s="439" t="s">
        <v>1748</v>
      </c>
      <c r="B10" s="31" t="s">
        <v>1678</v>
      </c>
      <c r="C10" s="446"/>
      <c r="D10" s="446"/>
      <c r="E10" s="345"/>
      <c r="F10" s="26"/>
      <c r="G10" s="11"/>
      <c r="H10" s="357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1433.5135135135131</v>
      </c>
      <c r="N10" s="10">
        <f>M10/L10</f>
        <v>84.324324324324294</v>
      </c>
      <c r="O10" s="12">
        <f>L10-I10</f>
        <v>0</v>
      </c>
      <c r="P10" s="13">
        <f>N10-K10</f>
        <v>-3.9109697933227636</v>
      </c>
      <c r="Q10" s="351">
        <f>N10/K10</f>
        <v>0.95567567567567535</v>
      </c>
      <c r="R10" s="442"/>
      <c r="S10" s="28"/>
      <c r="T10" s="28"/>
      <c r="U10" s="10"/>
      <c r="V10" s="356"/>
      <c r="W10" s="10"/>
      <c r="X10" s="10"/>
      <c r="Y10" s="443"/>
      <c r="Z10" s="443"/>
      <c r="AA10" s="12">
        <f t="shared" si="2"/>
        <v>-66.486486486486911</v>
      </c>
      <c r="AB10" s="351">
        <f t="shared" ref="AB10:AB22" si="17">M10/J10</f>
        <v>0.95567567567567535</v>
      </c>
      <c r="AC10" s="442"/>
    </row>
    <row r="11" spans="1:29" ht="16.5" customHeight="1">
      <c r="A11" s="469" t="s">
        <v>1749</v>
      </c>
      <c r="B11" s="357" t="s">
        <v>56</v>
      </c>
      <c r="C11" s="464" t="s">
        <v>57</v>
      </c>
      <c r="D11" s="464"/>
      <c r="E11" s="31">
        <v>41</v>
      </c>
      <c r="F11" s="357">
        <v>1827</v>
      </c>
      <c r="G11" s="346">
        <f t="shared" ref="G11:G15" si="18">E11*F11</f>
        <v>74907</v>
      </c>
      <c r="H11" s="359" t="s">
        <v>103</v>
      </c>
      <c r="I11" s="355">
        <v>26</v>
      </c>
      <c r="J11" s="26">
        <v>1500</v>
      </c>
      <c r="K11" s="10">
        <f>J11/I11</f>
        <v>57.692307692307693</v>
      </c>
      <c r="L11" s="355">
        <v>26</v>
      </c>
      <c r="M11" s="11">
        <f>F11/V11*60</f>
        <v>1442.3684210526312</v>
      </c>
      <c r="N11" s="10">
        <f t="shared" ref="N11:N21" si="19">M11/L11</f>
        <v>55.475708502024276</v>
      </c>
      <c r="O11" s="12">
        <f t="shared" ref="O11" si="20">L11-I11</f>
        <v>0</v>
      </c>
      <c r="P11" s="13">
        <f t="shared" ref="P11" si="21">N11-K11</f>
        <v>-2.2165991902834179</v>
      </c>
      <c r="Q11" s="351">
        <f>N11/K11</f>
        <v>0.96157894736842076</v>
      </c>
      <c r="R11" s="442">
        <f>Q16</f>
        <v>0.95745936728383652</v>
      </c>
      <c r="S11" s="28">
        <v>0.20833333333333334</v>
      </c>
      <c r="T11" s="28">
        <v>0.26111111111111113</v>
      </c>
      <c r="U11" s="346"/>
      <c r="V11" s="356">
        <f>(T11-S11)*24*60</f>
        <v>76.000000000000014</v>
      </c>
      <c r="W11" s="18"/>
      <c r="X11" s="18"/>
      <c r="Y11" s="443"/>
      <c r="Z11" s="443"/>
      <c r="AA11" s="12">
        <f t="shared" si="2"/>
        <v>-57.63157894736878</v>
      </c>
      <c r="AB11" s="351">
        <f t="shared" si="17"/>
        <v>0.96157894736842087</v>
      </c>
      <c r="AC11" s="442">
        <f>AB16</f>
        <v>0.95745936728383652</v>
      </c>
    </row>
    <row r="12" spans="1:29" ht="16.5" customHeight="1">
      <c r="A12" s="470" t="s">
        <v>1749</v>
      </c>
      <c r="B12" s="357" t="s">
        <v>53</v>
      </c>
      <c r="C12" s="464" t="s">
        <v>107</v>
      </c>
      <c r="D12" s="464"/>
      <c r="E12" s="31">
        <v>39.619999999999997</v>
      </c>
      <c r="F12" s="357">
        <v>3764</v>
      </c>
      <c r="G12" s="346">
        <f t="shared" si="18"/>
        <v>149129.68</v>
      </c>
      <c r="H12" s="359" t="s">
        <v>103</v>
      </c>
      <c r="I12" s="355">
        <v>19</v>
      </c>
      <c r="J12" s="26">
        <v>1500</v>
      </c>
      <c r="K12" s="10">
        <f>J12/I12</f>
        <v>78.94736842105263</v>
      </c>
      <c r="L12" s="355">
        <v>19</v>
      </c>
      <c r="M12" s="11">
        <f>F12/V12*60</f>
        <v>1429.367088607595</v>
      </c>
      <c r="N12" s="10">
        <f t="shared" si="19"/>
        <v>75.229846768820792</v>
      </c>
      <c r="O12" s="12">
        <f>L12-I12</f>
        <v>0</v>
      </c>
      <c r="P12" s="13">
        <f>N12-K12</f>
        <v>-3.7175216522318379</v>
      </c>
      <c r="Q12" s="351">
        <f>N12/K12</f>
        <v>0.9529113924050634</v>
      </c>
      <c r="R12" s="442"/>
      <c r="S12" s="28">
        <v>0.26458333333333334</v>
      </c>
      <c r="T12" s="28">
        <v>0.37430555555555556</v>
      </c>
      <c r="U12" s="346">
        <f>IF(S12=TIME(17,0,0),"",(S12-T11)*24*60)</f>
        <v>4.9999999999999822</v>
      </c>
      <c r="V12" s="356">
        <f>(T12-S12)*24*60</f>
        <v>158</v>
      </c>
      <c r="W12" s="16"/>
      <c r="X12" s="16"/>
      <c r="Y12" s="443"/>
      <c r="Z12" s="443"/>
      <c r="AA12" s="12">
        <f t="shared" si="2"/>
        <v>-70.632911392405049</v>
      </c>
      <c r="AB12" s="351">
        <f t="shared" si="17"/>
        <v>0.95291139240506328</v>
      </c>
      <c r="AC12" s="442"/>
    </row>
    <row r="13" spans="1:29" ht="16.5" customHeight="1">
      <c r="A13" s="470" t="s">
        <v>1749</v>
      </c>
      <c r="B13" s="357" t="s">
        <v>53</v>
      </c>
      <c r="C13" s="464" t="s">
        <v>163</v>
      </c>
      <c r="D13" s="464"/>
      <c r="E13" s="31">
        <v>39.36</v>
      </c>
      <c r="F13" s="357">
        <v>2688</v>
      </c>
      <c r="G13" s="346">
        <f t="shared" si="18"/>
        <v>105799.67999999999</v>
      </c>
      <c r="H13" s="359" t="s">
        <v>103</v>
      </c>
      <c r="I13" s="355">
        <v>20</v>
      </c>
      <c r="J13" s="26">
        <v>1500</v>
      </c>
      <c r="K13" s="10">
        <f t="shared" ref="K13:K15" si="22">J13/I13</f>
        <v>75</v>
      </c>
      <c r="L13" s="355">
        <v>20</v>
      </c>
      <c r="M13" s="11">
        <f t="shared" ref="M13:M15" si="23">F13/V13*60</f>
        <v>1440</v>
      </c>
      <c r="N13" s="10">
        <f t="shared" si="19"/>
        <v>72</v>
      </c>
      <c r="O13" s="12">
        <f t="shared" ref="O13:O15" si="24">L13-I13</f>
        <v>0</v>
      </c>
      <c r="P13" s="13">
        <f t="shared" ref="P13:P15" si="25">N13-K13</f>
        <v>-3</v>
      </c>
      <c r="Q13" s="351">
        <f t="shared" ref="Q13:Q21" si="26">N13/K13</f>
        <v>0.96</v>
      </c>
      <c r="R13" s="442"/>
      <c r="S13" s="28">
        <v>0.37777777777777777</v>
      </c>
      <c r="T13" s="28">
        <v>0.45555555555555555</v>
      </c>
      <c r="U13" s="346">
        <f t="shared" ref="U13:U15" si="27">IF(S13=TIME(17,0,0),"",(S13-T12)*24*60)</f>
        <v>4.9999999999999822</v>
      </c>
      <c r="V13" s="356">
        <f t="shared" ref="V13:V15" si="28">(T13-S13)*24*60</f>
        <v>112</v>
      </c>
      <c r="W13" s="16"/>
      <c r="X13" s="16"/>
      <c r="Y13" s="443"/>
      <c r="Z13" s="443"/>
      <c r="AA13" s="12">
        <f t="shared" si="2"/>
        <v>-60</v>
      </c>
      <c r="AB13" s="351">
        <f t="shared" si="17"/>
        <v>0.96</v>
      </c>
      <c r="AC13" s="442"/>
    </row>
    <row r="14" spans="1:29" ht="16.5" customHeight="1">
      <c r="A14" s="470" t="s">
        <v>1749</v>
      </c>
      <c r="B14" s="357" t="s">
        <v>58</v>
      </c>
      <c r="C14" s="464" t="s">
        <v>59</v>
      </c>
      <c r="D14" s="464"/>
      <c r="E14" s="31">
        <v>50.98</v>
      </c>
      <c r="F14" s="357">
        <v>2773</v>
      </c>
      <c r="G14" s="346">
        <f t="shared" si="18"/>
        <v>141367.53999999998</v>
      </c>
      <c r="H14" s="359" t="s">
        <v>103</v>
      </c>
      <c r="I14" s="355">
        <v>16</v>
      </c>
      <c r="J14" s="26">
        <v>2000</v>
      </c>
      <c r="K14" s="10">
        <f t="shared" si="22"/>
        <v>125</v>
      </c>
      <c r="L14" s="355">
        <v>16</v>
      </c>
      <c r="M14" s="11">
        <f t="shared" si="23"/>
        <v>1912.4137931034479</v>
      </c>
      <c r="N14" s="10">
        <f t="shared" si="19"/>
        <v>119.52586206896549</v>
      </c>
      <c r="O14" s="12">
        <f t="shared" si="24"/>
        <v>0</v>
      </c>
      <c r="P14" s="13">
        <f t="shared" si="25"/>
        <v>-5.4741379310345053</v>
      </c>
      <c r="Q14" s="351">
        <f t="shared" si="26"/>
        <v>0.95620689655172397</v>
      </c>
      <c r="R14" s="442"/>
      <c r="S14" s="28">
        <v>0.70833333333333337</v>
      </c>
      <c r="T14" s="28">
        <v>0.76875000000000004</v>
      </c>
      <c r="U14" s="346" t="str">
        <f t="shared" si="27"/>
        <v/>
      </c>
      <c r="V14" s="356">
        <f t="shared" si="28"/>
        <v>87.000000000000014</v>
      </c>
      <c r="W14" s="16"/>
      <c r="X14" s="16"/>
      <c r="Y14" s="443"/>
      <c r="Z14" s="443"/>
      <c r="AA14" s="12">
        <f t="shared" si="2"/>
        <v>-87.586206896552085</v>
      </c>
      <c r="AB14" s="351">
        <f t="shared" si="17"/>
        <v>0.95620689655172397</v>
      </c>
      <c r="AC14" s="442"/>
    </row>
    <row r="15" spans="1:29" ht="16.5" customHeight="1">
      <c r="A15" s="470" t="s">
        <v>1749</v>
      </c>
      <c r="B15" s="357" t="s">
        <v>58</v>
      </c>
      <c r="C15" s="464" t="s">
        <v>60</v>
      </c>
      <c r="D15" s="464"/>
      <c r="E15" s="31">
        <v>50.92</v>
      </c>
      <c r="F15" s="357">
        <v>2999</v>
      </c>
      <c r="G15" s="346">
        <f t="shared" si="18"/>
        <v>152709.08000000002</v>
      </c>
      <c r="H15" s="359" t="s">
        <v>103</v>
      </c>
      <c r="I15" s="355">
        <v>15</v>
      </c>
      <c r="J15" s="26">
        <v>2000</v>
      </c>
      <c r="K15" s="10">
        <f t="shared" si="22"/>
        <v>133.33333333333334</v>
      </c>
      <c r="L15" s="355">
        <v>15</v>
      </c>
      <c r="M15" s="11">
        <f t="shared" si="23"/>
        <v>1914.2553191489365</v>
      </c>
      <c r="N15" s="10">
        <f t="shared" si="19"/>
        <v>127.61702127659576</v>
      </c>
      <c r="O15" s="12">
        <f t="shared" si="24"/>
        <v>0</v>
      </c>
      <c r="P15" s="13">
        <f t="shared" si="25"/>
        <v>-5.7163120567375785</v>
      </c>
      <c r="Q15" s="351">
        <f t="shared" si="26"/>
        <v>0.95712765957446821</v>
      </c>
      <c r="R15" s="442"/>
      <c r="S15" s="28">
        <v>0.7729166666666667</v>
      </c>
      <c r="T15" s="28">
        <v>0.83819444444444446</v>
      </c>
      <c r="U15" s="346">
        <f t="shared" si="27"/>
        <v>5.9999999999999787</v>
      </c>
      <c r="V15" s="356">
        <f t="shared" si="28"/>
        <v>93.999999999999986</v>
      </c>
      <c r="W15" s="16"/>
      <c r="X15" s="16"/>
      <c r="Y15" s="443"/>
      <c r="Z15" s="443"/>
      <c r="AA15" s="12">
        <f t="shared" si="2"/>
        <v>-85.744680851063549</v>
      </c>
      <c r="AB15" s="351">
        <f t="shared" si="17"/>
        <v>0.95712765957446821</v>
      </c>
      <c r="AC15" s="442"/>
    </row>
    <row r="16" spans="1:29" ht="16.5" customHeight="1">
      <c r="A16" s="470" t="s">
        <v>1749</v>
      </c>
      <c r="B16" s="31" t="s">
        <v>1678</v>
      </c>
      <c r="C16" s="446"/>
      <c r="D16" s="446"/>
      <c r="E16" s="345"/>
      <c r="F16" s="33"/>
      <c r="G16" s="10"/>
      <c r="H16" s="357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1627.6809243825221</v>
      </c>
      <c r="N16" s="10">
        <f t="shared" si="19"/>
        <v>84.775048144923034</v>
      </c>
      <c r="O16" s="12">
        <f>L16-I16</f>
        <v>0</v>
      </c>
      <c r="P16" s="13">
        <f>N16-K16</f>
        <v>-3.7666185217436379</v>
      </c>
      <c r="Q16" s="351">
        <f t="shared" si="26"/>
        <v>0.95745936728383652</v>
      </c>
      <c r="R16" s="442"/>
      <c r="S16" s="28"/>
      <c r="T16" s="28"/>
      <c r="U16" s="346"/>
      <c r="V16" s="356"/>
      <c r="W16" s="10"/>
      <c r="X16" s="10"/>
      <c r="Y16" s="443"/>
      <c r="Z16" s="443"/>
      <c r="AA16" s="12">
        <f t="shared" si="2"/>
        <v>-72.319075617477893</v>
      </c>
      <c r="AB16" s="351">
        <f t="shared" si="17"/>
        <v>0.95745936728383652</v>
      </c>
      <c r="AC16" s="442"/>
    </row>
    <row r="17" spans="1:29" ht="15.75" customHeight="1">
      <c r="A17" s="467" t="s">
        <v>233</v>
      </c>
      <c r="B17" s="31" t="s">
        <v>56</v>
      </c>
      <c r="C17" s="464" t="s">
        <v>61</v>
      </c>
      <c r="D17" s="464"/>
      <c r="E17" s="31">
        <v>43.14</v>
      </c>
      <c r="F17" s="357">
        <v>1175</v>
      </c>
      <c r="G17" s="346">
        <f t="shared" ref="G17:G21" si="29">E17*F17</f>
        <v>50689.5</v>
      </c>
      <c r="H17" s="359" t="s">
        <v>103</v>
      </c>
      <c r="I17" s="355">
        <v>17</v>
      </c>
      <c r="J17" s="26">
        <v>2000</v>
      </c>
      <c r="K17" s="10">
        <f t="shared" ref="K17:K22" si="30">J17/I17</f>
        <v>117.64705882352941</v>
      </c>
      <c r="L17" s="355">
        <v>17</v>
      </c>
      <c r="M17" s="11">
        <f t="shared" ref="M17:M21" si="31">F17/V17*60</f>
        <v>1905.4054054054061</v>
      </c>
      <c r="N17" s="10">
        <f t="shared" si="19"/>
        <v>112.08267090620036</v>
      </c>
      <c r="O17" s="12">
        <f t="shared" ref="O17:O21" si="32">L17-I17</f>
        <v>0</v>
      </c>
      <c r="P17" s="13">
        <f t="shared" ref="P17:P21" si="33">N17-K17</f>
        <v>-5.5643879173290429</v>
      </c>
      <c r="Q17" s="351">
        <f t="shared" si="26"/>
        <v>0.95270270270270319</v>
      </c>
      <c r="R17" s="442">
        <f>Q22</f>
        <v>0.95635578160229606</v>
      </c>
      <c r="S17" s="28">
        <v>0.20833333333333334</v>
      </c>
      <c r="T17" s="28">
        <v>0.23402777777777778</v>
      </c>
      <c r="U17" s="346"/>
      <c r="V17" s="356">
        <f>(T17-S17)*24*60</f>
        <v>36.999999999999986</v>
      </c>
      <c r="W17" s="18"/>
      <c r="X17" s="18"/>
      <c r="Y17" s="443"/>
      <c r="Z17" s="443"/>
      <c r="AA17" s="12">
        <f t="shared" si="2"/>
        <v>-94.5945945945939</v>
      </c>
      <c r="AB17" s="351">
        <f t="shared" si="17"/>
        <v>0.95270270270270307</v>
      </c>
      <c r="AC17" s="442">
        <f>AB22</f>
        <v>0.95635578160229606</v>
      </c>
    </row>
    <row r="18" spans="1:29" ht="15.75" customHeight="1">
      <c r="A18" s="468" t="s">
        <v>233</v>
      </c>
      <c r="B18" s="31" t="s">
        <v>58</v>
      </c>
      <c r="C18" s="464" t="s">
        <v>62</v>
      </c>
      <c r="D18" s="464"/>
      <c r="E18" s="31">
        <v>57.73</v>
      </c>
      <c r="F18" s="357">
        <v>2268</v>
      </c>
      <c r="G18" s="346">
        <f t="shared" si="29"/>
        <v>130931.64</v>
      </c>
      <c r="H18" s="359" t="s">
        <v>103</v>
      </c>
      <c r="I18" s="355">
        <v>15</v>
      </c>
      <c r="J18" s="26">
        <v>2000</v>
      </c>
      <c r="K18" s="10">
        <f t="shared" si="30"/>
        <v>133.33333333333334</v>
      </c>
      <c r="L18" s="355">
        <v>15</v>
      </c>
      <c r="M18" s="11">
        <f t="shared" si="31"/>
        <v>1916.6197183098595</v>
      </c>
      <c r="N18" s="10">
        <f t="shared" si="19"/>
        <v>127.77464788732397</v>
      </c>
      <c r="O18" s="12">
        <f t="shared" si="32"/>
        <v>0</v>
      </c>
      <c r="P18" s="13">
        <f t="shared" si="33"/>
        <v>-5.5586854460093775</v>
      </c>
      <c r="Q18" s="351">
        <f t="shared" si="26"/>
        <v>0.95830985915492972</v>
      </c>
      <c r="R18" s="442"/>
      <c r="S18" s="28">
        <v>0.23749999999999999</v>
      </c>
      <c r="T18" s="28">
        <v>0.28680555555555554</v>
      </c>
      <c r="U18" s="346">
        <f>IF(S18=TIME(17,0,0),"",(S18-T17)*24*60)</f>
        <v>4.9999999999999822</v>
      </c>
      <c r="V18" s="356">
        <f t="shared" ref="V18:V21" si="34">(T18-S18)*24*60</f>
        <v>70.999999999999986</v>
      </c>
      <c r="W18" s="16"/>
      <c r="X18" s="346"/>
      <c r="Y18" s="443"/>
      <c r="Z18" s="443"/>
      <c r="AA18" s="12">
        <f t="shared" si="2"/>
        <v>-83.380281690140464</v>
      </c>
      <c r="AB18" s="351">
        <f t="shared" si="17"/>
        <v>0.95830985915492972</v>
      </c>
      <c r="AC18" s="442"/>
    </row>
    <row r="19" spans="1:29" ht="15.75" customHeight="1">
      <c r="A19" s="468" t="s">
        <v>233</v>
      </c>
      <c r="B19" s="31" t="s">
        <v>58</v>
      </c>
      <c r="C19" s="464" t="s">
        <v>63</v>
      </c>
      <c r="D19" s="464"/>
      <c r="E19" s="31">
        <v>53.68</v>
      </c>
      <c r="F19" s="357">
        <v>1653</v>
      </c>
      <c r="G19" s="346">
        <f t="shared" si="29"/>
        <v>88733.04</v>
      </c>
      <c r="H19" s="359" t="s">
        <v>103</v>
      </c>
      <c r="I19" s="355">
        <v>16</v>
      </c>
      <c r="J19" s="26">
        <v>2000</v>
      </c>
      <c r="K19" s="10">
        <f t="shared" si="30"/>
        <v>125</v>
      </c>
      <c r="L19" s="355">
        <v>16</v>
      </c>
      <c r="M19" s="11">
        <f t="shared" si="31"/>
        <v>1907.3076923076933</v>
      </c>
      <c r="N19" s="10">
        <f t="shared" si="19"/>
        <v>119.20673076923083</v>
      </c>
      <c r="O19" s="12">
        <f t="shared" si="32"/>
        <v>0</v>
      </c>
      <c r="P19" s="13">
        <f t="shared" si="33"/>
        <v>-5.7932692307691696</v>
      </c>
      <c r="Q19" s="351">
        <f t="shared" si="26"/>
        <v>0.95365384615384663</v>
      </c>
      <c r="R19" s="442"/>
      <c r="S19" s="28">
        <v>0.29236111111111107</v>
      </c>
      <c r="T19" s="28">
        <v>0.32847222222222217</v>
      </c>
      <c r="U19" s="346">
        <f t="shared" ref="U19:U21" si="35">IF(S19=TIME(17,0,0),"",(S19-T18)*24*60)</f>
        <v>7.9999999999999716</v>
      </c>
      <c r="V19" s="356">
        <f t="shared" si="34"/>
        <v>51.999999999999972</v>
      </c>
      <c r="W19" s="16"/>
      <c r="X19" s="346"/>
      <c r="Y19" s="443"/>
      <c r="Z19" s="443"/>
      <c r="AA19" s="12">
        <f t="shared" si="2"/>
        <v>-92.692307692306713</v>
      </c>
      <c r="AB19" s="351">
        <f t="shared" si="17"/>
        <v>0.95365384615384663</v>
      </c>
      <c r="AC19" s="442"/>
    </row>
    <row r="20" spans="1:29" ht="15.75" customHeight="1">
      <c r="A20" s="468" t="s">
        <v>233</v>
      </c>
      <c r="B20" s="31" t="s">
        <v>58</v>
      </c>
      <c r="C20" s="464" t="s">
        <v>1170</v>
      </c>
      <c r="D20" s="464"/>
      <c r="E20" s="31">
        <v>53.27</v>
      </c>
      <c r="F20" s="357">
        <v>1603</v>
      </c>
      <c r="G20" s="346">
        <f t="shared" si="29"/>
        <v>85391.810000000012</v>
      </c>
      <c r="H20" s="359" t="s">
        <v>103</v>
      </c>
      <c r="I20" s="355">
        <v>17</v>
      </c>
      <c r="J20" s="26">
        <v>2000</v>
      </c>
      <c r="K20" s="10">
        <f t="shared" si="30"/>
        <v>117.64705882352941</v>
      </c>
      <c r="L20" s="355">
        <v>17</v>
      </c>
      <c r="M20" s="11">
        <f t="shared" si="31"/>
        <v>1923.6000000000006</v>
      </c>
      <c r="N20" s="10">
        <f t="shared" si="19"/>
        <v>113.15294117647062</v>
      </c>
      <c r="O20" s="12">
        <f t="shared" si="32"/>
        <v>0</v>
      </c>
      <c r="P20" s="13">
        <f t="shared" si="33"/>
        <v>-4.4941176470587862</v>
      </c>
      <c r="Q20" s="351">
        <f t="shared" si="26"/>
        <v>0.96180000000000032</v>
      </c>
      <c r="R20" s="442"/>
      <c r="S20" s="28">
        <v>0.3340277777777777</v>
      </c>
      <c r="T20" s="28">
        <v>0.36874999999999991</v>
      </c>
      <c r="U20" s="346">
        <f t="shared" si="35"/>
        <v>7.9999999999999716</v>
      </c>
      <c r="V20" s="356">
        <f t="shared" si="34"/>
        <v>49.999999999999986</v>
      </c>
      <c r="W20" s="16"/>
      <c r="X20" s="346"/>
      <c r="Y20" s="443"/>
      <c r="Z20" s="443"/>
      <c r="AA20" s="12">
        <f t="shared" si="2"/>
        <v>-76.399999999999409</v>
      </c>
      <c r="AB20" s="351">
        <f t="shared" si="17"/>
        <v>0.96180000000000032</v>
      </c>
      <c r="AC20" s="442"/>
    </row>
    <row r="21" spans="1:29" ht="15.75" customHeight="1">
      <c r="A21" s="468" t="s">
        <v>1982</v>
      </c>
      <c r="B21" s="31" t="s">
        <v>58</v>
      </c>
      <c r="C21" s="464" t="s">
        <v>65</v>
      </c>
      <c r="D21" s="464"/>
      <c r="E21" s="31">
        <v>54.09</v>
      </c>
      <c r="F21" s="357">
        <v>3057</v>
      </c>
      <c r="G21" s="346">
        <f t="shared" si="29"/>
        <v>165353.13</v>
      </c>
      <c r="H21" s="359" t="s">
        <v>103</v>
      </c>
      <c r="I21" s="355">
        <v>19</v>
      </c>
      <c r="J21" s="26">
        <v>2000</v>
      </c>
      <c r="K21" s="10">
        <f t="shared" si="30"/>
        <v>105.26315789473684</v>
      </c>
      <c r="L21" s="355">
        <v>19</v>
      </c>
      <c r="M21" s="11">
        <f t="shared" si="31"/>
        <v>1910.6250000000007</v>
      </c>
      <c r="N21" s="10">
        <f t="shared" si="19"/>
        <v>100.55921052631582</v>
      </c>
      <c r="O21" s="12">
        <f t="shared" si="32"/>
        <v>0</v>
      </c>
      <c r="P21" s="13">
        <f t="shared" si="33"/>
        <v>-4.7039473684210122</v>
      </c>
      <c r="Q21" s="351">
        <f t="shared" si="26"/>
        <v>0.95531250000000034</v>
      </c>
      <c r="R21" s="442"/>
      <c r="S21" s="28">
        <v>0.70833333333333337</v>
      </c>
      <c r="T21" s="28">
        <v>0.77500000000000002</v>
      </c>
      <c r="U21" s="346" t="str">
        <f t="shared" si="35"/>
        <v/>
      </c>
      <c r="V21" s="356">
        <f t="shared" si="34"/>
        <v>95.999999999999972</v>
      </c>
      <c r="W21" s="16"/>
      <c r="X21" s="346"/>
      <c r="Y21" s="443"/>
      <c r="Z21" s="443"/>
      <c r="AA21" s="12">
        <f t="shared" si="2"/>
        <v>-89.374999999999318</v>
      </c>
      <c r="AB21" s="351">
        <f t="shared" si="17"/>
        <v>0.95531250000000034</v>
      </c>
      <c r="AC21" s="442"/>
    </row>
    <row r="22" spans="1:29" ht="15.75" customHeight="1">
      <c r="A22" s="468" t="s">
        <v>1983</v>
      </c>
      <c r="B22" s="31" t="s">
        <v>1984</v>
      </c>
      <c r="C22" s="446"/>
      <c r="D22" s="446"/>
      <c r="E22" s="345"/>
      <c r="F22" s="357"/>
      <c r="G22" s="346"/>
      <c r="H22" s="357"/>
      <c r="I22" s="19">
        <v>16.8</v>
      </c>
      <c r="J22" s="26">
        <v>2000</v>
      </c>
      <c r="K22" s="10">
        <f t="shared" si="30"/>
        <v>119.04761904761904</v>
      </c>
      <c r="L22" s="19">
        <v>16.8</v>
      </c>
      <c r="M22" s="11">
        <f>AVERAGE(M17:M21)</f>
        <v>1912.711563204592</v>
      </c>
      <c r="N22" s="10">
        <f>M22/L22</f>
        <v>113.85187876217809</v>
      </c>
      <c r="O22" s="12">
        <f>L22-I22</f>
        <v>0</v>
      </c>
      <c r="P22" s="13">
        <f>N22-K22</f>
        <v>-5.195740285440948</v>
      </c>
      <c r="Q22" s="351">
        <f>N22/K22</f>
        <v>0.95635578160229606</v>
      </c>
      <c r="R22" s="442"/>
      <c r="S22" s="28"/>
      <c r="T22" s="28"/>
      <c r="U22" s="10"/>
      <c r="V22" s="356"/>
      <c r="W22" s="10"/>
      <c r="X22" s="10"/>
      <c r="Y22" s="443"/>
      <c r="Z22" s="443"/>
      <c r="AA22" s="12">
        <f t="shared" si="2"/>
        <v>-87.288436795407961</v>
      </c>
      <c r="AB22" s="351">
        <f t="shared" si="17"/>
        <v>0.95635578160229606</v>
      </c>
      <c r="AC22" s="442"/>
    </row>
    <row r="23" spans="1:29" ht="15.75" customHeight="1">
      <c r="A23" s="463" t="s">
        <v>164</v>
      </c>
      <c r="B23" s="31" t="s">
        <v>67</v>
      </c>
      <c r="C23" s="464" t="s">
        <v>68</v>
      </c>
      <c r="D23" s="464"/>
      <c r="E23" s="31">
        <v>26.2</v>
      </c>
      <c r="F23" s="357">
        <v>3497</v>
      </c>
      <c r="G23" s="346">
        <f t="shared" ref="G23:G30" si="36">E23*F23</f>
        <v>91621.4</v>
      </c>
      <c r="H23" s="359" t="s">
        <v>103</v>
      </c>
      <c r="I23" s="355">
        <v>20</v>
      </c>
      <c r="J23" s="26">
        <v>2400</v>
      </c>
      <c r="K23" s="10">
        <f>J23/I23</f>
        <v>120</v>
      </c>
      <c r="L23" s="355">
        <v>20</v>
      </c>
      <c r="M23" s="11">
        <f t="shared" ref="M23:M30" si="37">F23/V23*60</f>
        <v>2305.7142857142862</v>
      </c>
      <c r="N23" s="10">
        <f t="shared" ref="N23:N30" si="38">M23/L23</f>
        <v>115.28571428571431</v>
      </c>
      <c r="O23" s="12">
        <f t="shared" ref="O23:O30" si="39">L23-I23</f>
        <v>0</v>
      </c>
      <c r="P23" s="13">
        <f t="shared" ref="P23:P30" si="40">N23-K23</f>
        <v>-4.714285714285694</v>
      </c>
      <c r="Q23" s="351">
        <f t="shared" ref="Q23:Q28" si="41">N23/K23</f>
        <v>0.96071428571428585</v>
      </c>
      <c r="R23" s="442">
        <f>Q31</f>
        <v>0.95790330611889496</v>
      </c>
      <c r="S23" s="28">
        <v>8.3333333333333329E-2</v>
      </c>
      <c r="T23" s="28">
        <v>0.14652777777777776</v>
      </c>
      <c r="U23" s="346"/>
      <c r="V23" s="356">
        <f t="shared" ref="V23:V30" si="42">(T23-S23)*24*60</f>
        <v>90.999999999999972</v>
      </c>
      <c r="W23" s="16">
        <f>T23</f>
        <v>0.14652777777777776</v>
      </c>
      <c r="X23" s="16">
        <f>S24</f>
        <v>0.16666666666666666</v>
      </c>
      <c r="Y23" s="443"/>
      <c r="Z23" s="443"/>
      <c r="AA23" s="12">
        <f t="shared" si="2"/>
        <v>-94.285714285713766</v>
      </c>
      <c r="AB23" s="351">
        <f>M23/J23</f>
        <v>0.96071428571428596</v>
      </c>
      <c r="AC23" s="442">
        <f>AB31</f>
        <v>0.95790330611889507</v>
      </c>
    </row>
    <row r="24" spans="1:29" ht="15.75" customHeight="1">
      <c r="A24" s="463" t="s">
        <v>164</v>
      </c>
      <c r="B24" s="31" t="s">
        <v>67</v>
      </c>
      <c r="C24" s="464" t="s">
        <v>69</v>
      </c>
      <c r="D24" s="464"/>
      <c r="E24" s="31">
        <v>31.29</v>
      </c>
      <c r="F24" s="357">
        <v>4200</v>
      </c>
      <c r="G24" s="346">
        <f t="shared" si="36"/>
        <v>131418</v>
      </c>
      <c r="H24" s="359">
        <v>2</v>
      </c>
      <c r="I24" s="355">
        <v>18</v>
      </c>
      <c r="J24" s="26">
        <v>2400</v>
      </c>
      <c r="K24" s="10">
        <f t="shared" ref="K24:K31" si="43">J24/I24</f>
        <v>133.33333333333334</v>
      </c>
      <c r="L24" s="355">
        <v>18</v>
      </c>
      <c r="M24" s="11">
        <f t="shared" si="37"/>
        <v>2290.9090909090914</v>
      </c>
      <c r="N24" s="10">
        <f t="shared" si="38"/>
        <v>127.27272727272731</v>
      </c>
      <c r="O24" s="12">
        <f t="shared" si="39"/>
        <v>0</v>
      </c>
      <c r="P24" s="13">
        <f t="shared" si="40"/>
        <v>-6.0606060606060339</v>
      </c>
      <c r="Q24" s="351">
        <f t="shared" si="41"/>
        <v>0.9545454545454547</v>
      </c>
      <c r="R24" s="442"/>
      <c r="S24" s="28">
        <v>0.16666666666666666</v>
      </c>
      <c r="T24" s="28">
        <v>0.24305555555555552</v>
      </c>
      <c r="U24" s="346">
        <f>(S24-T23)*24*60</f>
        <v>29.000000000000018</v>
      </c>
      <c r="V24" s="356">
        <f t="shared" si="42"/>
        <v>109.99999999999997</v>
      </c>
      <c r="W24" s="16"/>
      <c r="X24" s="16"/>
      <c r="Y24" s="443"/>
      <c r="Z24" s="443"/>
      <c r="AA24" s="12">
        <f t="shared" si="2"/>
        <v>-109.09090909090855</v>
      </c>
      <c r="AB24" s="351">
        <f t="shared" ref="AB24:AB30" si="44">M24/J24</f>
        <v>0.95454545454545481</v>
      </c>
      <c r="AC24" s="442"/>
    </row>
    <row r="25" spans="1:29" ht="15.75" customHeight="1">
      <c r="A25" s="463" t="s">
        <v>164</v>
      </c>
      <c r="B25" s="31" t="s">
        <v>67</v>
      </c>
      <c r="C25" s="464" t="s">
        <v>101</v>
      </c>
      <c r="D25" s="464"/>
      <c r="E25" s="31">
        <v>25</v>
      </c>
      <c r="F25" s="357">
        <v>3303</v>
      </c>
      <c r="G25" s="346">
        <f t="shared" si="36"/>
        <v>82575</v>
      </c>
      <c r="H25" s="359" t="s">
        <v>103</v>
      </c>
      <c r="I25" s="355">
        <v>15</v>
      </c>
      <c r="J25" s="26">
        <v>2400</v>
      </c>
      <c r="K25" s="10">
        <f t="shared" si="43"/>
        <v>160</v>
      </c>
      <c r="L25" s="355">
        <v>15</v>
      </c>
      <c r="M25" s="11">
        <f t="shared" si="37"/>
        <v>2304.4186046511636</v>
      </c>
      <c r="N25" s="10">
        <f t="shared" si="38"/>
        <v>153.62790697674424</v>
      </c>
      <c r="O25" s="12">
        <f t="shared" si="39"/>
        <v>0</v>
      </c>
      <c r="P25" s="13">
        <f t="shared" si="40"/>
        <v>-6.3720930232557578</v>
      </c>
      <c r="Q25" s="351">
        <f t="shared" si="41"/>
        <v>0.96017441860465147</v>
      </c>
      <c r="R25" s="442"/>
      <c r="S25" s="28">
        <v>0.24861111111111109</v>
      </c>
      <c r="T25" s="28">
        <v>0.30833333333333329</v>
      </c>
      <c r="U25" s="346">
        <f t="shared" ref="U25:U30" si="45">(S25-T24)*24*60</f>
        <v>8.0000000000000107</v>
      </c>
      <c r="V25" s="356">
        <f t="shared" si="42"/>
        <v>85.999999999999972</v>
      </c>
      <c r="W25" s="16"/>
      <c r="X25" s="16"/>
      <c r="Y25" s="443"/>
      <c r="Z25" s="443"/>
      <c r="AA25" s="12">
        <f t="shared" si="2"/>
        <v>-95.581395348836395</v>
      </c>
      <c r="AB25" s="351">
        <f t="shared" si="44"/>
        <v>0.96017441860465147</v>
      </c>
      <c r="AC25" s="442"/>
    </row>
    <row r="26" spans="1:29" ht="15.75" customHeight="1">
      <c r="A26" s="463" t="s">
        <v>1985</v>
      </c>
      <c r="B26" s="31" t="s">
        <v>67</v>
      </c>
      <c r="C26" s="464" t="s">
        <v>165</v>
      </c>
      <c r="D26" s="464"/>
      <c r="E26" s="31">
        <v>26.18</v>
      </c>
      <c r="F26" s="357">
        <v>3128</v>
      </c>
      <c r="G26" s="346">
        <f t="shared" si="36"/>
        <v>81891.039999999994</v>
      </c>
      <c r="H26" s="359" t="s">
        <v>103</v>
      </c>
      <c r="I26" s="355">
        <v>19</v>
      </c>
      <c r="J26" s="26">
        <v>2400</v>
      </c>
      <c r="K26" s="10">
        <f t="shared" si="43"/>
        <v>126.31578947368421</v>
      </c>
      <c r="L26" s="355">
        <v>19</v>
      </c>
      <c r="M26" s="11">
        <f t="shared" si="37"/>
        <v>2288.7804878048773</v>
      </c>
      <c r="N26" s="10">
        <f t="shared" si="38"/>
        <v>120.46213093709881</v>
      </c>
      <c r="O26" s="12">
        <f t="shared" si="39"/>
        <v>0</v>
      </c>
      <c r="P26" s="13">
        <f t="shared" si="40"/>
        <v>-5.8536585365853995</v>
      </c>
      <c r="Q26" s="351">
        <f t="shared" si="41"/>
        <v>0.95365853658536559</v>
      </c>
      <c r="R26" s="442"/>
      <c r="S26" s="28">
        <v>0.31388888888888883</v>
      </c>
      <c r="T26" s="28">
        <v>0.37083333333333329</v>
      </c>
      <c r="U26" s="346">
        <f t="shared" si="45"/>
        <v>7.9999999999999716</v>
      </c>
      <c r="V26" s="356">
        <f t="shared" si="42"/>
        <v>82.000000000000028</v>
      </c>
      <c r="W26" s="16"/>
      <c r="X26" s="16"/>
      <c r="Y26" s="443"/>
      <c r="Z26" s="443"/>
      <c r="AA26" s="12">
        <f t="shared" si="2"/>
        <v>-111.21951219512266</v>
      </c>
      <c r="AB26" s="351">
        <f t="shared" si="44"/>
        <v>0.95365853658536559</v>
      </c>
      <c r="AC26" s="442"/>
    </row>
    <row r="27" spans="1:29" ht="15.75" customHeight="1">
      <c r="A27" s="463" t="s">
        <v>1986</v>
      </c>
      <c r="B27" s="31" t="s">
        <v>67</v>
      </c>
      <c r="C27" s="464" t="s">
        <v>77</v>
      </c>
      <c r="D27" s="464"/>
      <c r="E27" s="31">
        <v>26.2</v>
      </c>
      <c r="F27" s="357">
        <v>3219</v>
      </c>
      <c r="G27" s="346">
        <f t="shared" si="36"/>
        <v>84337.8</v>
      </c>
      <c r="H27" s="359" t="s">
        <v>103</v>
      </c>
      <c r="I27" s="355">
        <v>19</v>
      </c>
      <c r="J27" s="26">
        <v>2400</v>
      </c>
      <c r="K27" s="10">
        <f t="shared" si="43"/>
        <v>126.31578947368421</v>
      </c>
      <c r="L27" s="355">
        <v>19</v>
      </c>
      <c r="M27" s="11">
        <f t="shared" si="37"/>
        <v>2299.2857142857133</v>
      </c>
      <c r="N27" s="10">
        <f t="shared" si="38"/>
        <v>121.01503759398491</v>
      </c>
      <c r="O27" s="12">
        <f t="shared" si="39"/>
        <v>0</v>
      </c>
      <c r="P27" s="13">
        <f t="shared" si="40"/>
        <v>-5.3007518796992912</v>
      </c>
      <c r="Q27" s="351">
        <f t="shared" si="41"/>
        <v>0.95803571428571399</v>
      </c>
      <c r="R27" s="442"/>
      <c r="S27" s="28">
        <v>0.37569444444444439</v>
      </c>
      <c r="T27" s="28">
        <v>0.43402777777777773</v>
      </c>
      <c r="U27" s="346">
        <f t="shared" si="45"/>
        <v>6.9999999999999751</v>
      </c>
      <c r="V27" s="356">
        <f t="shared" si="42"/>
        <v>84.000000000000028</v>
      </c>
      <c r="W27" s="16"/>
      <c r="X27" s="16"/>
      <c r="Y27" s="443"/>
      <c r="Z27" s="443"/>
      <c r="AA27" s="12">
        <f t="shared" si="2"/>
        <v>-100.71428571428669</v>
      </c>
      <c r="AB27" s="351">
        <f t="shared" si="44"/>
        <v>0.95803571428571388</v>
      </c>
      <c r="AC27" s="442"/>
    </row>
    <row r="28" spans="1:29" ht="15.75" customHeight="1">
      <c r="A28" s="463" t="s">
        <v>1985</v>
      </c>
      <c r="B28" s="31" t="s">
        <v>67</v>
      </c>
      <c r="C28" s="464" t="s">
        <v>78</v>
      </c>
      <c r="D28" s="464"/>
      <c r="E28" s="31">
        <v>25.98</v>
      </c>
      <c r="F28" s="357">
        <v>1308</v>
      </c>
      <c r="G28" s="346">
        <f t="shared" si="36"/>
        <v>33981.840000000004</v>
      </c>
      <c r="H28" s="359" t="s">
        <v>103</v>
      </c>
      <c r="I28" s="355">
        <v>17</v>
      </c>
      <c r="J28" s="26">
        <v>2400</v>
      </c>
      <c r="K28" s="10">
        <f t="shared" si="43"/>
        <v>141.1764705882353</v>
      </c>
      <c r="L28" s="355">
        <v>17</v>
      </c>
      <c r="M28" s="11">
        <f t="shared" si="37"/>
        <v>2308.23529411765</v>
      </c>
      <c r="N28" s="10">
        <f t="shared" si="38"/>
        <v>135.77854671280295</v>
      </c>
      <c r="O28" s="12">
        <f t="shared" si="39"/>
        <v>0</v>
      </c>
      <c r="P28" s="13">
        <f t="shared" si="40"/>
        <v>-5.3979238754323546</v>
      </c>
      <c r="Q28" s="351">
        <f t="shared" si="41"/>
        <v>0.96176470588235419</v>
      </c>
      <c r="R28" s="442"/>
      <c r="S28" s="28">
        <v>0.43958333333333327</v>
      </c>
      <c r="T28" s="28">
        <v>0.46319444444444435</v>
      </c>
      <c r="U28" s="346">
        <f t="shared" si="45"/>
        <v>7.9999999999999716</v>
      </c>
      <c r="V28" s="356">
        <f t="shared" si="42"/>
        <v>33.999999999999957</v>
      </c>
      <c r="W28" s="16"/>
      <c r="X28" s="16"/>
      <c r="Y28" s="443"/>
      <c r="Z28" s="443"/>
      <c r="AA28" s="12">
        <f t="shared" si="2"/>
        <v>-91.764705882349972</v>
      </c>
      <c r="AB28" s="351">
        <f t="shared" si="44"/>
        <v>0.96176470588235419</v>
      </c>
      <c r="AC28" s="442"/>
    </row>
    <row r="29" spans="1:29" ht="15.75" customHeight="1">
      <c r="A29" s="463" t="s">
        <v>1985</v>
      </c>
      <c r="B29" s="31" t="s">
        <v>67</v>
      </c>
      <c r="C29" s="464" t="s">
        <v>76</v>
      </c>
      <c r="D29" s="464"/>
      <c r="E29" s="31">
        <v>20.52</v>
      </c>
      <c r="F29" s="357">
        <v>2496</v>
      </c>
      <c r="G29" s="346">
        <f t="shared" si="36"/>
        <v>51217.919999999998</v>
      </c>
      <c r="H29" s="359" t="s">
        <v>103</v>
      </c>
      <c r="I29" s="355">
        <v>18</v>
      </c>
      <c r="J29" s="26">
        <v>2400</v>
      </c>
      <c r="K29" s="10">
        <f t="shared" si="43"/>
        <v>133.33333333333334</v>
      </c>
      <c r="L29" s="355">
        <v>18</v>
      </c>
      <c r="M29" s="11">
        <f t="shared" si="37"/>
        <v>2304.0000000000023</v>
      </c>
      <c r="N29" s="10">
        <f t="shared" si="38"/>
        <v>128.00000000000011</v>
      </c>
      <c r="O29" s="12">
        <f t="shared" si="39"/>
        <v>0</v>
      </c>
      <c r="P29" s="13">
        <f t="shared" si="40"/>
        <v>-5.3333333333332291</v>
      </c>
      <c r="Q29" s="351">
        <f>N29/K29</f>
        <v>0.96000000000000074</v>
      </c>
      <c r="R29" s="442"/>
      <c r="S29" s="28">
        <v>0.46805555555555545</v>
      </c>
      <c r="T29" s="28">
        <v>0.51319444444444429</v>
      </c>
      <c r="U29" s="346">
        <f t="shared" si="45"/>
        <v>6.9999999999999751</v>
      </c>
      <c r="V29" s="356">
        <f t="shared" si="42"/>
        <v>64.999999999999929</v>
      </c>
      <c r="W29" s="16">
        <f>T29</f>
        <v>0.51319444444444429</v>
      </c>
      <c r="X29" s="16">
        <f>S30</f>
        <v>0.55208333333333315</v>
      </c>
      <c r="Y29" s="443"/>
      <c r="Z29" s="443"/>
      <c r="AA29" s="12">
        <f t="shared" si="2"/>
        <v>-95.999999999997726</v>
      </c>
      <c r="AB29" s="351">
        <f t="shared" si="44"/>
        <v>0.96000000000000096</v>
      </c>
      <c r="AC29" s="442"/>
    </row>
    <row r="30" spans="1:29" ht="15.75" customHeight="1">
      <c r="A30" s="463" t="s">
        <v>1985</v>
      </c>
      <c r="B30" s="31" t="s">
        <v>67</v>
      </c>
      <c r="C30" s="464" t="s">
        <v>69</v>
      </c>
      <c r="D30" s="464"/>
      <c r="E30" s="31">
        <v>31.29</v>
      </c>
      <c r="F30" s="357">
        <v>2863</v>
      </c>
      <c r="G30" s="346">
        <f t="shared" si="36"/>
        <v>89583.27</v>
      </c>
      <c r="H30" s="359" t="s">
        <v>103</v>
      </c>
      <c r="I30" s="355">
        <v>18</v>
      </c>
      <c r="J30" s="26">
        <v>2400</v>
      </c>
      <c r="K30" s="10">
        <f t="shared" si="43"/>
        <v>133.33333333333334</v>
      </c>
      <c r="L30" s="355">
        <v>18</v>
      </c>
      <c r="M30" s="11">
        <f t="shared" si="37"/>
        <v>2290.3999999999983</v>
      </c>
      <c r="N30" s="10">
        <f t="shared" si="38"/>
        <v>127.24444444444435</v>
      </c>
      <c r="O30" s="12">
        <f t="shared" si="39"/>
        <v>0</v>
      </c>
      <c r="P30" s="13">
        <f t="shared" si="40"/>
        <v>-6.088888888888988</v>
      </c>
      <c r="Q30" s="351">
        <f>N30/K30</f>
        <v>0.95433333333333259</v>
      </c>
      <c r="R30" s="442"/>
      <c r="S30" s="28">
        <v>0.55208333333333315</v>
      </c>
      <c r="T30" s="28">
        <v>0.60416666666666652</v>
      </c>
      <c r="U30" s="346">
        <f t="shared" si="45"/>
        <v>55.999999999999957</v>
      </c>
      <c r="V30" s="356">
        <f t="shared" si="42"/>
        <v>75.000000000000057</v>
      </c>
      <c r="W30" s="16"/>
      <c r="X30" s="16"/>
      <c r="Y30" s="443"/>
      <c r="Z30" s="443"/>
      <c r="AA30" s="12">
        <f t="shared" si="2"/>
        <v>-109.60000000000173</v>
      </c>
      <c r="AB30" s="351">
        <f t="shared" si="44"/>
        <v>0.95433333333333259</v>
      </c>
      <c r="AC30" s="442"/>
    </row>
    <row r="31" spans="1:29" ht="15.75" customHeight="1">
      <c r="A31" s="463" t="s">
        <v>164</v>
      </c>
      <c r="B31" s="31" t="s">
        <v>231</v>
      </c>
      <c r="C31" s="446"/>
      <c r="D31" s="446"/>
      <c r="E31" s="345"/>
      <c r="F31" s="357"/>
      <c r="G31" s="346"/>
      <c r="H31" s="357"/>
      <c r="I31" s="19">
        <v>18</v>
      </c>
      <c r="J31" s="26">
        <v>2400</v>
      </c>
      <c r="K31" s="10">
        <f t="shared" si="43"/>
        <v>133.33333333333334</v>
      </c>
      <c r="L31" s="19">
        <v>18</v>
      </c>
      <c r="M31" s="11">
        <f>AVERAGE(M23:M30)</f>
        <v>2298.9679346853482</v>
      </c>
      <c r="N31" s="10">
        <f>M31/L31</f>
        <v>127.72044081585267</v>
      </c>
      <c r="O31" s="12">
        <f>L31-I31</f>
        <v>0</v>
      </c>
      <c r="P31" s="13">
        <f>N31-K31</f>
        <v>-5.6128925174806739</v>
      </c>
      <c r="Q31" s="351">
        <f>N31/K31</f>
        <v>0.95790330611889496</v>
      </c>
      <c r="R31" s="442"/>
      <c r="S31" s="28"/>
      <c r="T31" s="28"/>
      <c r="U31" s="346"/>
      <c r="V31" s="356"/>
      <c r="W31" s="346"/>
      <c r="X31" s="346"/>
      <c r="Y31" s="443"/>
      <c r="Z31" s="443"/>
      <c r="AA31" s="12">
        <f t="shared" si="2"/>
        <v>-101.03206531465185</v>
      </c>
      <c r="AB31" s="351">
        <f>M31/J31</f>
        <v>0.95790330611889507</v>
      </c>
      <c r="AC31" s="442"/>
    </row>
    <row r="32" spans="1:29" ht="15.75" customHeight="1">
      <c r="A32" s="461" t="s">
        <v>234</v>
      </c>
      <c r="B32" s="31" t="s">
        <v>67</v>
      </c>
      <c r="C32" s="441" t="s">
        <v>73</v>
      </c>
      <c r="D32" s="441"/>
      <c r="E32" s="31">
        <v>26.2</v>
      </c>
      <c r="F32" s="357">
        <v>5271</v>
      </c>
      <c r="G32" s="346">
        <f t="shared" ref="G32:G35" si="46">E32*F32</f>
        <v>138100.19999999998</v>
      </c>
      <c r="H32" s="359" t="s">
        <v>103</v>
      </c>
      <c r="I32" s="355">
        <v>18</v>
      </c>
      <c r="J32" s="26">
        <v>2400</v>
      </c>
      <c r="K32" s="10">
        <f>J32/I32</f>
        <v>133.33333333333334</v>
      </c>
      <c r="L32" s="355">
        <v>18</v>
      </c>
      <c r="M32" s="11">
        <f>F32/V32*60</f>
        <v>2291.7391304347834</v>
      </c>
      <c r="N32" s="10">
        <f>M32/L32</f>
        <v>127.31884057971018</v>
      </c>
      <c r="O32" s="12">
        <f t="shared" ref="O32:O35" si="47">L32-I32</f>
        <v>0</v>
      </c>
      <c r="P32" s="13">
        <f t="shared" ref="P32:P36" si="48">N32-K32</f>
        <v>-6.0144927536231592</v>
      </c>
      <c r="Q32" s="351">
        <f t="shared" ref="Q32:Q36" si="49">N32/K32</f>
        <v>0.95489130434782632</v>
      </c>
      <c r="R32" s="442">
        <f>Q36</f>
        <v>0.95435247923790911</v>
      </c>
      <c r="S32" s="28">
        <v>8.3333333333333329E-2</v>
      </c>
      <c r="T32" s="28">
        <v>0.17916666666666664</v>
      </c>
      <c r="U32" s="346"/>
      <c r="V32" s="356">
        <f t="shared" ref="V32:V35" si="50">(T32-S32)*24*60</f>
        <v>137.99999999999997</v>
      </c>
      <c r="W32" s="18">
        <f>T32</f>
        <v>0.17916666666666664</v>
      </c>
      <c r="X32" s="18">
        <f>S33</f>
        <v>0.19861111111111107</v>
      </c>
      <c r="Y32" s="443"/>
      <c r="Z32" s="443"/>
      <c r="AA32" s="12">
        <f t="shared" si="2"/>
        <v>-108.26086956521658</v>
      </c>
      <c r="AB32" s="351">
        <f>M32/J32</f>
        <v>0.95489130434782643</v>
      </c>
      <c r="AC32" s="442">
        <f>AB36</f>
        <v>0.95435247923790922</v>
      </c>
    </row>
    <row r="33" spans="1:29" ht="15.75" customHeight="1">
      <c r="A33" s="461" t="s">
        <v>1987</v>
      </c>
      <c r="B33" s="31" t="s">
        <v>67</v>
      </c>
      <c r="C33" s="441" t="s">
        <v>75</v>
      </c>
      <c r="D33" s="441"/>
      <c r="E33" s="31">
        <v>26.39</v>
      </c>
      <c r="F33" s="357">
        <v>4774</v>
      </c>
      <c r="G33" s="346">
        <f t="shared" si="46"/>
        <v>125985.86</v>
      </c>
      <c r="H33" s="359" t="s">
        <v>103</v>
      </c>
      <c r="I33" s="355">
        <v>19</v>
      </c>
      <c r="J33" s="26">
        <v>2400</v>
      </c>
      <c r="K33" s="10">
        <f t="shared" ref="K33:K36" si="51">J33/I33</f>
        <v>126.31578947368421</v>
      </c>
      <c r="L33" s="355">
        <v>19</v>
      </c>
      <c r="M33" s="11">
        <f t="shared" ref="M33:M35" si="52">F33/V33*60</f>
        <v>2291.5199999999995</v>
      </c>
      <c r="N33" s="10">
        <f t="shared" ref="N33:N35" si="53">M33/L33</f>
        <v>120.60631578947365</v>
      </c>
      <c r="O33" s="12">
        <f t="shared" si="47"/>
        <v>0</v>
      </c>
      <c r="P33" s="13">
        <f t="shared" si="48"/>
        <v>-5.7094736842105505</v>
      </c>
      <c r="Q33" s="351">
        <f t="shared" si="49"/>
        <v>0.95479999999999976</v>
      </c>
      <c r="R33" s="442"/>
      <c r="S33" s="28">
        <v>0.19861111111111107</v>
      </c>
      <c r="T33" s="28">
        <v>0.28541666666666665</v>
      </c>
      <c r="U33" s="346">
        <f>(S33-T32)*24*60</f>
        <v>27.999999999999979</v>
      </c>
      <c r="V33" s="356">
        <f t="shared" si="50"/>
        <v>125.00000000000003</v>
      </c>
      <c r="W33" s="346"/>
      <c r="X33" s="346"/>
      <c r="Y33" s="443"/>
      <c r="Z33" s="443"/>
      <c r="AA33" s="12">
        <f t="shared" si="2"/>
        <v>-108.48000000000047</v>
      </c>
      <c r="AB33" s="351">
        <f t="shared" ref="AB33:AB55" si="54">M33/J33</f>
        <v>0.95479999999999976</v>
      </c>
      <c r="AC33" s="442"/>
    </row>
    <row r="34" spans="1:29">
      <c r="A34" s="462" t="s">
        <v>1987</v>
      </c>
      <c r="B34" s="31" t="s">
        <v>67</v>
      </c>
      <c r="C34" s="441" t="s">
        <v>1167</v>
      </c>
      <c r="D34" s="441"/>
      <c r="E34" s="31">
        <v>24.43</v>
      </c>
      <c r="F34" s="357">
        <v>6788</v>
      </c>
      <c r="G34" s="346">
        <f t="shared" si="46"/>
        <v>165830.84</v>
      </c>
      <c r="H34" s="359" t="s">
        <v>103</v>
      </c>
      <c r="I34" s="355">
        <v>15</v>
      </c>
      <c r="J34" s="26">
        <v>2400</v>
      </c>
      <c r="K34" s="10">
        <f t="shared" si="51"/>
        <v>160</v>
      </c>
      <c r="L34" s="355">
        <v>15</v>
      </c>
      <c r="M34" s="11">
        <f t="shared" si="52"/>
        <v>2288.0898876404494</v>
      </c>
      <c r="N34" s="10">
        <f t="shared" si="53"/>
        <v>152.53932584269663</v>
      </c>
      <c r="O34" s="12">
        <f t="shared" si="47"/>
        <v>0</v>
      </c>
      <c r="P34" s="13">
        <f t="shared" si="48"/>
        <v>-7.460674157303373</v>
      </c>
      <c r="Q34" s="351">
        <f t="shared" si="49"/>
        <v>0.95337078651685392</v>
      </c>
      <c r="R34" s="442"/>
      <c r="S34" s="28">
        <v>0.2895833333333333</v>
      </c>
      <c r="T34" s="28">
        <v>0.41319444444444442</v>
      </c>
      <c r="U34" s="346">
        <f t="shared" ref="U34:U35" si="55">(S34-T33)*24*60</f>
        <v>5.9999999999999787</v>
      </c>
      <c r="V34" s="356">
        <f t="shared" si="50"/>
        <v>178</v>
      </c>
      <c r="W34" s="346"/>
      <c r="X34" s="346"/>
      <c r="Y34" s="443"/>
      <c r="Z34" s="443"/>
      <c r="AA34" s="12">
        <f t="shared" si="2"/>
        <v>-111.91011235955057</v>
      </c>
      <c r="AB34" s="351">
        <f t="shared" si="54"/>
        <v>0.95337078651685392</v>
      </c>
      <c r="AC34" s="442"/>
    </row>
    <row r="35" spans="1:29">
      <c r="A35" s="462" t="s">
        <v>234</v>
      </c>
      <c r="B35" s="31" t="s">
        <v>67</v>
      </c>
      <c r="C35" s="441" t="s">
        <v>1616</v>
      </c>
      <c r="D35" s="441"/>
      <c r="E35" s="31">
        <v>24.25</v>
      </c>
      <c r="F35" s="357">
        <v>7024</v>
      </c>
      <c r="G35" s="346">
        <f t="shared" si="46"/>
        <v>170332</v>
      </c>
      <c r="H35" s="359" t="s">
        <v>103</v>
      </c>
      <c r="I35" s="355">
        <v>14</v>
      </c>
      <c r="J35" s="26">
        <v>2400</v>
      </c>
      <c r="K35" s="10">
        <f t="shared" si="51"/>
        <v>171.42857142857142</v>
      </c>
      <c r="L35" s="355">
        <v>14</v>
      </c>
      <c r="M35" s="11">
        <f t="shared" si="52"/>
        <v>2290.4347826086955</v>
      </c>
      <c r="N35" s="10">
        <f t="shared" si="53"/>
        <v>163.60248447204967</v>
      </c>
      <c r="O35" s="12">
        <f t="shared" si="47"/>
        <v>0</v>
      </c>
      <c r="P35" s="13">
        <f t="shared" si="48"/>
        <v>-7.826086956521749</v>
      </c>
      <c r="Q35" s="351">
        <f t="shared" si="49"/>
        <v>0.95434782608695645</v>
      </c>
      <c r="R35" s="442"/>
      <c r="S35" s="28">
        <v>0.41736111111111107</v>
      </c>
      <c r="T35" s="28">
        <v>0.54513888888888884</v>
      </c>
      <c r="U35" s="346">
        <f t="shared" si="55"/>
        <v>5.9999999999999787</v>
      </c>
      <c r="V35" s="356">
        <f t="shared" si="50"/>
        <v>184</v>
      </c>
      <c r="W35" s="16"/>
      <c r="X35" s="16"/>
      <c r="Y35" s="443"/>
      <c r="Z35" s="443"/>
      <c r="AA35" s="12">
        <f t="shared" si="2"/>
        <v>-109.56521739130449</v>
      </c>
      <c r="AB35" s="351">
        <f t="shared" si="54"/>
        <v>0.95434782608695645</v>
      </c>
      <c r="AC35" s="442"/>
    </row>
    <row r="36" spans="1:29">
      <c r="A36" s="462" t="s">
        <v>234</v>
      </c>
      <c r="B36" s="33" t="s">
        <v>231</v>
      </c>
      <c r="C36" s="446"/>
      <c r="D36" s="446"/>
      <c r="E36" s="345"/>
      <c r="F36" s="33"/>
      <c r="G36" s="10"/>
      <c r="H36" s="357"/>
      <c r="I36" s="19">
        <v>16.5</v>
      </c>
      <c r="J36" s="26">
        <v>2400</v>
      </c>
      <c r="K36" s="10">
        <f t="shared" si="51"/>
        <v>145.45454545454547</v>
      </c>
      <c r="L36" s="19">
        <v>16.5</v>
      </c>
      <c r="M36" s="11">
        <f>AVERAGE(M32:M35)</f>
        <v>2290.4459501709821</v>
      </c>
      <c r="N36" s="10">
        <f>M36/L36</f>
        <v>138.81490607096862</v>
      </c>
      <c r="O36" s="12">
        <f>L36-I36</f>
        <v>0</v>
      </c>
      <c r="P36" s="13">
        <f t="shared" si="48"/>
        <v>-6.6396393835768492</v>
      </c>
      <c r="Q36" s="351">
        <f t="shared" si="49"/>
        <v>0.95435247923790911</v>
      </c>
      <c r="R36" s="442"/>
      <c r="S36" s="28"/>
      <c r="T36" s="28"/>
      <c r="U36" s="10"/>
      <c r="V36" s="356"/>
      <c r="W36" s="10"/>
      <c r="X36" s="10"/>
      <c r="Y36" s="443"/>
      <c r="Z36" s="443"/>
      <c r="AA36" s="12">
        <f t="shared" si="2"/>
        <v>-109.55404982901791</v>
      </c>
      <c r="AB36" s="351">
        <f t="shared" si="54"/>
        <v>0.95435247923790922</v>
      </c>
      <c r="AC36" s="442"/>
    </row>
    <row r="37" spans="1:29" ht="15.75" customHeight="1">
      <c r="A37" s="453" t="s">
        <v>166</v>
      </c>
      <c r="B37" s="31" t="s">
        <v>79</v>
      </c>
      <c r="C37" s="444" t="s">
        <v>80</v>
      </c>
      <c r="D37" s="445"/>
      <c r="E37" s="31">
        <v>21.13</v>
      </c>
      <c r="F37" s="357">
        <v>4507</v>
      </c>
      <c r="G37" s="346">
        <v>95232.909999999989</v>
      </c>
      <c r="H37" s="359" t="s">
        <v>103</v>
      </c>
      <c r="I37" s="355">
        <v>10</v>
      </c>
      <c r="J37" s="26">
        <v>3000</v>
      </c>
      <c r="K37" s="10">
        <v>300</v>
      </c>
      <c r="L37" s="355">
        <v>10</v>
      </c>
      <c r="M37" s="11">
        <v>2876.8085106382973</v>
      </c>
      <c r="N37" s="11">
        <v>287.68085106382972</v>
      </c>
      <c r="O37" s="12">
        <v>0</v>
      </c>
      <c r="P37" s="13">
        <v>-12.319148936170279</v>
      </c>
      <c r="Q37" s="351">
        <f>N37/K37</f>
        <v>0.95893617021276578</v>
      </c>
      <c r="R37" s="456">
        <f>Q43</f>
        <v>0.95740874747133198</v>
      </c>
      <c r="S37" s="28">
        <v>8.3333333333333329E-2</v>
      </c>
      <c r="T37" s="28">
        <v>0.14861111111111111</v>
      </c>
      <c r="U37" s="18"/>
      <c r="V37" s="356">
        <f t="shared" ref="V37:V42" si="56">(T37-S37)*24*60</f>
        <v>94.000000000000014</v>
      </c>
      <c r="W37" s="16">
        <f>T37</f>
        <v>0.14861111111111111</v>
      </c>
      <c r="X37" s="16">
        <f>S38</f>
        <v>0.16805555555555554</v>
      </c>
      <c r="Y37" s="447"/>
      <c r="Z37" s="448"/>
      <c r="AA37" s="12">
        <f t="shared" si="2"/>
        <v>-123.19148936170268</v>
      </c>
      <c r="AB37" s="351">
        <f t="shared" si="54"/>
        <v>0.95893617021276578</v>
      </c>
      <c r="AC37" s="456">
        <f>AB43</f>
        <v>0.95740874747133198</v>
      </c>
    </row>
    <row r="38" spans="1:29" ht="15.75" customHeight="1">
      <c r="A38" s="454" t="s">
        <v>1988</v>
      </c>
      <c r="B38" s="31" t="s">
        <v>79</v>
      </c>
      <c r="C38" s="444" t="s">
        <v>81</v>
      </c>
      <c r="D38" s="445"/>
      <c r="E38" s="31">
        <v>27.17</v>
      </c>
      <c r="F38" s="357">
        <v>5725</v>
      </c>
      <c r="G38" s="346">
        <v>155548.25</v>
      </c>
      <c r="H38" s="359" t="s">
        <v>103</v>
      </c>
      <c r="I38" s="355">
        <v>10</v>
      </c>
      <c r="J38" s="26">
        <v>3000</v>
      </c>
      <c r="K38" s="10">
        <v>300</v>
      </c>
      <c r="L38" s="355">
        <v>10</v>
      </c>
      <c r="M38" s="11">
        <v>2862.5</v>
      </c>
      <c r="N38" s="11">
        <v>286.25</v>
      </c>
      <c r="O38" s="12">
        <v>0</v>
      </c>
      <c r="P38" s="13">
        <v>-13.75</v>
      </c>
      <c r="Q38" s="351">
        <f t="shared" ref="Q38:Q43" si="57">N38/K38</f>
        <v>0.95416666666666672</v>
      </c>
      <c r="R38" s="457"/>
      <c r="S38" s="28">
        <v>0.16805555555555554</v>
      </c>
      <c r="T38" s="28">
        <v>0.25138888888888888</v>
      </c>
      <c r="U38" s="346">
        <f>(S38-T37)*24*60</f>
        <v>27.999999999999979</v>
      </c>
      <c r="V38" s="356">
        <f t="shared" si="56"/>
        <v>120</v>
      </c>
      <c r="W38" s="16"/>
      <c r="X38" s="16"/>
      <c r="Y38" s="447"/>
      <c r="Z38" s="448"/>
      <c r="AA38" s="12">
        <f t="shared" si="2"/>
        <v>-137.5</v>
      </c>
      <c r="AB38" s="351">
        <f t="shared" si="54"/>
        <v>0.95416666666666672</v>
      </c>
      <c r="AC38" s="457"/>
    </row>
    <row r="39" spans="1:29" ht="15.75" customHeight="1">
      <c r="A39" s="454" t="s">
        <v>1989</v>
      </c>
      <c r="B39" s="31" t="s">
        <v>79</v>
      </c>
      <c r="C39" s="444" t="s">
        <v>82</v>
      </c>
      <c r="D39" s="445"/>
      <c r="E39" s="31">
        <v>35.119999999999997</v>
      </c>
      <c r="F39" s="357">
        <v>4529</v>
      </c>
      <c r="G39" s="346">
        <v>159058.47999999998</v>
      </c>
      <c r="H39" s="359" t="s">
        <v>103</v>
      </c>
      <c r="I39" s="355">
        <v>10</v>
      </c>
      <c r="J39" s="26">
        <v>3000</v>
      </c>
      <c r="K39" s="10">
        <v>300</v>
      </c>
      <c r="L39" s="355">
        <v>10</v>
      </c>
      <c r="M39" s="11">
        <v>2860.4210526315796</v>
      </c>
      <c r="N39" s="11">
        <v>286.04210526315796</v>
      </c>
      <c r="O39" s="12">
        <v>0</v>
      </c>
      <c r="P39" s="13">
        <v>-13.957894736842036</v>
      </c>
      <c r="Q39" s="351">
        <f t="shared" si="57"/>
        <v>0.95347368421052658</v>
      </c>
      <c r="R39" s="457"/>
      <c r="S39" s="28">
        <v>0.25555555555555554</v>
      </c>
      <c r="T39" s="28">
        <v>0.32152777777777775</v>
      </c>
      <c r="U39" s="346">
        <f t="shared" ref="U39:U42" si="58">(S39-T38)*24*60</f>
        <v>5.9999999999999787</v>
      </c>
      <c r="V39" s="356">
        <f t="shared" si="56"/>
        <v>94.999999999999986</v>
      </c>
      <c r="W39" s="16"/>
      <c r="X39" s="16"/>
      <c r="Y39" s="447"/>
      <c r="Z39" s="448"/>
      <c r="AA39" s="12">
        <f t="shared" si="2"/>
        <v>-139.57894736842036</v>
      </c>
      <c r="AB39" s="351">
        <f t="shared" si="54"/>
        <v>0.95347368421052658</v>
      </c>
      <c r="AC39" s="457"/>
    </row>
    <row r="40" spans="1:29" ht="15.75" customHeight="1">
      <c r="A40" s="454" t="s">
        <v>166</v>
      </c>
      <c r="B40" s="31" t="s">
        <v>79</v>
      </c>
      <c r="C40" s="444" t="s">
        <v>85</v>
      </c>
      <c r="D40" s="445"/>
      <c r="E40" s="31">
        <v>35.869999999999997</v>
      </c>
      <c r="F40" s="357">
        <v>3141</v>
      </c>
      <c r="G40" s="346">
        <v>112667.67</v>
      </c>
      <c r="H40" s="359" t="s">
        <v>103</v>
      </c>
      <c r="I40" s="355">
        <v>10</v>
      </c>
      <c r="J40" s="26">
        <v>3000</v>
      </c>
      <c r="K40" s="10">
        <v>300</v>
      </c>
      <c r="L40" s="355">
        <v>10</v>
      </c>
      <c r="M40" s="11">
        <v>2855.4545454545455</v>
      </c>
      <c r="N40" s="11">
        <v>285.54545454545456</v>
      </c>
      <c r="O40" s="12">
        <v>0</v>
      </c>
      <c r="P40" s="13">
        <v>-14.454545454545439</v>
      </c>
      <c r="Q40" s="351">
        <f t="shared" si="57"/>
        <v>0.9518181818181819</v>
      </c>
      <c r="R40" s="457"/>
      <c r="S40" s="28">
        <v>0.3256944444444444</v>
      </c>
      <c r="T40" s="28">
        <v>0.37152777777777773</v>
      </c>
      <c r="U40" s="346">
        <f t="shared" si="58"/>
        <v>5.9999999999999787</v>
      </c>
      <c r="V40" s="356">
        <f t="shared" si="56"/>
        <v>66</v>
      </c>
      <c r="W40" s="16"/>
      <c r="X40" s="16"/>
      <c r="Y40" s="447"/>
      <c r="Z40" s="448"/>
      <c r="AA40" s="12">
        <f t="shared" si="2"/>
        <v>-144.5454545454545</v>
      </c>
      <c r="AB40" s="351">
        <f t="shared" si="54"/>
        <v>0.95181818181818179</v>
      </c>
      <c r="AC40" s="457"/>
    </row>
    <row r="41" spans="1:29" ht="15.75" customHeight="1">
      <c r="A41" s="454" t="s">
        <v>1988</v>
      </c>
      <c r="B41" s="31" t="s">
        <v>79</v>
      </c>
      <c r="C41" s="444" t="s">
        <v>86</v>
      </c>
      <c r="D41" s="445"/>
      <c r="E41" s="31">
        <v>36.14</v>
      </c>
      <c r="F41" s="357">
        <v>1777</v>
      </c>
      <c r="G41" s="346">
        <v>64220.78</v>
      </c>
      <c r="H41" s="359" t="s">
        <v>103</v>
      </c>
      <c r="I41" s="355">
        <v>8</v>
      </c>
      <c r="J41" s="26">
        <v>3000</v>
      </c>
      <c r="K41" s="10">
        <v>375</v>
      </c>
      <c r="L41" s="355">
        <v>8</v>
      </c>
      <c r="M41" s="11">
        <v>2881.6216216216194</v>
      </c>
      <c r="N41" s="11">
        <v>360.20270270270242</v>
      </c>
      <c r="O41" s="12">
        <v>0</v>
      </c>
      <c r="P41" s="13">
        <v>-14.797297297297575</v>
      </c>
      <c r="Q41" s="351">
        <f t="shared" si="57"/>
        <v>0.96054054054053983</v>
      </c>
      <c r="R41" s="457"/>
      <c r="S41" s="28">
        <v>0.37499999999999994</v>
      </c>
      <c r="T41" s="28">
        <v>0.40069444444444441</v>
      </c>
      <c r="U41" s="346">
        <f t="shared" si="58"/>
        <v>4.9999999999999822</v>
      </c>
      <c r="V41" s="356">
        <f t="shared" si="56"/>
        <v>37.000000000000028</v>
      </c>
      <c r="W41" s="16"/>
      <c r="X41" s="16"/>
      <c r="Y41" s="447"/>
      <c r="Z41" s="448"/>
      <c r="AA41" s="12">
        <f t="shared" si="2"/>
        <v>-118.3783783783806</v>
      </c>
      <c r="AB41" s="351">
        <f t="shared" si="54"/>
        <v>0.96054054054053983</v>
      </c>
      <c r="AC41" s="457"/>
    </row>
    <row r="42" spans="1:29" ht="15.75" customHeight="1">
      <c r="A42" s="454" t="s">
        <v>1988</v>
      </c>
      <c r="B42" s="31" t="s">
        <v>79</v>
      </c>
      <c r="C42" s="444" t="s">
        <v>95</v>
      </c>
      <c r="D42" s="445"/>
      <c r="E42" s="31">
        <v>35.369999999999997</v>
      </c>
      <c r="F42" s="357">
        <v>1400</v>
      </c>
      <c r="G42" s="346">
        <v>49518</v>
      </c>
      <c r="H42" s="359" t="s">
        <v>103</v>
      </c>
      <c r="I42" s="355">
        <v>10</v>
      </c>
      <c r="J42" s="26">
        <v>3000</v>
      </c>
      <c r="K42" s="10">
        <v>300</v>
      </c>
      <c r="L42" s="355">
        <v>10</v>
      </c>
      <c r="M42" s="11">
        <v>2896.551724137933</v>
      </c>
      <c r="N42" s="11">
        <v>289.65517241379331</v>
      </c>
      <c r="O42" s="12">
        <v>0</v>
      </c>
      <c r="P42" s="13">
        <v>-10.344827586206691</v>
      </c>
      <c r="Q42" s="351">
        <f t="shared" si="57"/>
        <v>0.96551724137931105</v>
      </c>
      <c r="R42" s="457"/>
      <c r="S42" s="28">
        <v>0.40486111111111106</v>
      </c>
      <c r="T42" s="28">
        <v>0.42499999999999993</v>
      </c>
      <c r="U42" s="346">
        <f t="shared" si="58"/>
        <v>5.9999999999999787</v>
      </c>
      <c r="V42" s="356">
        <f t="shared" si="56"/>
        <v>28.999999999999979</v>
      </c>
      <c r="W42" s="16"/>
      <c r="X42" s="16"/>
      <c r="Y42" s="447"/>
      <c r="Z42" s="448"/>
      <c r="AA42" s="12">
        <f t="shared" si="2"/>
        <v>-103.44827586206702</v>
      </c>
      <c r="AB42" s="351">
        <f t="shared" si="54"/>
        <v>0.96551724137931094</v>
      </c>
      <c r="AC42" s="457"/>
    </row>
    <row r="43" spans="1:29" ht="15.75" customHeight="1">
      <c r="A43" s="455" t="s">
        <v>1988</v>
      </c>
      <c r="B43" s="31" t="s">
        <v>231</v>
      </c>
      <c r="C43" s="459"/>
      <c r="D43" s="460"/>
      <c r="E43" s="352"/>
      <c r="F43" s="357"/>
      <c r="G43" s="346"/>
      <c r="H43" s="357"/>
      <c r="I43" s="19">
        <f>AVERAGE(I37:I42)</f>
        <v>9.6666666666666661</v>
      </c>
      <c r="J43" s="26">
        <v>3000</v>
      </c>
      <c r="K43" s="10">
        <f>J43/I43</f>
        <v>310.34482758620692</v>
      </c>
      <c r="L43" s="19">
        <f>AVERAGE(L37:L42)</f>
        <v>9.6666666666666661</v>
      </c>
      <c r="M43" s="11">
        <f>AVERAGE(M37:M42)</f>
        <v>2872.2262424139958</v>
      </c>
      <c r="N43" s="10">
        <f t="shared" ref="N43" si="59">M43/L43</f>
        <v>297.12685266351684</v>
      </c>
      <c r="O43" s="12">
        <f t="shared" ref="O43" si="60">L43-I43</f>
        <v>0</v>
      </c>
      <c r="P43" s="13">
        <f t="shared" ref="P43" si="61">N43-K43</f>
        <v>-13.217974922690075</v>
      </c>
      <c r="Q43" s="351">
        <f t="shared" si="57"/>
        <v>0.95740874747133198</v>
      </c>
      <c r="R43" s="458"/>
      <c r="S43" s="28"/>
      <c r="T43" s="28"/>
      <c r="U43" s="346"/>
      <c r="V43" s="356"/>
      <c r="W43" s="16"/>
      <c r="X43" s="16"/>
      <c r="Y43" s="447"/>
      <c r="Z43" s="448"/>
      <c r="AA43" s="12">
        <f t="shared" si="2"/>
        <v>-127.77375758600419</v>
      </c>
      <c r="AB43" s="351">
        <f t="shared" si="54"/>
        <v>0.95740874747133198</v>
      </c>
      <c r="AC43" s="458"/>
    </row>
    <row r="44" spans="1:29" ht="15.75" customHeight="1">
      <c r="A44" s="451" t="s">
        <v>167</v>
      </c>
      <c r="B44" s="31" t="s">
        <v>53</v>
      </c>
      <c r="C44" s="441" t="s">
        <v>87</v>
      </c>
      <c r="D44" s="441"/>
      <c r="E44" s="31">
        <v>46</v>
      </c>
      <c r="F44" s="35">
        <v>2341</v>
      </c>
      <c r="G44" s="346">
        <f t="shared" ref="G44:G49" si="62">E44*F44</f>
        <v>107686</v>
      </c>
      <c r="H44" s="359" t="s">
        <v>103</v>
      </c>
      <c r="I44" s="355">
        <v>17</v>
      </c>
      <c r="J44" s="26">
        <v>2000</v>
      </c>
      <c r="K44" s="10">
        <f t="shared" ref="K44:K49" si="63">J44/I44</f>
        <v>117.64705882352941</v>
      </c>
      <c r="L44" s="355">
        <v>17</v>
      </c>
      <c r="M44" s="11">
        <f t="shared" ref="M44:M49" si="64">F44/V44*60</f>
        <v>1924.1095890410961</v>
      </c>
      <c r="N44" s="11">
        <f>M44/L44</f>
        <v>113.18291700241741</v>
      </c>
      <c r="O44" s="12">
        <f>L44-I44</f>
        <v>0</v>
      </c>
      <c r="P44" s="13">
        <f>N44-K44</f>
        <v>-4.4641418211119941</v>
      </c>
      <c r="Q44" s="351">
        <f>N44/K44</f>
        <v>0.9620547945205481</v>
      </c>
      <c r="R44" s="442">
        <f>Q50</f>
        <v>0.95930173807839125</v>
      </c>
      <c r="S44" s="28">
        <v>0.29166666666666669</v>
      </c>
      <c r="T44" s="28">
        <v>0.34236111111111112</v>
      </c>
      <c r="U44" s="18"/>
      <c r="V44" s="356">
        <f t="shared" ref="V44:V49" si="65">(T44-S44)*24*60</f>
        <v>72.999999999999986</v>
      </c>
      <c r="W44" s="18"/>
      <c r="X44" s="18"/>
      <c r="Y44" s="443"/>
      <c r="Z44" s="443"/>
      <c r="AA44" s="12">
        <f t="shared" si="2"/>
        <v>-75.890410958903885</v>
      </c>
      <c r="AB44" s="351">
        <f t="shared" si="54"/>
        <v>0.9620547945205481</v>
      </c>
      <c r="AC44" s="442">
        <f>AB50</f>
        <v>0.95930173807839114</v>
      </c>
    </row>
    <row r="45" spans="1:29" ht="15.75" customHeight="1">
      <c r="A45" s="451" t="s">
        <v>167</v>
      </c>
      <c r="B45" s="31" t="s">
        <v>53</v>
      </c>
      <c r="C45" s="441" t="s">
        <v>88</v>
      </c>
      <c r="D45" s="441"/>
      <c r="E45" s="31">
        <v>46</v>
      </c>
      <c r="F45" s="35">
        <v>2596</v>
      </c>
      <c r="G45" s="346">
        <f t="shared" si="62"/>
        <v>119416</v>
      </c>
      <c r="H45" s="359" t="s">
        <v>103</v>
      </c>
      <c r="I45" s="355">
        <v>17</v>
      </c>
      <c r="J45" s="26">
        <v>2000</v>
      </c>
      <c r="K45" s="10">
        <f t="shared" si="63"/>
        <v>117.64705882352941</v>
      </c>
      <c r="L45" s="355">
        <v>17</v>
      </c>
      <c r="M45" s="11">
        <f t="shared" si="64"/>
        <v>1922.9629629629624</v>
      </c>
      <c r="N45" s="11">
        <f t="shared" ref="N45:N49" si="66">M45/L45</f>
        <v>113.11546840958601</v>
      </c>
      <c r="O45" s="12">
        <f t="shared" ref="O45:O49" si="67">L45-I45</f>
        <v>0</v>
      </c>
      <c r="P45" s="13">
        <f t="shared" ref="P45:P49" si="68">N45-K45</f>
        <v>-4.5315904139433911</v>
      </c>
      <c r="Q45" s="351">
        <f t="shared" ref="Q45:Q49" si="69">N45/K45</f>
        <v>0.96148148148148116</v>
      </c>
      <c r="R45" s="442"/>
      <c r="S45" s="28">
        <v>0.34652777777777777</v>
      </c>
      <c r="T45" s="28">
        <v>0.40277777777777779</v>
      </c>
      <c r="U45" s="346">
        <f>IF(S45=TIME(17,0,0),"",(S45-T44)*24*60)</f>
        <v>5.9999999999999787</v>
      </c>
      <c r="V45" s="356">
        <f t="shared" si="65"/>
        <v>81.000000000000028</v>
      </c>
      <c r="W45" s="16"/>
      <c r="X45" s="16"/>
      <c r="Y45" s="443"/>
      <c r="Z45" s="443"/>
      <c r="AA45" s="12">
        <f t="shared" si="2"/>
        <v>-77.037037037037635</v>
      </c>
      <c r="AB45" s="351">
        <f t="shared" si="54"/>
        <v>0.96148148148148116</v>
      </c>
      <c r="AC45" s="442"/>
    </row>
    <row r="46" spans="1:29" ht="15.75" customHeight="1">
      <c r="A46" s="451" t="s">
        <v>167</v>
      </c>
      <c r="B46" s="31" t="s">
        <v>58</v>
      </c>
      <c r="C46" s="444" t="s">
        <v>168</v>
      </c>
      <c r="D46" s="445"/>
      <c r="E46" s="31">
        <v>54.09</v>
      </c>
      <c r="F46" s="35">
        <v>957</v>
      </c>
      <c r="G46" s="346">
        <f t="shared" si="62"/>
        <v>51764.130000000005</v>
      </c>
      <c r="H46" s="359" t="s">
        <v>103</v>
      </c>
      <c r="I46" s="355">
        <v>16</v>
      </c>
      <c r="J46" s="26">
        <v>2000</v>
      </c>
      <c r="K46" s="10">
        <f t="shared" si="63"/>
        <v>125</v>
      </c>
      <c r="L46" s="355">
        <v>16</v>
      </c>
      <c r="M46" s="11">
        <f t="shared" si="64"/>
        <v>1914.0000000000018</v>
      </c>
      <c r="N46" s="11">
        <f t="shared" si="66"/>
        <v>119.62500000000011</v>
      </c>
      <c r="O46" s="12">
        <f t="shared" si="67"/>
        <v>0</v>
      </c>
      <c r="P46" s="13">
        <f t="shared" si="68"/>
        <v>-5.3749999999998863</v>
      </c>
      <c r="Q46" s="351">
        <f t="shared" si="69"/>
        <v>0.95700000000000096</v>
      </c>
      <c r="R46" s="442"/>
      <c r="S46" s="28">
        <v>0.40833333333333333</v>
      </c>
      <c r="T46" s="28">
        <v>0.42916666666666664</v>
      </c>
      <c r="U46" s="346">
        <f t="shared" ref="U46:U49" si="70">IF(S46=TIME(17,0,0),"",(S46-T45)*24*60)</f>
        <v>7.9999999999999716</v>
      </c>
      <c r="V46" s="356">
        <f t="shared" si="65"/>
        <v>29.999999999999972</v>
      </c>
      <c r="W46" s="16"/>
      <c r="X46" s="16"/>
      <c r="Y46" s="349"/>
      <c r="Z46" s="350"/>
      <c r="AA46" s="12">
        <f t="shared" si="2"/>
        <v>-85.999999999998181</v>
      </c>
      <c r="AB46" s="351">
        <f t="shared" si="54"/>
        <v>0.95700000000000096</v>
      </c>
      <c r="AC46" s="442"/>
    </row>
    <row r="47" spans="1:29" ht="15.75" customHeight="1">
      <c r="A47" s="451" t="s">
        <v>1990</v>
      </c>
      <c r="B47" s="31" t="s">
        <v>58</v>
      </c>
      <c r="C47" s="347" t="s">
        <v>89</v>
      </c>
      <c r="D47" s="348"/>
      <c r="E47" s="31">
        <v>55.56</v>
      </c>
      <c r="F47" s="35">
        <v>2298</v>
      </c>
      <c r="G47" s="346">
        <f t="shared" si="62"/>
        <v>127676.88</v>
      </c>
      <c r="H47" s="359" t="s">
        <v>103</v>
      </c>
      <c r="I47" s="355">
        <v>17</v>
      </c>
      <c r="J47" s="26">
        <v>2000</v>
      </c>
      <c r="K47" s="10">
        <f t="shared" si="63"/>
        <v>117.64705882352941</v>
      </c>
      <c r="L47" s="355">
        <v>17</v>
      </c>
      <c r="M47" s="11">
        <f t="shared" si="64"/>
        <v>1914.9999999999986</v>
      </c>
      <c r="N47" s="11">
        <f t="shared" si="66"/>
        <v>112.64705882352933</v>
      </c>
      <c r="O47" s="12">
        <f t="shared" si="67"/>
        <v>0</v>
      </c>
      <c r="P47" s="13">
        <f t="shared" si="68"/>
        <v>-5.0000000000000711</v>
      </c>
      <c r="Q47" s="351">
        <f t="shared" si="69"/>
        <v>0.95749999999999935</v>
      </c>
      <c r="R47" s="442"/>
      <c r="S47" s="28">
        <v>0.70833333333333337</v>
      </c>
      <c r="T47" s="28">
        <v>0.75833333333333341</v>
      </c>
      <c r="U47" s="346" t="str">
        <f t="shared" si="70"/>
        <v/>
      </c>
      <c r="V47" s="356">
        <f t="shared" si="65"/>
        <v>72.000000000000057</v>
      </c>
      <c r="W47" s="16"/>
      <c r="X47" s="16"/>
      <c r="Y47" s="349"/>
      <c r="Z47" s="350"/>
      <c r="AA47" s="12">
        <f t="shared" si="2"/>
        <v>-85.000000000001364</v>
      </c>
      <c r="AB47" s="351">
        <f t="shared" si="54"/>
        <v>0.95749999999999935</v>
      </c>
      <c r="AC47" s="442"/>
    </row>
    <row r="48" spans="1:29" ht="15.75" customHeight="1">
      <c r="A48" s="451" t="s">
        <v>167</v>
      </c>
      <c r="B48" s="31" t="s">
        <v>58</v>
      </c>
      <c r="C48" s="347" t="s">
        <v>90</v>
      </c>
      <c r="D48" s="348"/>
      <c r="E48" s="31">
        <v>55.32</v>
      </c>
      <c r="F48" s="35">
        <v>1672</v>
      </c>
      <c r="G48" s="346">
        <f t="shared" si="62"/>
        <v>92495.039999999994</v>
      </c>
      <c r="H48" s="359" t="s">
        <v>103</v>
      </c>
      <c r="I48" s="355">
        <v>15</v>
      </c>
      <c r="J48" s="26">
        <v>2000</v>
      </c>
      <c r="K48" s="10">
        <f t="shared" si="63"/>
        <v>133.33333333333334</v>
      </c>
      <c r="L48" s="355">
        <v>15</v>
      </c>
      <c r="M48" s="11">
        <f t="shared" si="64"/>
        <v>1929.2307692307704</v>
      </c>
      <c r="N48" s="11">
        <f t="shared" si="66"/>
        <v>128.6153846153847</v>
      </c>
      <c r="O48" s="12">
        <f t="shared" si="67"/>
        <v>0</v>
      </c>
      <c r="P48" s="13">
        <f t="shared" si="68"/>
        <v>-4.7179487179486443</v>
      </c>
      <c r="Q48" s="351">
        <f t="shared" si="69"/>
        <v>0.96461538461538521</v>
      </c>
      <c r="R48" s="442"/>
      <c r="S48" s="28">
        <v>0.76180555555555562</v>
      </c>
      <c r="T48" s="28">
        <v>0.79791666666666672</v>
      </c>
      <c r="U48" s="346">
        <f t="shared" si="70"/>
        <v>4.9999999999999822</v>
      </c>
      <c r="V48" s="356">
        <f t="shared" si="65"/>
        <v>51.999999999999972</v>
      </c>
      <c r="W48" s="16"/>
      <c r="X48" s="16"/>
      <c r="Y48" s="349"/>
      <c r="Z48" s="350"/>
      <c r="AA48" s="12">
        <f t="shared" si="2"/>
        <v>-70.76923076922958</v>
      </c>
      <c r="AB48" s="351">
        <f t="shared" si="54"/>
        <v>0.96461538461538521</v>
      </c>
      <c r="AC48" s="442"/>
    </row>
    <row r="49" spans="1:29" ht="15.75" customHeight="1">
      <c r="A49" s="451" t="s">
        <v>167</v>
      </c>
      <c r="B49" s="31" t="s">
        <v>58</v>
      </c>
      <c r="C49" s="444" t="s">
        <v>91</v>
      </c>
      <c r="D49" s="445"/>
      <c r="E49" s="31">
        <v>57.73</v>
      </c>
      <c r="F49" s="35">
        <v>1284</v>
      </c>
      <c r="G49" s="346">
        <f t="shared" si="62"/>
        <v>74125.319999999992</v>
      </c>
      <c r="H49" s="359" t="s">
        <v>103</v>
      </c>
      <c r="I49" s="355">
        <v>16</v>
      </c>
      <c r="J49" s="26">
        <v>1500</v>
      </c>
      <c r="K49" s="10">
        <f t="shared" si="63"/>
        <v>93.75</v>
      </c>
      <c r="L49" s="355">
        <v>16</v>
      </c>
      <c r="M49" s="11">
        <f t="shared" si="64"/>
        <v>1426.6666666666674</v>
      </c>
      <c r="N49" s="11">
        <f t="shared" si="66"/>
        <v>89.166666666666714</v>
      </c>
      <c r="O49" s="12">
        <f t="shared" si="67"/>
        <v>0</v>
      </c>
      <c r="P49" s="13">
        <f t="shared" si="68"/>
        <v>-4.583333333333286</v>
      </c>
      <c r="Q49" s="351">
        <f t="shared" si="69"/>
        <v>0.95111111111111157</v>
      </c>
      <c r="R49" s="442"/>
      <c r="S49" s="28">
        <v>0.80277777777777781</v>
      </c>
      <c r="T49" s="28">
        <v>0.84027777777777779</v>
      </c>
      <c r="U49" s="346">
        <f t="shared" si="70"/>
        <v>6.9999999999999751</v>
      </c>
      <c r="V49" s="356">
        <f t="shared" si="65"/>
        <v>53.999999999999972</v>
      </c>
      <c r="W49" s="16"/>
      <c r="X49" s="16"/>
      <c r="Y49" s="447"/>
      <c r="Z49" s="448"/>
      <c r="AA49" s="12">
        <f t="shared" si="2"/>
        <v>-73.333333333332575</v>
      </c>
      <c r="AB49" s="351">
        <f t="shared" si="54"/>
        <v>0.95111111111111157</v>
      </c>
      <c r="AC49" s="442"/>
    </row>
    <row r="50" spans="1:29">
      <c r="A50" s="452" t="s">
        <v>1990</v>
      </c>
      <c r="B50" s="31" t="s">
        <v>1984</v>
      </c>
      <c r="C50" s="446"/>
      <c r="D50" s="446"/>
      <c r="E50" s="345"/>
      <c r="F50" s="33"/>
      <c r="G50" s="10"/>
      <c r="H50" s="357"/>
      <c r="I50" s="19">
        <v>16.333333333333332</v>
      </c>
      <c r="J50" s="26">
        <v>1916.6666666666667</v>
      </c>
      <c r="K50" s="10">
        <f>J50/I50</f>
        <v>117.34693877551021</v>
      </c>
      <c r="L50" s="19">
        <v>16.333333333333332</v>
      </c>
      <c r="M50" s="11">
        <f>AVERAGE(M44:M49)</f>
        <v>1838.6616646502498</v>
      </c>
      <c r="N50" s="10">
        <f>M50/L50</f>
        <v>112.57112232552551</v>
      </c>
      <c r="O50" s="12">
        <f>L50-I50</f>
        <v>0</v>
      </c>
      <c r="P50" s="13">
        <f>N50-K50</f>
        <v>-4.7758164499847027</v>
      </c>
      <c r="Q50" s="351">
        <f>N50/K50</f>
        <v>0.95930173807839125</v>
      </c>
      <c r="R50" s="442"/>
      <c r="S50" s="29"/>
      <c r="T50" s="28"/>
      <c r="U50" s="10"/>
      <c r="V50" s="356"/>
      <c r="W50" s="10"/>
      <c r="X50" s="10"/>
      <c r="Y50" s="443"/>
      <c r="Z50" s="443"/>
      <c r="AA50" s="12">
        <f t="shared" si="2"/>
        <v>-78.005002016416938</v>
      </c>
      <c r="AB50" s="351">
        <f t="shared" si="54"/>
        <v>0.95930173807839114</v>
      </c>
      <c r="AC50" s="442"/>
    </row>
    <row r="51" spans="1:29" ht="15.75" customHeight="1">
      <c r="A51" s="449" t="s">
        <v>254</v>
      </c>
      <c r="B51" s="357" t="s">
        <v>79</v>
      </c>
      <c r="C51" s="441" t="s">
        <v>94</v>
      </c>
      <c r="D51" s="441"/>
      <c r="E51" s="31">
        <v>26.78</v>
      </c>
      <c r="F51" s="35">
        <v>2661</v>
      </c>
      <c r="G51" s="346">
        <f t="shared" ref="G51:G54" si="71">E51*F51</f>
        <v>71261.58</v>
      </c>
      <c r="H51" s="359" t="s">
        <v>103</v>
      </c>
      <c r="I51" s="355">
        <v>10</v>
      </c>
      <c r="J51" s="26">
        <v>3000</v>
      </c>
      <c r="K51" s="10">
        <f t="shared" ref="K51:K54" si="72">J51/I51</f>
        <v>300</v>
      </c>
      <c r="L51" s="19">
        <v>10</v>
      </c>
      <c r="M51" s="11">
        <f t="shared" ref="M51:M54" si="73">F51/V51*60</f>
        <v>2851.0714285714289</v>
      </c>
      <c r="N51" s="10">
        <f>M51/L51</f>
        <v>285.10714285714289</v>
      </c>
      <c r="O51" s="12">
        <f t="shared" ref="O51:O54" si="74">L51-I51</f>
        <v>0</v>
      </c>
      <c r="P51" s="13">
        <f t="shared" ref="P51:P54" si="75">N51-K51</f>
        <v>-14.89285714285711</v>
      </c>
      <c r="Q51" s="351">
        <f>N51/K51</f>
        <v>0.95035714285714301</v>
      </c>
      <c r="R51" s="442">
        <f>Q55</f>
        <v>0.9605316863587543</v>
      </c>
      <c r="S51" s="28">
        <v>0.20833333333333334</v>
      </c>
      <c r="T51" s="28">
        <v>0.24722222222222223</v>
      </c>
      <c r="U51" s="346"/>
      <c r="V51" s="356">
        <f t="shared" ref="V51:V54" si="76">(T51-S51)*24*60</f>
        <v>56</v>
      </c>
      <c r="W51" s="18"/>
      <c r="X51" s="18"/>
      <c r="Y51" s="443"/>
      <c r="Z51" s="443"/>
      <c r="AA51" s="12">
        <f t="shared" si="2"/>
        <v>-148.9285714285711</v>
      </c>
      <c r="AB51" s="351">
        <f t="shared" si="54"/>
        <v>0.95035714285714301</v>
      </c>
      <c r="AC51" s="442">
        <f>AB55</f>
        <v>0.9605316863587543</v>
      </c>
    </row>
    <row r="52" spans="1:29" ht="15.75" customHeight="1">
      <c r="A52" s="449" t="s">
        <v>1991</v>
      </c>
      <c r="B52" s="357" t="s">
        <v>79</v>
      </c>
      <c r="C52" s="441" t="s">
        <v>97</v>
      </c>
      <c r="D52" s="441"/>
      <c r="E52" s="31">
        <v>35.119999999999997</v>
      </c>
      <c r="F52" s="35">
        <v>1040</v>
      </c>
      <c r="G52" s="346">
        <f t="shared" si="71"/>
        <v>36524.799999999996</v>
      </c>
      <c r="H52" s="359" t="s">
        <v>103</v>
      </c>
      <c r="I52" s="355">
        <v>13</v>
      </c>
      <c r="J52" s="26">
        <v>2000</v>
      </c>
      <c r="K52" s="10">
        <f t="shared" si="72"/>
        <v>153.84615384615384</v>
      </c>
      <c r="L52" s="19">
        <v>13</v>
      </c>
      <c r="M52" s="11">
        <f t="shared" si="73"/>
        <v>1950.000000000002</v>
      </c>
      <c r="N52" s="10">
        <f t="shared" ref="N52:N54" si="77">M52/L52</f>
        <v>150.00000000000017</v>
      </c>
      <c r="O52" s="12">
        <f t="shared" si="74"/>
        <v>0</v>
      </c>
      <c r="P52" s="13">
        <f t="shared" si="75"/>
        <v>-3.8461538461536691</v>
      </c>
      <c r="Q52" s="351">
        <f t="shared" ref="Q52:Q54" si="78">N52/K52</f>
        <v>0.9750000000000012</v>
      </c>
      <c r="R52" s="442"/>
      <c r="S52" s="28">
        <v>0.25277777777777777</v>
      </c>
      <c r="T52" s="28">
        <v>0.27499999999999997</v>
      </c>
      <c r="U52" s="346">
        <f>(S52-T51)*24*60</f>
        <v>7.9999999999999716</v>
      </c>
      <c r="V52" s="356">
        <f t="shared" si="76"/>
        <v>31.999999999999964</v>
      </c>
      <c r="W52" s="346"/>
      <c r="X52" s="346"/>
      <c r="Y52" s="443"/>
      <c r="Z52" s="443"/>
      <c r="AA52" s="12">
        <f t="shared" si="2"/>
        <v>-49.999999999997954</v>
      </c>
      <c r="AB52" s="351">
        <f t="shared" si="54"/>
        <v>0.97500000000000098</v>
      </c>
      <c r="AC52" s="442"/>
    </row>
    <row r="53" spans="1:29" ht="15.75" customHeight="1">
      <c r="A53" s="449" t="s">
        <v>1991</v>
      </c>
      <c r="B53" s="357" t="s">
        <v>79</v>
      </c>
      <c r="C53" s="441" t="s">
        <v>98</v>
      </c>
      <c r="D53" s="441"/>
      <c r="E53" s="31">
        <v>35.869999999999997</v>
      </c>
      <c r="F53" s="35">
        <v>2364</v>
      </c>
      <c r="G53" s="346">
        <f t="shared" si="71"/>
        <v>84796.68</v>
      </c>
      <c r="H53" s="359" t="s">
        <v>103</v>
      </c>
      <c r="I53" s="355">
        <v>10</v>
      </c>
      <c r="J53" s="26">
        <v>3000</v>
      </c>
      <c r="K53" s="10">
        <f t="shared" si="72"/>
        <v>300</v>
      </c>
      <c r="L53" s="19">
        <v>10</v>
      </c>
      <c r="M53" s="11">
        <f t="shared" si="73"/>
        <v>2894.6938775510212</v>
      </c>
      <c r="N53" s="10">
        <f t="shared" si="77"/>
        <v>289.4693877551021</v>
      </c>
      <c r="O53" s="12">
        <f t="shared" si="74"/>
        <v>0</v>
      </c>
      <c r="P53" s="13">
        <f t="shared" si="75"/>
        <v>-10.530612244897895</v>
      </c>
      <c r="Q53" s="351">
        <f t="shared" si="78"/>
        <v>0.96489795918367371</v>
      </c>
      <c r="R53" s="442"/>
      <c r="S53" s="28">
        <v>0.27847222222222218</v>
      </c>
      <c r="T53" s="28">
        <v>0.31249999999999994</v>
      </c>
      <c r="U53" s="346">
        <f t="shared" ref="U53:U54" si="79">(S53-T52)*24*60</f>
        <v>4.9999999999999822</v>
      </c>
      <c r="V53" s="356">
        <f t="shared" si="76"/>
        <v>48.999999999999986</v>
      </c>
      <c r="W53" s="346"/>
      <c r="X53" s="346"/>
      <c r="Y53" s="443"/>
      <c r="Z53" s="443"/>
      <c r="AA53" s="12">
        <f t="shared" si="2"/>
        <v>-105.30612244897884</v>
      </c>
      <c r="AB53" s="351">
        <f t="shared" si="54"/>
        <v>0.96489795918367371</v>
      </c>
      <c r="AC53" s="442"/>
    </row>
    <row r="54" spans="1:29" ht="15.75" customHeight="1">
      <c r="A54" s="449" t="s">
        <v>1991</v>
      </c>
      <c r="B54" s="357" t="s">
        <v>53</v>
      </c>
      <c r="C54" s="441" t="s">
        <v>96</v>
      </c>
      <c r="D54" s="441"/>
      <c r="E54" s="31">
        <v>26.97</v>
      </c>
      <c r="F54" s="35">
        <v>2668</v>
      </c>
      <c r="G54" s="346">
        <f t="shared" si="71"/>
        <v>71955.959999999992</v>
      </c>
      <c r="H54" s="359" t="s">
        <v>103</v>
      </c>
      <c r="I54" s="355">
        <v>8</v>
      </c>
      <c r="J54" s="26">
        <v>1500</v>
      </c>
      <c r="K54" s="10">
        <f t="shared" si="72"/>
        <v>187.5</v>
      </c>
      <c r="L54" s="19">
        <v>8</v>
      </c>
      <c r="M54" s="11">
        <f t="shared" si="73"/>
        <v>1429.2857142857144</v>
      </c>
      <c r="N54" s="10">
        <f t="shared" si="77"/>
        <v>178.66071428571431</v>
      </c>
      <c r="O54" s="12">
        <f t="shared" si="74"/>
        <v>0</v>
      </c>
      <c r="P54" s="13">
        <f t="shared" si="75"/>
        <v>-8.839285714285694</v>
      </c>
      <c r="Q54" s="351">
        <f t="shared" si="78"/>
        <v>0.95285714285714296</v>
      </c>
      <c r="R54" s="442"/>
      <c r="S54" s="28">
        <v>0.31736111111111104</v>
      </c>
      <c r="T54" s="28">
        <v>0.39513888888888882</v>
      </c>
      <c r="U54" s="346">
        <f t="shared" si="79"/>
        <v>6.9999999999999751</v>
      </c>
      <c r="V54" s="356">
        <f t="shared" si="76"/>
        <v>112</v>
      </c>
      <c r="W54" s="346"/>
      <c r="X54" s="346"/>
      <c r="Y54" s="443"/>
      <c r="Z54" s="443"/>
      <c r="AA54" s="12">
        <f t="shared" si="2"/>
        <v>-70.714285714285552</v>
      </c>
      <c r="AB54" s="351">
        <f t="shared" si="54"/>
        <v>0.95285714285714296</v>
      </c>
      <c r="AC54" s="442"/>
    </row>
    <row r="55" spans="1:29">
      <c r="A55" s="450" t="s">
        <v>254</v>
      </c>
      <c r="B55" s="31" t="s">
        <v>1984</v>
      </c>
      <c r="C55" s="446"/>
      <c r="D55" s="446"/>
      <c r="E55" s="345"/>
      <c r="F55" s="33"/>
      <c r="G55" s="10"/>
      <c r="H55" s="357"/>
      <c r="I55" s="19">
        <v>10.25</v>
      </c>
      <c r="J55" s="26">
        <v>2375</v>
      </c>
      <c r="K55" s="10">
        <f>J55/I55</f>
        <v>231.70731707317074</v>
      </c>
      <c r="L55" s="19">
        <v>10.25</v>
      </c>
      <c r="M55" s="11">
        <f>AVERAGE(M51:M54)</f>
        <v>2281.2627551020414</v>
      </c>
      <c r="N55" s="10">
        <f>M55/L55</f>
        <v>222.56222000995527</v>
      </c>
      <c r="O55" s="12">
        <f>L55-I55</f>
        <v>0</v>
      </c>
      <c r="P55" s="13">
        <f>N55-K55</f>
        <v>-9.1450970632154736</v>
      </c>
      <c r="Q55" s="351">
        <f>N55/K55</f>
        <v>0.9605316863587543</v>
      </c>
      <c r="R55" s="442"/>
      <c r="S55" s="28"/>
      <c r="T55" s="28"/>
      <c r="U55" s="10"/>
      <c r="V55" s="356"/>
      <c r="W55" s="10"/>
      <c r="X55" s="10"/>
      <c r="Y55" s="443"/>
      <c r="Z55" s="443"/>
      <c r="AA55" s="12">
        <f t="shared" si="2"/>
        <v>-93.73724489795859</v>
      </c>
      <c r="AB55" s="351">
        <f t="shared" si="54"/>
        <v>0.9605316863587543</v>
      </c>
      <c r="AC55" s="442"/>
    </row>
    <row r="56" spans="1:29" ht="15.75" customHeight="1">
      <c r="A56" s="439" t="s">
        <v>169</v>
      </c>
      <c r="B56" s="357" t="s">
        <v>67</v>
      </c>
      <c r="C56" s="441" t="s">
        <v>99</v>
      </c>
      <c r="D56" s="441"/>
      <c r="E56" s="31">
        <v>20.2</v>
      </c>
      <c r="F56" s="357">
        <v>1670</v>
      </c>
      <c r="G56" s="346">
        <f t="shared" ref="G56:G62" si="80">E56*F56</f>
        <v>33734</v>
      </c>
      <c r="H56" s="359" t="s">
        <v>103</v>
      </c>
      <c r="I56" s="355">
        <v>19</v>
      </c>
      <c r="J56" s="26">
        <v>2400</v>
      </c>
      <c r="K56" s="10">
        <f t="shared" ref="K56:K58" si="81">J56/I56</f>
        <v>126.31578947368421</v>
      </c>
      <c r="L56" s="19">
        <v>19</v>
      </c>
      <c r="M56" s="11">
        <f>F56/V56*60</f>
        <v>2330.2325581395344</v>
      </c>
      <c r="N56" s="10">
        <f t="shared" ref="N56:N62" si="82">M56/L56</f>
        <v>122.64381884944918</v>
      </c>
      <c r="O56" s="12">
        <f t="shared" ref="O56:O62" si="83">L56-I56</f>
        <v>0</v>
      </c>
      <c r="P56" s="13">
        <f t="shared" ref="P56:P62" si="84">N56-K56</f>
        <v>-3.6719706242350298</v>
      </c>
      <c r="Q56" s="351">
        <f>N56/K56</f>
        <v>0.97093023255813937</v>
      </c>
      <c r="R56" s="442">
        <f>Q63</f>
        <v>0.95647482358643166</v>
      </c>
      <c r="S56" s="28">
        <v>8.3333333333333329E-2</v>
      </c>
      <c r="T56" s="28">
        <v>0.11319444444444444</v>
      </c>
      <c r="U56" s="18"/>
      <c r="V56" s="356">
        <f t="shared" ref="V56:V62" si="85">(T56-S56)*24*60</f>
        <v>43.000000000000007</v>
      </c>
      <c r="W56" s="16">
        <f>T56</f>
        <v>0.11319444444444444</v>
      </c>
      <c r="X56" s="16">
        <f>S57</f>
        <v>0.13263888888888889</v>
      </c>
      <c r="Y56" s="443"/>
      <c r="Z56" s="443"/>
      <c r="AA56" s="12">
        <f t="shared" si="2"/>
        <v>-69.767441860465624</v>
      </c>
      <c r="AB56" s="351">
        <f>M56/J56</f>
        <v>0.97093023255813937</v>
      </c>
      <c r="AC56" s="442">
        <f>AB63</f>
        <v>0.95647482358643154</v>
      </c>
    </row>
    <row r="57" spans="1:29" ht="15.75" customHeight="1">
      <c r="A57" s="439" t="s">
        <v>1992</v>
      </c>
      <c r="B57" s="357" t="s">
        <v>67</v>
      </c>
      <c r="C57" s="441" t="s">
        <v>100</v>
      </c>
      <c r="D57" s="441"/>
      <c r="E57" s="31">
        <v>19.02</v>
      </c>
      <c r="F57" s="357">
        <v>8294</v>
      </c>
      <c r="G57" s="346">
        <f t="shared" si="80"/>
        <v>157751.88</v>
      </c>
      <c r="H57" s="359" t="s">
        <v>103</v>
      </c>
      <c r="I57" s="355">
        <v>15</v>
      </c>
      <c r="J57" s="26">
        <v>2400</v>
      </c>
      <c r="K57" s="10">
        <f t="shared" si="81"/>
        <v>160</v>
      </c>
      <c r="L57" s="19">
        <v>15</v>
      </c>
      <c r="M57" s="11">
        <f t="shared" ref="M57:M62" si="86">F57/V57*60</f>
        <v>2293.2718894009222</v>
      </c>
      <c r="N57" s="10">
        <f t="shared" si="82"/>
        <v>152.88479262672814</v>
      </c>
      <c r="O57" s="12">
        <f t="shared" si="83"/>
        <v>0</v>
      </c>
      <c r="P57" s="13">
        <f t="shared" si="84"/>
        <v>-7.1152073732718577</v>
      </c>
      <c r="Q57" s="351">
        <f t="shared" ref="Q57:Q63" si="87">N57/K57</f>
        <v>0.95552995391705087</v>
      </c>
      <c r="R57" s="442"/>
      <c r="S57" s="28">
        <v>0.13263888888888889</v>
      </c>
      <c r="T57" s="28">
        <v>0.28333333333333333</v>
      </c>
      <c r="U57" s="346">
        <f>(S57-T56)*24*60</f>
        <v>28</v>
      </c>
      <c r="V57" s="356">
        <f t="shared" si="85"/>
        <v>216.99999999999997</v>
      </c>
      <c r="W57" s="16"/>
      <c r="X57" s="16"/>
      <c r="Y57" s="443"/>
      <c r="Z57" s="443"/>
      <c r="AA57" s="12">
        <f t="shared" si="2"/>
        <v>-106.72811059907781</v>
      </c>
      <c r="AB57" s="351">
        <f t="shared" ref="AB57:AB63" si="88">M57/J57</f>
        <v>0.95552995391705087</v>
      </c>
      <c r="AC57" s="442"/>
    </row>
    <row r="58" spans="1:29" ht="15.75" customHeight="1">
      <c r="A58" s="439" t="s">
        <v>1992</v>
      </c>
      <c r="B58" s="357" t="s">
        <v>67</v>
      </c>
      <c r="C58" s="441" t="s">
        <v>70</v>
      </c>
      <c r="D58" s="441"/>
      <c r="E58" s="31">
        <v>24.25</v>
      </c>
      <c r="F58" s="357">
        <v>2482</v>
      </c>
      <c r="G58" s="346">
        <f t="shared" si="80"/>
        <v>60188.5</v>
      </c>
      <c r="H58" s="359" t="s">
        <v>103</v>
      </c>
      <c r="I58" s="355">
        <v>18</v>
      </c>
      <c r="J58" s="26">
        <v>2400</v>
      </c>
      <c r="K58" s="10">
        <f t="shared" si="81"/>
        <v>133.33333333333334</v>
      </c>
      <c r="L58" s="19">
        <v>18</v>
      </c>
      <c r="M58" s="11">
        <f t="shared" si="86"/>
        <v>2291.0769230769224</v>
      </c>
      <c r="N58" s="10">
        <f t="shared" si="82"/>
        <v>127.28205128205124</v>
      </c>
      <c r="O58" s="12">
        <f t="shared" si="83"/>
        <v>0</v>
      </c>
      <c r="P58" s="13">
        <f t="shared" si="84"/>
        <v>-6.0512820512821008</v>
      </c>
      <c r="Q58" s="351">
        <f t="shared" si="87"/>
        <v>0.9546153846153842</v>
      </c>
      <c r="R58" s="442"/>
      <c r="S58" s="28">
        <v>0.28819444444444442</v>
      </c>
      <c r="T58" s="28">
        <v>0.33333333333333331</v>
      </c>
      <c r="U58" s="346">
        <f t="shared" ref="U58:U62" si="89">(S58-T57)*24*60</f>
        <v>6.9999999999999751</v>
      </c>
      <c r="V58" s="356">
        <f t="shared" si="85"/>
        <v>65.000000000000014</v>
      </c>
      <c r="W58" s="16"/>
      <c r="X58" s="16"/>
      <c r="Y58" s="443"/>
      <c r="Z58" s="443"/>
      <c r="AA58" s="12">
        <f t="shared" si="2"/>
        <v>-108.92307692307759</v>
      </c>
      <c r="AB58" s="351">
        <f t="shared" si="88"/>
        <v>0.95461538461538431</v>
      </c>
      <c r="AC58" s="442"/>
    </row>
    <row r="59" spans="1:29" ht="15.75" customHeight="1">
      <c r="A59" s="439" t="s">
        <v>169</v>
      </c>
      <c r="B59" s="357" t="s">
        <v>67</v>
      </c>
      <c r="C59" s="441" t="s">
        <v>102</v>
      </c>
      <c r="D59" s="441"/>
      <c r="E59" s="31">
        <v>20.52</v>
      </c>
      <c r="F59" s="357">
        <v>3240</v>
      </c>
      <c r="G59" s="346">
        <f t="shared" si="80"/>
        <v>66484.800000000003</v>
      </c>
      <c r="H59" s="359" t="s">
        <v>103</v>
      </c>
      <c r="I59" s="355">
        <v>18</v>
      </c>
      <c r="J59" s="26">
        <v>2400</v>
      </c>
      <c r="K59" s="10">
        <f>J59/I59</f>
        <v>133.33333333333334</v>
      </c>
      <c r="L59" s="19">
        <v>18</v>
      </c>
      <c r="M59" s="11">
        <f t="shared" si="86"/>
        <v>2287.0588235294113</v>
      </c>
      <c r="N59" s="10">
        <f t="shared" si="82"/>
        <v>127.05882352941174</v>
      </c>
      <c r="O59" s="12">
        <f t="shared" si="83"/>
        <v>0</v>
      </c>
      <c r="P59" s="13">
        <f t="shared" si="84"/>
        <v>-6.2745098039216032</v>
      </c>
      <c r="Q59" s="351">
        <f t="shared" si="87"/>
        <v>0.95294117647058796</v>
      </c>
      <c r="R59" s="442"/>
      <c r="S59" s="28">
        <v>0.33749999999999997</v>
      </c>
      <c r="T59" s="28">
        <v>0.39652777777777776</v>
      </c>
      <c r="U59" s="346">
        <f t="shared" si="89"/>
        <v>5.9999999999999787</v>
      </c>
      <c r="V59" s="356">
        <f t="shared" si="85"/>
        <v>85.000000000000014</v>
      </c>
      <c r="W59" s="16"/>
      <c r="X59" s="16"/>
      <c r="Y59" s="443"/>
      <c r="Z59" s="443"/>
      <c r="AA59" s="12">
        <f t="shared" si="2"/>
        <v>-112.94117647058874</v>
      </c>
      <c r="AB59" s="351">
        <f t="shared" si="88"/>
        <v>0.95294117647058807</v>
      </c>
      <c r="AC59" s="442"/>
    </row>
    <row r="60" spans="1:29" ht="15.75" customHeight="1">
      <c r="A60" s="439" t="s">
        <v>169</v>
      </c>
      <c r="B60" s="357" t="s">
        <v>67</v>
      </c>
      <c r="C60" s="441" t="s">
        <v>1161</v>
      </c>
      <c r="D60" s="441"/>
      <c r="E60" s="31">
        <v>24.25</v>
      </c>
      <c r="F60" s="357">
        <v>3824</v>
      </c>
      <c r="G60" s="346">
        <f t="shared" si="80"/>
        <v>92732</v>
      </c>
      <c r="H60" s="359" t="s">
        <v>103</v>
      </c>
      <c r="I60" s="355">
        <v>17</v>
      </c>
      <c r="J60" s="26">
        <v>2400</v>
      </c>
      <c r="K60" s="10">
        <f t="shared" ref="K60:K63" si="90">J60/I60</f>
        <v>141.1764705882353</v>
      </c>
      <c r="L60" s="19">
        <v>17</v>
      </c>
      <c r="M60" s="11">
        <f t="shared" si="86"/>
        <v>2294.3999999999987</v>
      </c>
      <c r="N60" s="10">
        <f t="shared" si="82"/>
        <v>134.96470588235286</v>
      </c>
      <c r="O60" s="12">
        <f t="shared" si="83"/>
        <v>0</v>
      </c>
      <c r="P60" s="13">
        <f t="shared" si="84"/>
        <v>-6.2117647058824446</v>
      </c>
      <c r="Q60" s="351">
        <f t="shared" si="87"/>
        <v>0.95599999999999941</v>
      </c>
      <c r="R60" s="442"/>
      <c r="S60" s="28">
        <v>0.40069444444444441</v>
      </c>
      <c r="T60" s="28">
        <v>0.47013888888888888</v>
      </c>
      <c r="U60" s="346">
        <f t="shared" si="89"/>
        <v>5.9999999999999787</v>
      </c>
      <c r="V60" s="356">
        <f t="shared" si="85"/>
        <v>100.00000000000004</v>
      </c>
      <c r="W60" s="16"/>
      <c r="X60" s="16"/>
      <c r="Y60" s="443"/>
      <c r="Z60" s="443"/>
      <c r="AA60" s="12">
        <f t="shared" si="2"/>
        <v>-105.60000000000127</v>
      </c>
      <c r="AB60" s="351">
        <f t="shared" si="88"/>
        <v>0.95599999999999952</v>
      </c>
      <c r="AC60" s="442"/>
    </row>
    <row r="61" spans="1:29" ht="15.75" customHeight="1">
      <c r="A61" s="439" t="s">
        <v>169</v>
      </c>
      <c r="B61" s="357" t="s">
        <v>67</v>
      </c>
      <c r="C61" s="441" t="s">
        <v>71</v>
      </c>
      <c r="D61" s="441"/>
      <c r="E61" s="31">
        <v>22.35</v>
      </c>
      <c r="F61" s="357">
        <v>1447</v>
      </c>
      <c r="G61" s="346">
        <f t="shared" si="80"/>
        <v>32340.45</v>
      </c>
      <c r="H61" s="359" t="s">
        <v>103</v>
      </c>
      <c r="I61" s="355">
        <v>16</v>
      </c>
      <c r="J61" s="26">
        <v>2400</v>
      </c>
      <c r="K61" s="10">
        <f t="shared" si="90"/>
        <v>150</v>
      </c>
      <c r="L61" s="19">
        <v>16</v>
      </c>
      <c r="M61" s="11">
        <f t="shared" si="86"/>
        <v>2284.7368421052615</v>
      </c>
      <c r="N61" s="10">
        <f t="shared" si="82"/>
        <v>142.79605263157885</v>
      </c>
      <c r="O61" s="12">
        <f t="shared" si="83"/>
        <v>0</v>
      </c>
      <c r="P61" s="13">
        <f t="shared" si="84"/>
        <v>-7.2039473684211544</v>
      </c>
      <c r="Q61" s="351">
        <f t="shared" si="87"/>
        <v>0.95197368421052564</v>
      </c>
      <c r="R61" s="442"/>
      <c r="S61" s="28">
        <v>0.47430555555555554</v>
      </c>
      <c r="T61" s="28">
        <v>0.50069444444444444</v>
      </c>
      <c r="U61" s="346">
        <f t="shared" si="89"/>
        <v>5.9999999999999787</v>
      </c>
      <c r="V61" s="356">
        <f t="shared" si="85"/>
        <v>38.000000000000028</v>
      </c>
      <c r="W61" s="16"/>
      <c r="X61" s="16"/>
      <c r="Y61" s="443"/>
      <c r="Z61" s="443"/>
      <c r="AA61" s="12">
        <f t="shared" si="2"/>
        <v>-115.26315789473847</v>
      </c>
      <c r="AB61" s="351">
        <f t="shared" si="88"/>
        <v>0.95197368421052564</v>
      </c>
      <c r="AC61" s="442"/>
    </row>
    <row r="62" spans="1:29" ht="15.75" customHeight="1">
      <c r="A62" s="439" t="s">
        <v>169</v>
      </c>
      <c r="B62" s="357" t="s">
        <v>67</v>
      </c>
      <c r="C62" s="444" t="s">
        <v>74</v>
      </c>
      <c r="D62" s="445"/>
      <c r="E62" s="31">
        <v>24.45</v>
      </c>
      <c r="F62" s="357">
        <v>1716</v>
      </c>
      <c r="G62" s="346">
        <f t="shared" si="80"/>
        <v>41956.2</v>
      </c>
      <c r="H62" s="359" t="s">
        <v>103</v>
      </c>
      <c r="I62" s="355">
        <v>20</v>
      </c>
      <c r="J62" s="26">
        <v>2400</v>
      </c>
      <c r="K62" s="10">
        <f t="shared" si="90"/>
        <v>120</v>
      </c>
      <c r="L62" s="19">
        <v>20</v>
      </c>
      <c r="M62" s="11">
        <f t="shared" si="86"/>
        <v>2288</v>
      </c>
      <c r="N62" s="10">
        <f t="shared" si="82"/>
        <v>114.4</v>
      </c>
      <c r="O62" s="12">
        <f t="shared" si="83"/>
        <v>0</v>
      </c>
      <c r="P62" s="13">
        <f t="shared" si="84"/>
        <v>-5.5999999999999943</v>
      </c>
      <c r="Q62" s="351">
        <f t="shared" si="87"/>
        <v>0.95333333333333337</v>
      </c>
      <c r="R62" s="442"/>
      <c r="S62" s="28">
        <v>0.50555555555555554</v>
      </c>
      <c r="T62" s="28">
        <v>0.53680555555555554</v>
      </c>
      <c r="U62" s="346">
        <f t="shared" si="89"/>
        <v>6.9999999999999751</v>
      </c>
      <c r="V62" s="356">
        <f t="shared" si="85"/>
        <v>45</v>
      </c>
      <c r="W62" s="16"/>
      <c r="X62" s="16"/>
      <c r="Y62" s="447"/>
      <c r="Z62" s="448"/>
      <c r="AA62" s="12">
        <f t="shared" si="2"/>
        <v>-112</v>
      </c>
      <c r="AB62" s="351">
        <f t="shared" si="88"/>
        <v>0.95333333333333337</v>
      </c>
      <c r="AC62" s="442"/>
    </row>
    <row r="63" spans="1:29" ht="16.5" customHeight="1">
      <c r="A63" s="440" t="s">
        <v>169</v>
      </c>
      <c r="B63" s="31" t="s">
        <v>231</v>
      </c>
      <c r="C63" s="446"/>
      <c r="D63" s="446"/>
      <c r="E63" s="345"/>
      <c r="F63" s="33"/>
      <c r="G63" s="10"/>
      <c r="H63" s="357"/>
      <c r="I63" s="19">
        <v>17.571428571428573</v>
      </c>
      <c r="J63" s="26">
        <v>2400</v>
      </c>
      <c r="K63" s="10">
        <f t="shared" si="90"/>
        <v>136.58536585365852</v>
      </c>
      <c r="L63" s="19">
        <v>17.571428571428573</v>
      </c>
      <c r="M63" s="11">
        <f>AVERAGE(M56:M62)</f>
        <v>2295.5395766074357</v>
      </c>
      <c r="N63" s="10">
        <f>M63/L63</f>
        <v>130.64046370936626</v>
      </c>
      <c r="O63" s="12">
        <f>L63-I63</f>
        <v>0</v>
      </c>
      <c r="P63" s="13">
        <f>N63-K63</f>
        <v>-5.9449021442922572</v>
      </c>
      <c r="Q63" s="351">
        <f t="shared" si="87"/>
        <v>0.95647482358643166</v>
      </c>
      <c r="R63" s="442"/>
      <c r="S63" s="28"/>
      <c r="T63" s="28"/>
      <c r="U63" s="10"/>
      <c r="V63" s="356"/>
      <c r="W63" s="10"/>
      <c r="X63" s="10"/>
      <c r="Y63" s="443"/>
      <c r="Z63" s="443"/>
      <c r="AA63" s="12">
        <f t="shared" si="2"/>
        <v>-104.46042339256428</v>
      </c>
      <c r="AB63" s="351">
        <f t="shared" si="88"/>
        <v>0.95647482358643154</v>
      </c>
      <c r="AC63" s="442"/>
    </row>
    <row r="64" spans="1:29">
      <c r="D64" s="22"/>
      <c r="E64" s="22"/>
    </row>
  </sheetData>
  <mergeCells count="174">
    <mergeCell ref="Y62:Z62"/>
    <mergeCell ref="AC44:AC50"/>
    <mergeCell ref="C45:D45"/>
    <mergeCell ref="Y45:Z45"/>
    <mergeCell ref="C46:D46"/>
    <mergeCell ref="C49:D49"/>
    <mergeCell ref="Y49:Z49"/>
    <mergeCell ref="A56:A63"/>
    <mergeCell ref="C56:D56"/>
    <mergeCell ref="R56:R63"/>
    <mergeCell ref="Y56:Z56"/>
    <mergeCell ref="AC56:AC63"/>
    <mergeCell ref="C57:D57"/>
    <mergeCell ref="Y57:Z57"/>
    <mergeCell ref="C58:D58"/>
    <mergeCell ref="Y58:Z58"/>
    <mergeCell ref="C59:D59"/>
    <mergeCell ref="C63:D63"/>
    <mergeCell ref="Y63:Z63"/>
    <mergeCell ref="Y59:Z59"/>
    <mergeCell ref="C60:D60"/>
    <mergeCell ref="Y60:Z60"/>
    <mergeCell ref="C61:D61"/>
    <mergeCell ref="Y61:Z61"/>
    <mergeCell ref="C62:D62"/>
    <mergeCell ref="AC51:AC55"/>
    <mergeCell ref="C52:D52"/>
    <mergeCell ref="Y52:Z52"/>
    <mergeCell ref="C53:D53"/>
    <mergeCell ref="Y53:Z53"/>
    <mergeCell ref="C54:D54"/>
    <mergeCell ref="Y54:Z54"/>
    <mergeCell ref="C55:D55"/>
    <mergeCell ref="Y55:Z55"/>
    <mergeCell ref="C50:D50"/>
    <mergeCell ref="Y50:Z50"/>
    <mergeCell ref="A51:A55"/>
    <mergeCell ref="C51:D51"/>
    <mergeCell ref="R51:R55"/>
    <mergeCell ref="Y51:Z51"/>
    <mergeCell ref="A44:A50"/>
    <mergeCell ref="C44:D44"/>
    <mergeCell ref="R44:R50"/>
    <mergeCell ref="Y44:Z44"/>
    <mergeCell ref="A37:A43"/>
    <mergeCell ref="C37:D37"/>
    <mergeCell ref="R37:R43"/>
    <mergeCell ref="Y37:Z37"/>
    <mergeCell ref="AC37:AC43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Y43:Z43"/>
    <mergeCell ref="AC32:AC36"/>
    <mergeCell ref="C33:D33"/>
    <mergeCell ref="Y33:Z33"/>
    <mergeCell ref="C34:D34"/>
    <mergeCell ref="Y34:Z34"/>
    <mergeCell ref="C35:D35"/>
    <mergeCell ref="Y35:Z35"/>
    <mergeCell ref="C36:D36"/>
    <mergeCell ref="Y36:Z36"/>
    <mergeCell ref="A32:A36"/>
    <mergeCell ref="C32:D32"/>
    <mergeCell ref="R32:R36"/>
    <mergeCell ref="Y32:Z32"/>
    <mergeCell ref="Y26:Z26"/>
    <mergeCell ref="C27:D27"/>
    <mergeCell ref="Y27:Z27"/>
    <mergeCell ref="C28:D28"/>
    <mergeCell ref="Y28:Z28"/>
    <mergeCell ref="C29:D29"/>
    <mergeCell ref="Y29:Z29"/>
    <mergeCell ref="A23:A31"/>
    <mergeCell ref="C23:D23"/>
    <mergeCell ref="R23:R31"/>
    <mergeCell ref="Y23:Z23"/>
    <mergeCell ref="AC23:AC31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C30:D30"/>
    <mergeCell ref="Y30:Z30"/>
    <mergeCell ref="C31:D31"/>
    <mergeCell ref="Y31:Z31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4:O61 O63 O5:O12 O16:O42 O44:O51">
    <cfRule type="cellIs" dxfId="1621" priority="40" operator="greaterThan">
      <formula>0</formula>
    </cfRule>
  </conditionalFormatting>
  <conditionalFormatting sqref="P5:P7 P54 AA54 P56:P61 P23:P30 P51 P9:P12 P17:P21 P44:P49 P32:P42 AA5:AA51 AA56:AA63">
    <cfRule type="cellIs" dxfId="1620" priority="44" operator="lessThan">
      <formula>0</formula>
    </cfRule>
  </conditionalFormatting>
  <conditionalFormatting sqref="AB54 Q54:Q61 Q63 Q5:Q12 AB5:AB51 AB56:AB63 Q44:Q51 Q16:Q42">
    <cfRule type="cellIs" dxfId="1619" priority="41" operator="greaterThan">
      <formula>1</formula>
    </cfRule>
    <cfRule type="cellIs" dxfId="1618" priority="42" operator="lessThan">
      <formula>0.8</formula>
    </cfRule>
  </conditionalFormatting>
  <conditionalFormatting sqref="AC11:AC12 R11:R12 AC54 R54:R61 R63 AC5:AC9 R5:R9 AC16:AC51 R16:R51">
    <cfRule type="cellIs" dxfId="1617" priority="46" operator="lessThan">
      <formula>0.8</formula>
    </cfRule>
  </conditionalFormatting>
  <conditionalFormatting sqref="AC37">
    <cfRule type="cellIs" dxfId="1616" priority="48" operator="lessThan">
      <formula>0.8</formula>
    </cfRule>
  </conditionalFormatting>
  <conditionalFormatting sqref="AC17:AC21">
    <cfRule type="cellIs" dxfId="1615" priority="45" operator="lessThan">
      <formula>0.8</formula>
    </cfRule>
  </conditionalFormatting>
  <conditionalFormatting sqref="AC23">
    <cfRule type="cellIs" dxfId="1614" priority="47" operator="lessThan">
      <formula>0.8</formula>
    </cfRule>
  </conditionalFormatting>
  <conditionalFormatting sqref="AC32:AC35">
    <cfRule type="cellIs" dxfId="1613" priority="43" operator="lessThan">
      <formula>0.8</formula>
    </cfRule>
  </conditionalFormatting>
  <conditionalFormatting sqref="AA55">
    <cfRule type="cellIs" dxfId="1612" priority="39" operator="lessThan">
      <formula>0</formula>
    </cfRule>
  </conditionalFormatting>
  <conditionalFormatting sqref="AB55">
    <cfRule type="cellIs" dxfId="1611" priority="37" operator="greaterThan">
      <formula>1</formula>
    </cfRule>
    <cfRule type="cellIs" dxfId="1610" priority="38" operator="lessThan">
      <formula>0.8</formula>
    </cfRule>
  </conditionalFormatting>
  <conditionalFormatting sqref="O13:O14">
    <cfRule type="cellIs" dxfId="1609" priority="32" operator="greaterThan">
      <formula>0</formula>
    </cfRule>
  </conditionalFormatting>
  <conditionalFormatting sqref="P13:P14">
    <cfRule type="cellIs" dxfId="1608" priority="35" operator="lessThan">
      <formula>0</formula>
    </cfRule>
  </conditionalFormatting>
  <conditionalFormatting sqref="Q13:Q14">
    <cfRule type="cellIs" dxfId="1607" priority="33" operator="greaterThan">
      <formula>1</formula>
    </cfRule>
    <cfRule type="cellIs" dxfId="1606" priority="34" operator="lessThan">
      <formula>0.8</formula>
    </cfRule>
  </conditionalFormatting>
  <conditionalFormatting sqref="R13:R14 AC13:AC14">
    <cfRule type="cellIs" dxfId="1605" priority="36" operator="lessThan">
      <formula>0.8</formula>
    </cfRule>
  </conditionalFormatting>
  <conditionalFormatting sqref="O53">
    <cfRule type="cellIs" dxfId="1604" priority="27" operator="greaterThan">
      <formula>0</formula>
    </cfRule>
  </conditionalFormatting>
  <conditionalFormatting sqref="P53 AA53">
    <cfRule type="cellIs" dxfId="1603" priority="30" operator="lessThan">
      <formula>0</formula>
    </cfRule>
  </conditionalFormatting>
  <conditionalFormatting sqref="Q53 AB53">
    <cfRule type="cellIs" dxfId="1602" priority="28" operator="greaterThan">
      <formula>1</formula>
    </cfRule>
    <cfRule type="cellIs" dxfId="1601" priority="29" operator="lessThan">
      <formula>0.8</formula>
    </cfRule>
  </conditionalFormatting>
  <conditionalFormatting sqref="R53 AC53">
    <cfRule type="cellIs" dxfId="1600" priority="31" operator="lessThan">
      <formula>0.8</formula>
    </cfRule>
  </conditionalFormatting>
  <conditionalFormatting sqref="O62">
    <cfRule type="cellIs" dxfId="1599" priority="22" operator="greaterThan">
      <formula>0</formula>
    </cfRule>
  </conditionalFormatting>
  <conditionalFormatting sqref="P62">
    <cfRule type="cellIs" dxfId="1598" priority="25" operator="lessThan">
      <formula>0</formula>
    </cfRule>
  </conditionalFormatting>
  <conditionalFormatting sqref="Q62">
    <cfRule type="cellIs" dxfId="1597" priority="23" operator="greaterThan">
      <formula>1</formula>
    </cfRule>
    <cfRule type="cellIs" dxfId="1596" priority="24" operator="lessThan">
      <formula>0.8</formula>
    </cfRule>
  </conditionalFormatting>
  <conditionalFormatting sqref="R62">
    <cfRule type="cellIs" dxfId="1595" priority="26" operator="lessThan">
      <formula>0.8</formula>
    </cfRule>
  </conditionalFormatting>
  <conditionalFormatting sqref="O15">
    <cfRule type="cellIs" dxfId="1594" priority="17" operator="greaterThan">
      <formula>0</formula>
    </cfRule>
  </conditionalFormatting>
  <conditionalFormatting sqref="P15">
    <cfRule type="cellIs" dxfId="1593" priority="20" operator="lessThan">
      <formula>0</formula>
    </cfRule>
  </conditionalFormatting>
  <conditionalFormatting sqref="Q15">
    <cfRule type="cellIs" dxfId="1592" priority="18" operator="greaterThan">
      <formula>1</formula>
    </cfRule>
    <cfRule type="cellIs" dxfId="1591" priority="19" operator="lessThan">
      <formula>0.8</formula>
    </cfRule>
  </conditionalFormatting>
  <conditionalFormatting sqref="R15 AC15">
    <cfRule type="cellIs" dxfId="1590" priority="21" operator="lessThan">
      <formula>0.8</formula>
    </cfRule>
  </conditionalFormatting>
  <conditionalFormatting sqref="O52">
    <cfRule type="cellIs" dxfId="1589" priority="12" operator="greaterThan">
      <formula>0</formula>
    </cfRule>
  </conditionalFormatting>
  <conditionalFormatting sqref="P52 AA52">
    <cfRule type="cellIs" dxfId="1588" priority="15" operator="lessThan">
      <formula>0</formula>
    </cfRule>
  </conditionalFormatting>
  <conditionalFormatting sqref="Q52 AB52">
    <cfRule type="cellIs" dxfId="1587" priority="13" operator="greaterThan">
      <formula>1</formula>
    </cfRule>
    <cfRule type="cellIs" dxfId="1586" priority="14" operator="lessThan">
      <formula>0.8</formula>
    </cfRule>
  </conditionalFormatting>
  <conditionalFormatting sqref="R52 AC52">
    <cfRule type="cellIs" dxfId="1585" priority="16" operator="lessThan">
      <formula>0.8</formula>
    </cfRule>
  </conditionalFormatting>
  <conditionalFormatting sqref="P8">
    <cfRule type="cellIs" dxfId="1584" priority="11" operator="lessThan">
      <formula>0</formula>
    </cfRule>
  </conditionalFormatting>
  <conditionalFormatting sqref="P16">
    <cfRule type="cellIs" dxfId="1583" priority="10" operator="lessThan">
      <formula>0</formula>
    </cfRule>
  </conditionalFormatting>
  <conditionalFormatting sqref="P22">
    <cfRule type="cellIs" dxfId="1582" priority="9" operator="lessThan">
      <formula>0</formula>
    </cfRule>
  </conditionalFormatting>
  <conditionalFormatting sqref="P31">
    <cfRule type="cellIs" dxfId="1581" priority="8" operator="lessThan">
      <formula>0</formula>
    </cfRule>
  </conditionalFormatting>
  <conditionalFormatting sqref="P50">
    <cfRule type="cellIs" dxfId="1580" priority="7" operator="lessThan">
      <formula>0</formula>
    </cfRule>
  </conditionalFormatting>
  <conditionalFormatting sqref="P55">
    <cfRule type="cellIs" dxfId="1579" priority="6" operator="lessThan">
      <formula>0</formula>
    </cfRule>
  </conditionalFormatting>
  <conditionalFormatting sqref="P63">
    <cfRule type="cellIs" dxfId="1578" priority="5" operator="lessThan">
      <formula>0</formula>
    </cfRule>
  </conditionalFormatting>
  <conditionalFormatting sqref="O43">
    <cfRule type="cellIs" dxfId="1577" priority="2" operator="greaterThan">
      <formula>0</formula>
    </cfRule>
  </conditionalFormatting>
  <conditionalFormatting sqref="Q43">
    <cfRule type="cellIs" dxfId="1576" priority="3" operator="greaterThan">
      <formula>1</formula>
    </cfRule>
    <cfRule type="cellIs" dxfId="1575" priority="4" operator="lessThan">
      <formula>0.8</formula>
    </cfRule>
  </conditionalFormatting>
  <conditionalFormatting sqref="P43">
    <cfRule type="cellIs" dxfId="1574" priority="1" operator="lessThan">
      <formula>0</formula>
    </cfRule>
  </conditionalFormatting>
  <dataValidations count="1">
    <dataValidation type="list" allowBlank="1" showInputMessage="1" showErrorMessage="1" sqref="Z8 Y5:Z7 Y8:Y54 Z10:Z51 Y55:Z6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4" zoomScale="85" zoomScaleNormal="85" workbookViewId="0">
      <selection activeCell="D23" sqref="D2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1867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61" t="s">
        <v>1868</v>
      </c>
      <c r="C3" s="420" t="str">
        <f>TEXT('0927 4度C'!A2,"yyyy.mm.ddaaaa")</f>
        <v>2025.09.27星期六</v>
      </c>
      <c r="D3" s="421"/>
      <c r="E3" s="361" t="s">
        <v>1869</v>
      </c>
      <c r="F3" s="422">
        <f>'0927 4度C'!D1</f>
        <v>133344</v>
      </c>
      <c r="G3" s="423"/>
      <c r="H3" s="361" t="s">
        <v>413</v>
      </c>
      <c r="I3" s="424">
        <f>'0927 4度C'!F1</f>
        <v>4423149.7600000007</v>
      </c>
      <c r="J3" s="425"/>
      <c r="K3" s="45"/>
      <c r="L3" s="46"/>
      <c r="M3" s="47"/>
      <c r="N3" s="47"/>
    </row>
    <row r="4" spans="2:17" ht="28.5" customHeight="1">
      <c r="B4" s="426" t="s">
        <v>1870</v>
      </c>
      <c r="C4" s="429" t="s">
        <v>1871</v>
      </c>
      <c r="D4" s="430"/>
      <c r="E4" s="431" t="s">
        <v>1872</v>
      </c>
      <c r="F4" s="432"/>
      <c r="G4" s="431" t="s">
        <v>1873</v>
      </c>
      <c r="H4" s="432"/>
      <c r="I4" s="431" t="s">
        <v>1874</v>
      </c>
      <c r="J4" s="432"/>
      <c r="L4" s="47"/>
      <c r="M4" s="47"/>
      <c r="N4" s="47"/>
    </row>
    <row r="5" spans="2:17" ht="28.5" customHeight="1">
      <c r="B5" s="427"/>
      <c r="C5" s="429" t="s">
        <v>1875</v>
      </c>
      <c r="D5" s="430"/>
      <c r="E5" s="429" t="s">
        <v>1876</v>
      </c>
      <c r="F5" s="430"/>
      <c r="G5" s="433" t="s">
        <v>1877</v>
      </c>
      <c r="H5" s="434"/>
      <c r="I5" s="435" t="s">
        <v>1878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149.55969079083579</v>
      </c>
      <c r="F6" s="438">
        <f>AVERAGE(D27:O27,D13:J13)</f>
        <v>154.31766618097438</v>
      </c>
      <c r="G6" s="399">
        <f>AVERAGE(D13:J13)</f>
        <v>154.31766618097438</v>
      </c>
      <c r="H6" s="400"/>
      <c r="I6" s="399">
        <f>AVERAGE(K13:M13)</f>
        <v>138.45774821384578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143.49690727782712</v>
      </c>
      <c r="F7" s="406">
        <f>AVERAGE(D28:O28,D14:J14)</f>
        <v>148.15466565669684</v>
      </c>
      <c r="G7" s="407">
        <f>AVERAGE(D14:J14)</f>
        <v>148.15466565669684</v>
      </c>
      <c r="H7" s="408"/>
      <c r="I7" s="407">
        <f>AVERAGE(K14:M14)</f>
        <v>132.62880439379782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0.95893885285197134</v>
      </c>
      <c r="F8" s="410">
        <f>AVERAGE(D15:J15,D29:O29)</f>
        <v>0.95934733082458357</v>
      </c>
      <c r="G8" s="411">
        <f>AVERAGE(D15:J15)</f>
        <v>0.95934733082458357</v>
      </c>
      <c r="H8" s="412"/>
      <c r="I8" s="411">
        <f>AVERAGE(K15:M15)</f>
        <v>0.95798573758254302</v>
      </c>
      <c r="J8" s="412"/>
      <c r="K8" s="48" t="s">
        <v>1879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1880</v>
      </c>
      <c r="C10" s="414"/>
      <c r="D10" s="415" t="s">
        <v>1881</v>
      </c>
      <c r="E10" s="416"/>
      <c r="F10" s="416"/>
      <c r="G10" s="416"/>
      <c r="H10" s="416"/>
      <c r="I10" s="416"/>
      <c r="J10" s="417"/>
      <c r="K10" s="389" t="s">
        <v>1882</v>
      </c>
      <c r="L10" s="390"/>
      <c r="M10" s="391"/>
      <c r="P10" s="51"/>
      <c r="Q10" s="51"/>
    </row>
    <row r="11" spans="2:17" ht="17.25" customHeight="1">
      <c r="B11" s="392" t="s">
        <v>1883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1884</v>
      </c>
      <c r="C13" s="58" t="s">
        <v>1885</v>
      </c>
      <c r="D13" s="59">
        <f>SUMIFS('0927 4度C'!$K:$K,'0927 4度C'!$A:$A,"新豐6線",'0927 4度C'!$B:$B,"平均")</f>
        <v>125</v>
      </c>
      <c r="E13" s="60">
        <f>SUMIFS('0927 4度C'!$K:$K,'0927 4度C'!$A:$A,"新豐2線",'0927 4度C'!$B:$B,"平均")</f>
        <v>88.235294117647058</v>
      </c>
      <c r="F13" s="61">
        <f>SUMIFS('0927 4度C'!$K:$K,'0927 4度C'!$A:$A,"新豐5線",'0927 4度C'!$B:$B,"平均")</f>
        <v>88.541666666666671</v>
      </c>
      <c r="G13" s="61">
        <f>SUMIFS('0927 4度C'!$K:$K,'0927 4度C'!$A:$A,"新豐7線",'0927 4度C'!$B:$B,"平均")</f>
        <v>119.04761904761904</v>
      </c>
      <c r="H13" s="61">
        <f>SUMIFS('0927 4度C'!$K:$K,'0927 4度C'!$A:$A,"新豐3線",'0927 4度C'!$B:$B,"平均")</f>
        <v>310.34482758620692</v>
      </c>
      <c r="I13" s="61">
        <f>SUMIFS('0927 4度C'!$K:$K,'0927 4度C'!$A:$A,"新豐1線",'0927 4度C'!$B:$B,"平均")</f>
        <v>117.34693877551021</v>
      </c>
      <c r="J13" s="62">
        <f>SUMIFS('0927 4度C'!$K:$K,'0927 4度C'!$A:$A,"新豐10線",'0927 4度C'!$B:$B,"平均")</f>
        <v>231.70731707317074</v>
      </c>
      <c r="K13" s="63">
        <f>SUMIFS('0927 4度C'!$K:$K,'0927 4度C'!$A:$A,"新豐8線",'0927 4度C'!$B:$B,"平均")</f>
        <v>133.33333333333334</v>
      </c>
      <c r="L13" s="64">
        <f>SUMIFS('0927 4度C'!$K:$K,'0927 4度C'!$A:$A,"新豐9線",'0927 4度C'!$B:$B,"平均")</f>
        <v>145.45454545454547</v>
      </c>
      <c r="M13" s="62">
        <f>SUMIFS('0927 4度C'!$K:$K,'0927 4度C'!$A:$A,"新豐4線",'0927 4度C'!$B:$B,"平均")</f>
        <v>136.58536585365852</v>
      </c>
    </row>
    <row r="14" spans="2:17" ht="39.6" customHeight="1">
      <c r="B14" s="397"/>
      <c r="C14" s="65" t="s">
        <v>1886</v>
      </c>
      <c r="D14" s="66">
        <f>SUMIFS('0927 4度C'!$N:$N,'0927 4度C'!$A:$A,"新豐6線",'0927 4度C'!$B:$B,"平均")</f>
        <v>120.12192982456135</v>
      </c>
      <c r="E14" s="67">
        <f>SUMIFS('0927 4度C'!$N:$N,'0927 4度C'!$A:$A,"新豐2線",'0927 4度C'!$B:$B,"平均")</f>
        <v>84.321490972626691</v>
      </c>
      <c r="F14" s="67">
        <f>SUMIFS('0927 4度C'!$N:$N,'0927 4度C'!$A:$A,"新豐5線",'0927 4度C'!$B:$B,"平均")</f>
        <v>84.803477745125249</v>
      </c>
      <c r="G14" s="67">
        <f>SUMIFS('0927 4度C'!$N:$N,'0927 4度C'!$A:$A,"新豐7線",'0927 4度C'!$B:$B,"平均")</f>
        <v>114.05419887600519</v>
      </c>
      <c r="H14" s="67">
        <f>SUMIFS('0927 4度C'!$N:$N,'0927 4度C'!$A:$A,"新豐3線",'0927 4度C'!$B:$B,"平均")</f>
        <v>298.88015732804058</v>
      </c>
      <c r="I14" s="67">
        <f>SUMIFS('0927 4度C'!$N:$N,'0927 4度C'!$A:$A,"新豐1線",'0927 4度C'!$B:$B,"平均")</f>
        <v>112.82929753242836</v>
      </c>
      <c r="J14" s="68">
        <f>SUMIFS('0927 4度C'!$N:$N,'0927 4度C'!$A:$A,"新豐10線",'0927 4度C'!$B:$B,"平均")</f>
        <v>222.0721073180905</v>
      </c>
      <c r="K14" s="69">
        <f>SUMIFS('0927 4度C'!$N:$N,'0927 4度C'!$A:$A,"新豐8線",'0927 4度C'!$B:$B,"平均")</f>
        <v>127.76571840524061</v>
      </c>
      <c r="L14" s="70">
        <f>SUMIFS('0927 4度C'!$N:$N,'0927 4度C'!$A:$A,"新豐9線",'0927 4度C'!$B:$B,"平均")</f>
        <v>138.77930698225998</v>
      </c>
      <c r="M14" s="68">
        <f>SUMIFS('0927 4度C'!$N:$N,'0927 4度C'!$A:$A,"新豐4線",'0927 4度C'!$B:$B,"平均")</f>
        <v>131.34138779389292</v>
      </c>
    </row>
    <row r="15" spans="2:17" ht="40.15" customHeight="1">
      <c r="B15" s="398"/>
      <c r="C15" s="71" t="s">
        <v>142</v>
      </c>
      <c r="D15" s="72">
        <f t="shared" ref="D15:M15" si="0">D14/D13</f>
        <v>0.96097543859649082</v>
      </c>
      <c r="E15" s="73">
        <f t="shared" si="0"/>
        <v>0.95564356435643583</v>
      </c>
      <c r="F15" s="73">
        <f t="shared" si="0"/>
        <v>0.95778045453317928</v>
      </c>
      <c r="G15" s="73">
        <f t="shared" si="0"/>
        <v>0.95805527055844364</v>
      </c>
      <c r="H15" s="73">
        <f t="shared" si="0"/>
        <v>0.96305828472368626</v>
      </c>
      <c r="I15" s="73">
        <f t="shared" si="0"/>
        <v>0.96150183984156334</v>
      </c>
      <c r="J15" s="74">
        <f t="shared" si="0"/>
        <v>0.95841646316228524</v>
      </c>
      <c r="K15" s="72">
        <f t="shared" si="0"/>
        <v>0.95824288803930446</v>
      </c>
      <c r="L15" s="73">
        <f t="shared" si="0"/>
        <v>0.95410773550303729</v>
      </c>
      <c r="M15" s="74">
        <f t="shared" si="0"/>
        <v>0.96160658920528763</v>
      </c>
    </row>
    <row r="16" spans="2:17" ht="17.25" customHeight="1">
      <c r="B16" s="401" t="s">
        <v>1887</v>
      </c>
      <c r="C16" s="360" t="s">
        <v>1888</v>
      </c>
      <c r="D16" s="76">
        <f>VLOOKUP("新豐6線",'0927 4度C'!$A:$T,19,0)</f>
        <v>0.70833333333333337</v>
      </c>
      <c r="E16" s="28">
        <f>VLOOKUP("新豐2線",'0927 4度C'!$A:$T,19,0)</f>
        <v>0.20833333333333334</v>
      </c>
      <c r="F16" s="28">
        <f>VLOOKUP("新豐5線",'0927 4度C'!$A:$T,19,0)</f>
        <v>0.20833333333333334</v>
      </c>
      <c r="G16" s="28">
        <f>VLOOKUP("新豐7線",'0927 4度C'!$A:$T,19,0)</f>
        <v>0.20833333333333334</v>
      </c>
      <c r="H16" s="28">
        <f>VLOOKUP("新豐3線",'0927 4度C'!$A:$T,19,0)</f>
        <v>8.3333333333333329E-2</v>
      </c>
      <c r="I16" s="28">
        <f>VLOOKUP("新豐1線",'0927 4度C'!$A:$T,19,0)</f>
        <v>0.29166666666666669</v>
      </c>
      <c r="J16" s="77">
        <f>VLOOKUP("新豐10線",'0927 4度C'!$A:$T,19,0)</f>
        <v>0.20833333333333334</v>
      </c>
      <c r="K16" s="78">
        <f>VLOOKUP("新豐8線",'0927 4度C'!$A:$T,19,0)</f>
        <v>8.3333333333333329E-2</v>
      </c>
      <c r="L16" s="79">
        <f>VLOOKUP("新豐9線",'0927 4度C'!$A:$T,19,0)</f>
        <v>8.3333333333333329E-2</v>
      </c>
      <c r="M16" s="80">
        <f>VLOOKUP("新豐4線",'0927 4度C'!$A:$T,19,0)</f>
        <v>8.3333333333333329E-2</v>
      </c>
    </row>
    <row r="17" spans="2:13" ht="17.25" customHeight="1">
      <c r="B17" s="402"/>
      <c r="C17" s="360" t="s">
        <v>1889</v>
      </c>
      <c r="D17" s="78">
        <f>LOOKUP(2,1/(('0927 4度C'!$A:$A="新豐6線")*('0927 4度C'!$T:$T&lt;&gt;"")),'0927 4度C'!$T:$T)</f>
        <v>0.81319444444444444</v>
      </c>
      <c r="E17" s="28">
        <f>LOOKUP(2,1/(('0927 4度C'!$A:$A="新豐2線")*('0927 4度C'!$T:$T&lt;&gt;"")),'0927 4度C'!$T:$T)</f>
        <v>0.34861111111111109</v>
      </c>
      <c r="F17" s="28">
        <f>LOOKUP(2,1/(('0927 4度C'!$A:$A="新豐5線")*('0927 4度C'!$T:$T&lt;&gt;"")),'0927 4度C'!$T:$T)</f>
        <v>0.82708333333333339</v>
      </c>
      <c r="G17" s="28">
        <f>LOOKUP(2,1/(('0927 4度C'!$A:$A="新豐7線")*('0927 4度C'!$T:$T&lt;&gt;"")),'0927 4度C'!$T:$T)</f>
        <v>0.76527777777777783</v>
      </c>
      <c r="H17" s="28">
        <f>LOOKUP(2,1/(('0927 4度C'!$A:$A="新豐3線")*('0927 4度C'!$T:$T&lt;&gt;"")),'0927 4度C'!$T:$T)</f>
        <v>0.39791666666666664</v>
      </c>
      <c r="I17" s="28">
        <f>LOOKUP(2,1/(('0927 4度C'!$A:$A="新豐1線")*('0927 4度C'!$T:$T&lt;&gt;"")),'0927 4度C'!$T:$T)</f>
        <v>0.82777777777777772</v>
      </c>
      <c r="J17" s="77">
        <f>LOOKUP(2,1/(('0927 4度C'!$A:$A="新豐10線")*('0927 4度C'!$T:$T&lt;&gt;"")),'0927 4度C'!$T:$T)</f>
        <v>0.3923611111111111</v>
      </c>
      <c r="K17" s="76">
        <f>LOOKUP(2,1/(('0927 4度C'!$A:$A="新豐8線")*('0927 4度C'!$T:$T&lt;&gt;"")),'0927 4度C'!$T:$T)</f>
        <v>0.50138888888888877</v>
      </c>
      <c r="L17" s="28">
        <f>LOOKUP(2,1/(('0927 4度C'!$A:$A="新豐9線")*('0927 4度C'!$T:$T&lt;&gt;"")),'0927 4度C'!$T:$T)</f>
        <v>0.53125</v>
      </c>
      <c r="M17" s="77">
        <f>LOOKUP(2,1/(('0927 4度C'!$A:$A="新豐4線")*('0927 4度C'!$T:$T&lt;&gt;"")),'0927 4度C'!$T:$T)</f>
        <v>0.48402777777777772</v>
      </c>
    </row>
    <row r="18" spans="2:13" ht="17.25" customHeight="1">
      <c r="B18" s="383" t="s">
        <v>1890</v>
      </c>
      <c r="C18" s="384"/>
      <c r="D18" s="81">
        <f>SUMIFS('0927 4度C'!$I:$I,'0927 4度C'!$A:$A,"新豐6線",'0927 4度C'!$B:$B,"平均")</f>
        <v>16</v>
      </c>
      <c r="E18" s="82">
        <f>SUMIFS('0927 4度C'!$I:$I,'0927 4度C'!$A:$A,"新豐2線",'0927 4度C'!$B:$B,"平均")</f>
        <v>17</v>
      </c>
      <c r="F18" s="82">
        <f>SUMIFS('0927 4度C'!$I:$I,'0927 4度C'!$A:$A,"新豐5線",'0927 4度C'!$B:$B,"平均")</f>
        <v>19.2</v>
      </c>
      <c r="G18" s="82">
        <f>SUMIFS('0927 4度C'!$I:$I,'0927 4度C'!$A:$A,"新豐7線",'0927 4度C'!$B:$B,"平均")</f>
        <v>16.8</v>
      </c>
      <c r="H18" s="82">
        <f>SUMIFS('0927 4度C'!$I:$I,'0927 4度C'!$A:$A,"新豐3線",'0927 4度C'!$B:$B,"平均")</f>
        <v>9.6666666666666661</v>
      </c>
      <c r="I18" s="82">
        <f>SUMIFS('0927 4度C'!$I:$I,'0927 4度C'!$A:$A,"新豐1線",'0927 4度C'!$B:$B,"平均")</f>
        <v>16.333333333333332</v>
      </c>
      <c r="J18" s="83">
        <f>SUMIFS('0927 4度C'!$I:$I,'0927 4度C'!$A:$A,"新豐10線",'0927 4度C'!$B:$B,"平均")</f>
        <v>10.25</v>
      </c>
      <c r="K18" s="81">
        <f>SUMIFS('0927 4度C'!$I:$I,'0927 4度C'!$A:$A,"新豐8線",'0927 4度C'!$B:$B,"平均")</f>
        <v>18</v>
      </c>
      <c r="L18" s="82">
        <f>SUMIFS('0927 4度C'!$I:$I,'0927 4度C'!$A:$A,"新豐9線",'0927 4度C'!$B:$B,"平均")</f>
        <v>16.5</v>
      </c>
      <c r="M18" s="83">
        <f>SUMIFS('0927 4度C'!$I:$I,'0927 4度C'!$A:$A,"新豐4線",'0927 4度C'!$B:$B,"平均")</f>
        <v>17.571428571428573</v>
      </c>
    </row>
    <row r="19" spans="2:13" ht="17.25" customHeight="1">
      <c r="B19" s="383" t="s">
        <v>1891</v>
      </c>
      <c r="C19" s="384"/>
      <c r="D19" s="84" t="s">
        <v>148</v>
      </c>
      <c r="E19" s="85" t="s">
        <v>149</v>
      </c>
      <c r="F19" s="85" t="s">
        <v>1892</v>
      </c>
      <c r="G19" s="85" t="s">
        <v>1892</v>
      </c>
      <c r="H19" s="85" t="s">
        <v>151</v>
      </c>
      <c r="I19" s="85" t="s">
        <v>148</v>
      </c>
      <c r="J19" s="86" t="s">
        <v>151</v>
      </c>
      <c r="K19" s="84" t="s">
        <v>1893</v>
      </c>
      <c r="L19" s="85" t="s">
        <v>1893</v>
      </c>
      <c r="M19" s="86" t="s">
        <v>1893</v>
      </c>
    </row>
    <row r="20" spans="2:13" ht="17.25" customHeight="1">
      <c r="B20" s="383" t="s">
        <v>1894</v>
      </c>
      <c r="C20" s="384"/>
      <c r="D20" s="84"/>
      <c r="E20" s="85"/>
      <c r="F20" s="85" t="s">
        <v>1895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1896</v>
      </c>
      <c r="C21" s="386"/>
      <c r="D21" s="87"/>
      <c r="E21" s="88" t="s">
        <v>1897</v>
      </c>
      <c r="F21" s="387" t="s">
        <v>1898</v>
      </c>
      <c r="G21" s="388"/>
      <c r="H21" s="88" t="s">
        <v>1899</v>
      </c>
      <c r="I21" s="88" t="s">
        <v>1900</v>
      </c>
      <c r="J21" s="89" t="s">
        <v>1899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57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3"/>
  <sheetViews>
    <sheetView zoomScale="80" zoomScaleNormal="80" workbookViewId="0">
      <pane ySplit="4" topLeftCell="A29" activePane="bottomLeft" state="frozen"/>
      <selection activeCell="D23" sqref="D23"/>
      <selection pane="bottomLeft" sqref="A1:N104857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1901</v>
      </c>
      <c r="B1" s="1"/>
      <c r="C1" s="2" t="s">
        <v>1902</v>
      </c>
      <c r="D1" s="3">
        <f>SUM(F5:F62)</f>
        <v>133344</v>
      </c>
      <c r="E1" s="346" t="s">
        <v>1903</v>
      </c>
      <c r="F1" s="1">
        <f>SUM(G5:G62)</f>
        <v>4423149.7600000007</v>
      </c>
      <c r="G1" s="1" t="s">
        <v>1904</v>
      </c>
      <c r="H1" s="106">
        <f>L8+L10+L42+L49+L16+L54+L30+L35+L22+L62</f>
        <v>157.32142857142858</v>
      </c>
      <c r="I1" s="482" t="s">
        <v>1905</v>
      </c>
      <c r="J1" s="482"/>
      <c r="K1" s="482"/>
      <c r="L1" s="482" t="s">
        <v>1906</v>
      </c>
      <c r="M1" s="482"/>
      <c r="N1" s="482"/>
      <c r="O1" s="482" t="s">
        <v>1907</v>
      </c>
      <c r="P1" s="482"/>
      <c r="Q1" s="482"/>
      <c r="R1" s="482"/>
      <c r="S1" s="482" t="s">
        <v>1908</v>
      </c>
      <c r="T1" s="482"/>
      <c r="U1" s="482"/>
      <c r="V1" s="482"/>
      <c r="W1" s="482"/>
      <c r="X1" s="482"/>
      <c r="Y1" s="482" t="s">
        <v>1909</v>
      </c>
      <c r="Z1" s="482"/>
      <c r="AA1" s="482" t="s">
        <v>1910</v>
      </c>
      <c r="AB1" s="483"/>
      <c r="AC1" s="483"/>
    </row>
    <row r="2" spans="1:29" ht="26.25" customHeight="1">
      <c r="A2" s="24">
        <v>45927</v>
      </c>
      <c r="B2" s="25" t="s">
        <v>457</v>
      </c>
      <c r="C2" s="2" t="s">
        <v>1884</v>
      </c>
      <c r="D2" s="6">
        <f>AVERAGE(N8,N10,N42,N49,N16,N54,N22,N30,N35,N62)</f>
        <v>143.49690727782712</v>
      </c>
      <c r="E2" s="7" t="s">
        <v>11</v>
      </c>
      <c r="F2" s="8">
        <f>F1/D1</f>
        <v>33.170969522438213</v>
      </c>
      <c r="G2" s="1" t="s">
        <v>1911</v>
      </c>
      <c r="H2" s="358">
        <f>COUNT(H5:H62)</f>
        <v>0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1912</v>
      </c>
      <c r="B3" s="443" t="s">
        <v>1913</v>
      </c>
      <c r="C3" s="443" t="s">
        <v>1914</v>
      </c>
      <c r="D3" s="443"/>
      <c r="E3" s="484" t="s">
        <v>1915</v>
      </c>
      <c r="F3" s="443" t="s">
        <v>1916</v>
      </c>
      <c r="G3" s="484" t="s">
        <v>1917</v>
      </c>
      <c r="H3" s="476" t="s">
        <v>1918</v>
      </c>
      <c r="I3" s="474" t="s">
        <v>1919</v>
      </c>
      <c r="J3" s="479" t="s">
        <v>1920</v>
      </c>
      <c r="K3" s="481" t="s">
        <v>1884</v>
      </c>
      <c r="L3" s="474" t="s">
        <v>1919</v>
      </c>
      <c r="M3" s="479" t="s">
        <v>1920</v>
      </c>
      <c r="N3" s="481" t="s">
        <v>1884</v>
      </c>
      <c r="O3" s="474" t="s">
        <v>1919</v>
      </c>
      <c r="P3" s="481" t="s">
        <v>1884</v>
      </c>
      <c r="Q3" s="480" t="s">
        <v>1921</v>
      </c>
      <c r="R3" s="451" t="s">
        <v>1922</v>
      </c>
      <c r="S3" s="443" t="s">
        <v>25</v>
      </c>
      <c r="T3" s="443"/>
      <c r="U3" s="476" t="s">
        <v>26</v>
      </c>
      <c r="V3" s="476" t="s">
        <v>1660</v>
      </c>
      <c r="W3" s="443" t="s">
        <v>1923</v>
      </c>
      <c r="X3" s="443"/>
      <c r="Y3" s="477" t="s">
        <v>1662</v>
      </c>
      <c r="Z3" s="478"/>
      <c r="AA3" s="479" t="s">
        <v>1920</v>
      </c>
      <c r="AB3" s="480" t="s">
        <v>1664</v>
      </c>
      <c r="AC3" s="451" t="s">
        <v>1922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46" t="s">
        <v>31</v>
      </c>
      <c r="T4" s="346" t="s">
        <v>32</v>
      </c>
      <c r="U4" s="476"/>
      <c r="V4" s="476"/>
      <c r="W4" s="346" t="s">
        <v>1924</v>
      </c>
      <c r="X4" s="346" t="s">
        <v>1745</v>
      </c>
      <c r="Y4" s="478"/>
      <c r="Z4" s="478"/>
      <c r="AA4" s="479"/>
      <c r="AB4" s="480"/>
      <c r="AC4" s="451"/>
    </row>
    <row r="5" spans="1:29">
      <c r="A5" s="473" t="s">
        <v>1668</v>
      </c>
      <c r="B5" s="31" t="s">
        <v>58</v>
      </c>
      <c r="C5" s="475" t="s">
        <v>104</v>
      </c>
      <c r="D5" s="475"/>
      <c r="E5" s="31">
        <v>46.93</v>
      </c>
      <c r="F5" s="357">
        <v>802</v>
      </c>
      <c r="G5" s="346">
        <f>E5*F5</f>
        <v>37637.86</v>
      </c>
      <c r="H5" s="359" t="s">
        <v>103</v>
      </c>
      <c r="I5" s="355">
        <v>16</v>
      </c>
      <c r="J5" s="26">
        <v>2000</v>
      </c>
      <c r="K5" s="10">
        <f>J5/I5</f>
        <v>125</v>
      </c>
      <c r="L5" s="355">
        <v>16</v>
      </c>
      <c r="M5" s="11">
        <f>F5/V5*60</f>
        <v>1924.7999999999943</v>
      </c>
      <c r="N5" s="10">
        <f>M5/L5</f>
        <v>120.29999999999964</v>
      </c>
      <c r="O5" s="12">
        <f t="shared" ref="O5:O7" si="0">L5-I5</f>
        <v>0</v>
      </c>
      <c r="P5" s="13">
        <f t="shared" ref="P5:P7" si="1">N5-K5</f>
        <v>-4.7000000000003581</v>
      </c>
      <c r="Q5" s="351">
        <f>N5/K5</f>
        <v>0.96239999999999715</v>
      </c>
      <c r="R5" s="442">
        <f>Q8</f>
        <v>0.96097543859649082</v>
      </c>
      <c r="S5" s="28">
        <v>0.70833333333333337</v>
      </c>
      <c r="T5" s="28">
        <v>0.72569444444444453</v>
      </c>
      <c r="U5" s="346"/>
      <c r="V5" s="356">
        <f>(T5-S5)*24*60</f>
        <v>25.000000000000071</v>
      </c>
      <c r="W5" s="16"/>
      <c r="X5" s="17"/>
      <c r="Y5" s="443"/>
      <c r="Z5" s="443"/>
      <c r="AA5" s="12">
        <f t="shared" ref="AA5:AA62" si="2">M5-J5</f>
        <v>-75.20000000000573</v>
      </c>
      <c r="AB5" s="351">
        <f t="shared" ref="AB5:AB7" si="3">M5/J5</f>
        <v>0.96239999999999715</v>
      </c>
      <c r="AC5" s="442">
        <f>AB8</f>
        <v>0.96097543859649082</v>
      </c>
    </row>
    <row r="6" spans="1:29">
      <c r="A6" s="474" t="s">
        <v>1747</v>
      </c>
      <c r="B6" s="31" t="s">
        <v>58</v>
      </c>
      <c r="C6" s="475" t="s">
        <v>105</v>
      </c>
      <c r="D6" s="475"/>
      <c r="E6" s="31">
        <v>50.49</v>
      </c>
      <c r="F6" s="357">
        <v>1815</v>
      </c>
      <c r="G6" s="346">
        <f t="shared" ref="G6:G7" si="4">E6*F6</f>
        <v>91639.35</v>
      </c>
      <c r="H6" s="359" t="s">
        <v>103</v>
      </c>
      <c r="I6" s="355">
        <v>15</v>
      </c>
      <c r="J6" s="26">
        <v>2000</v>
      </c>
      <c r="K6" s="10">
        <f t="shared" ref="K6:K7" si="5">J6/I6</f>
        <v>133.33333333333334</v>
      </c>
      <c r="L6" s="355">
        <v>15</v>
      </c>
      <c r="M6" s="11">
        <f>F6/V6*60</f>
        <v>1910.5263157894751</v>
      </c>
      <c r="N6" s="10">
        <f t="shared" ref="N6:N7" si="6">M6/L6</f>
        <v>127.36842105263167</v>
      </c>
      <c r="O6" s="12">
        <f t="shared" si="0"/>
        <v>0</v>
      </c>
      <c r="P6" s="13">
        <f t="shared" si="1"/>
        <v>-5.9649122807016681</v>
      </c>
      <c r="Q6" s="351">
        <f t="shared" ref="Q6:Q7" si="7">N6/K6</f>
        <v>0.95526315789473748</v>
      </c>
      <c r="R6" s="442"/>
      <c r="S6" s="28">
        <v>0.73055555555555562</v>
      </c>
      <c r="T6" s="28">
        <v>0.77013888888888893</v>
      </c>
      <c r="U6" s="346">
        <f>(S6-T5)*24*60</f>
        <v>6.9999999999999751</v>
      </c>
      <c r="V6" s="356">
        <f>(T6-S6)*24*60</f>
        <v>56.999999999999957</v>
      </c>
      <c r="W6" s="16"/>
      <c r="X6" s="16"/>
      <c r="Y6" s="443"/>
      <c r="Z6" s="443"/>
      <c r="AA6" s="12">
        <f t="shared" si="2"/>
        <v>-89.47368421052488</v>
      </c>
      <c r="AB6" s="351">
        <f t="shared" si="3"/>
        <v>0.95526315789473759</v>
      </c>
      <c r="AC6" s="442"/>
    </row>
    <row r="7" spans="1:29">
      <c r="A7" s="474" t="s">
        <v>1747</v>
      </c>
      <c r="B7" s="31" t="s">
        <v>58</v>
      </c>
      <c r="C7" s="471" t="s">
        <v>106</v>
      </c>
      <c r="D7" s="472"/>
      <c r="E7" s="31">
        <v>50.67</v>
      </c>
      <c r="F7" s="357">
        <v>1834</v>
      </c>
      <c r="G7" s="346">
        <f t="shared" si="4"/>
        <v>92928.78</v>
      </c>
      <c r="H7" s="359" t="s">
        <v>103</v>
      </c>
      <c r="I7" s="355">
        <v>17</v>
      </c>
      <c r="J7" s="26">
        <v>2000</v>
      </c>
      <c r="K7" s="10">
        <f t="shared" si="5"/>
        <v>117.64705882352941</v>
      </c>
      <c r="L7" s="355">
        <v>17</v>
      </c>
      <c r="M7" s="11">
        <f t="shared" ref="M7" si="8">F7/V7*60</f>
        <v>1930.5263157894753</v>
      </c>
      <c r="N7" s="10">
        <f t="shared" si="6"/>
        <v>113.56037151702796</v>
      </c>
      <c r="O7" s="12">
        <f t="shared" si="0"/>
        <v>0</v>
      </c>
      <c r="P7" s="13">
        <f t="shared" si="1"/>
        <v>-4.086687306501446</v>
      </c>
      <c r="Q7" s="351">
        <f t="shared" si="7"/>
        <v>0.96526315789473771</v>
      </c>
      <c r="R7" s="442"/>
      <c r="S7" s="28">
        <v>0.77361111111111114</v>
      </c>
      <c r="T7" s="28">
        <v>0.81319444444444444</v>
      </c>
      <c r="U7" s="346">
        <f t="shared" ref="U7" si="9">(S7-T6)*24*60</f>
        <v>4.9999999999999822</v>
      </c>
      <c r="V7" s="356">
        <f t="shared" ref="V7" si="10">(T7-S7)*24*60</f>
        <v>56.999999999999957</v>
      </c>
      <c r="W7" s="16"/>
      <c r="X7" s="16"/>
      <c r="Y7" s="447"/>
      <c r="Z7" s="448"/>
      <c r="AA7" s="12">
        <f t="shared" si="2"/>
        <v>-69.473684210524652</v>
      </c>
      <c r="AB7" s="351">
        <f t="shared" si="3"/>
        <v>0.96526315789473771</v>
      </c>
      <c r="AC7" s="442"/>
    </row>
    <row r="8" spans="1:29">
      <c r="A8" s="474" t="s">
        <v>1747</v>
      </c>
      <c r="B8" s="31" t="s">
        <v>1678</v>
      </c>
      <c r="C8" s="446"/>
      <c r="D8" s="446"/>
      <c r="E8" s="345"/>
      <c r="F8" s="33"/>
      <c r="G8" s="10"/>
      <c r="H8" s="357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1921.9508771929816</v>
      </c>
      <c r="N8" s="10">
        <f>M8/L8</f>
        <v>120.12192982456135</v>
      </c>
      <c r="O8" s="12">
        <f>L8-I8</f>
        <v>0</v>
      </c>
      <c r="P8" s="13">
        <f>N8-K8</f>
        <v>-4.8780701754386513</v>
      </c>
      <c r="Q8" s="351">
        <f>N8/K8</f>
        <v>0.96097543859649082</v>
      </c>
      <c r="R8" s="442"/>
      <c r="S8" s="28"/>
      <c r="T8" s="28"/>
      <c r="U8" s="346"/>
      <c r="V8" s="356"/>
      <c r="W8" s="10"/>
      <c r="X8" s="10"/>
      <c r="Y8" s="443"/>
      <c r="Z8" s="443"/>
      <c r="AA8" s="12">
        <f t="shared" si="2"/>
        <v>-78.049122807018421</v>
      </c>
      <c r="AB8" s="351">
        <f>M8/J8</f>
        <v>0.96097543859649082</v>
      </c>
      <c r="AC8" s="442"/>
    </row>
    <row r="9" spans="1:29" ht="15.75" customHeight="1">
      <c r="A9" s="439" t="s">
        <v>1748</v>
      </c>
      <c r="B9" s="31" t="s">
        <v>53</v>
      </c>
      <c r="C9" s="471" t="s">
        <v>54</v>
      </c>
      <c r="D9" s="472"/>
      <c r="E9" s="31">
        <v>39.799999999999997</v>
      </c>
      <c r="F9" s="357">
        <v>4826</v>
      </c>
      <c r="G9" s="346">
        <f t="shared" ref="G9" si="11">E9*F9</f>
        <v>192074.8</v>
      </c>
      <c r="H9" s="359" t="s">
        <v>103</v>
      </c>
      <c r="I9" s="355">
        <v>17</v>
      </c>
      <c r="J9" s="26">
        <v>1500</v>
      </c>
      <c r="K9" s="10">
        <f t="shared" ref="K9" si="12">J9/I9</f>
        <v>88.235294117647058</v>
      </c>
      <c r="L9" s="355">
        <v>17</v>
      </c>
      <c r="M9" s="11">
        <f t="shared" ref="M9" si="13">F9/V9*60</f>
        <v>1433.4653465346537</v>
      </c>
      <c r="N9" s="10">
        <f t="shared" ref="N9" si="14">M9/L9</f>
        <v>84.321490972626691</v>
      </c>
      <c r="O9" s="12">
        <f t="shared" ref="O9" si="15">L9-I9</f>
        <v>0</v>
      </c>
      <c r="P9" s="13">
        <f>N9-K9</f>
        <v>-3.913803145020367</v>
      </c>
      <c r="Q9" s="351">
        <f>N9/K9</f>
        <v>0.95564356435643583</v>
      </c>
      <c r="R9" s="442">
        <f>Q10</f>
        <v>0.95564356435643583</v>
      </c>
      <c r="S9" s="28">
        <v>0.20833333333333334</v>
      </c>
      <c r="T9" s="28">
        <v>0.34861111111111109</v>
      </c>
      <c r="U9" s="346"/>
      <c r="V9" s="356">
        <f t="shared" ref="V9" si="16">(T9-S9)*24*60</f>
        <v>201.99999999999997</v>
      </c>
      <c r="W9" s="16"/>
      <c r="X9" s="16"/>
      <c r="Y9" s="443"/>
      <c r="Z9" s="443"/>
      <c r="AA9" s="12">
        <f t="shared" si="2"/>
        <v>-66.53465346534631</v>
      </c>
      <c r="AB9" s="351">
        <f>M9/J9</f>
        <v>0.95564356435643583</v>
      </c>
      <c r="AC9" s="442">
        <f>AB10</f>
        <v>0.95564356435643583</v>
      </c>
    </row>
    <row r="10" spans="1:29" ht="16.5" customHeight="1">
      <c r="A10" s="439" t="s">
        <v>1748</v>
      </c>
      <c r="B10" s="31" t="s">
        <v>1678</v>
      </c>
      <c r="C10" s="446"/>
      <c r="D10" s="446"/>
      <c r="E10" s="345"/>
      <c r="F10" s="26"/>
      <c r="G10" s="11"/>
      <c r="H10" s="357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1433.4653465346537</v>
      </c>
      <c r="N10" s="10">
        <f>M10/L10</f>
        <v>84.321490972626691</v>
      </c>
      <c r="O10" s="12">
        <f>L10-I10</f>
        <v>0</v>
      </c>
      <c r="P10" s="13">
        <f>N10-K10</f>
        <v>-3.913803145020367</v>
      </c>
      <c r="Q10" s="351">
        <f>N10/K10</f>
        <v>0.95564356435643583</v>
      </c>
      <c r="R10" s="442"/>
      <c r="S10" s="28"/>
      <c r="T10" s="28"/>
      <c r="U10" s="10"/>
      <c r="V10" s="356"/>
      <c r="W10" s="10"/>
      <c r="X10" s="10"/>
      <c r="Y10" s="443"/>
      <c r="Z10" s="443"/>
      <c r="AA10" s="12">
        <f t="shared" si="2"/>
        <v>-66.53465346534631</v>
      </c>
      <c r="AB10" s="351">
        <f t="shared" ref="AB10:AB22" si="17">M10/J10</f>
        <v>0.95564356435643583</v>
      </c>
      <c r="AC10" s="442"/>
    </row>
    <row r="11" spans="1:29" ht="16.5" customHeight="1">
      <c r="A11" s="469" t="s">
        <v>1749</v>
      </c>
      <c r="B11" s="357" t="s">
        <v>56</v>
      </c>
      <c r="C11" s="464" t="s">
        <v>57</v>
      </c>
      <c r="D11" s="464"/>
      <c r="E11" s="31">
        <v>41</v>
      </c>
      <c r="F11" s="357">
        <v>1801</v>
      </c>
      <c r="G11" s="346">
        <f t="shared" ref="G11:G15" si="18">E11*F11</f>
        <v>73841</v>
      </c>
      <c r="H11" s="359" t="s">
        <v>103</v>
      </c>
      <c r="I11" s="355">
        <v>26</v>
      </c>
      <c r="J11" s="26">
        <v>1500</v>
      </c>
      <c r="K11" s="10">
        <f>J11/I11</f>
        <v>57.692307692307693</v>
      </c>
      <c r="L11" s="355">
        <v>26</v>
      </c>
      <c r="M11" s="11">
        <f>F11/V11*60</f>
        <v>1440.7999999999997</v>
      </c>
      <c r="N11" s="10">
        <f t="shared" ref="N11:N21" si="19">M11/L11</f>
        <v>55.415384615384603</v>
      </c>
      <c r="O11" s="12">
        <f t="shared" ref="O11" si="20">L11-I11</f>
        <v>0</v>
      </c>
      <c r="P11" s="13">
        <f t="shared" ref="P11" si="21">N11-K11</f>
        <v>-2.2769230769230902</v>
      </c>
      <c r="Q11" s="351">
        <f>N11/K11</f>
        <v>0.96053333333333313</v>
      </c>
      <c r="R11" s="442">
        <f>Q16</f>
        <v>0.95778045453317928</v>
      </c>
      <c r="S11" s="28">
        <v>0.20833333333333334</v>
      </c>
      <c r="T11" s="28">
        <v>0.26041666666666669</v>
      </c>
      <c r="U11" s="346"/>
      <c r="V11" s="356">
        <f>(T11-S11)*24*60</f>
        <v>75.000000000000014</v>
      </c>
      <c r="W11" s="18"/>
      <c r="X11" s="18"/>
      <c r="Y11" s="443"/>
      <c r="Z11" s="443"/>
      <c r="AA11" s="12">
        <f t="shared" si="2"/>
        <v>-59.200000000000273</v>
      </c>
      <c r="AB11" s="351">
        <f t="shared" si="17"/>
        <v>0.96053333333333313</v>
      </c>
      <c r="AC11" s="442">
        <f>AB16</f>
        <v>0.95778045453317928</v>
      </c>
    </row>
    <row r="12" spans="1:29" ht="16.5" customHeight="1">
      <c r="A12" s="470" t="s">
        <v>1749</v>
      </c>
      <c r="B12" s="357" t="s">
        <v>53</v>
      </c>
      <c r="C12" s="464" t="s">
        <v>107</v>
      </c>
      <c r="D12" s="464"/>
      <c r="E12" s="31">
        <v>39.619999999999997</v>
      </c>
      <c r="F12" s="357">
        <v>3563</v>
      </c>
      <c r="G12" s="346">
        <f t="shared" si="18"/>
        <v>141166.06</v>
      </c>
      <c r="H12" s="359" t="s">
        <v>103</v>
      </c>
      <c r="I12" s="355">
        <v>19</v>
      </c>
      <c r="J12" s="26">
        <v>1500</v>
      </c>
      <c r="K12" s="10">
        <f>J12/I12</f>
        <v>78.94736842105263</v>
      </c>
      <c r="L12" s="355">
        <v>19</v>
      </c>
      <c r="M12" s="11">
        <f>F12/V12*60</f>
        <v>1434.7651006711408</v>
      </c>
      <c r="N12" s="10">
        <f t="shared" si="19"/>
        <v>75.513952666902142</v>
      </c>
      <c r="O12" s="12">
        <f>L12-I12</f>
        <v>0</v>
      </c>
      <c r="P12" s="13">
        <f>N12-K12</f>
        <v>-3.4334157541504879</v>
      </c>
      <c r="Q12" s="351">
        <f>N12/K12</f>
        <v>0.95651006711409381</v>
      </c>
      <c r="R12" s="442"/>
      <c r="S12" s="28">
        <v>0.2638888888888889</v>
      </c>
      <c r="T12" s="28">
        <v>0.36736111111111114</v>
      </c>
      <c r="U12" s="346">
        <f>IF(S12=TIME(17,0,0),"",(S12-T11)*24*60)</f>
        <v>4.9999999999999822</v>
      </c>
      <c r="V12" s="356">
        <f>(T12-S12)*24*60</f>
        <v>149.00000000000003</v>
      </c>
      <c r="W12" s="16"/>
      <c r="X12" s="16"/>
      <c r="Y12" s="443"/>
      <c r="Z12" s="443"/>
      <c r="AA12" s="12">
        <f t="shared" si="2"/>
        <v>-65.234899328859228</v>
      </c>
      <c r="AB12" s="351">
        <f t="shared" si="17"/>
        <v>0.95651006711409381</v>
      </c>
      <c r="AC12" s="442"/>
    </row>
    <row r="13" spans="1:29" ht="16.5" customHeight="1">
      <c r="A13" s="470" t="s">
        <v>1749</v>
      </c>
      <c r="B13" s="357" t="s">
        <v>53</v>
      </c>
      <c r="C13" s="464" t="s">
        <v>163</v>
      </c>
      <c r="D13" s="464"/>
      <c r="E13" s="31">
        <v>39.36</v>
      </c>
      <c r="F13" s="357">
        <v>2685</v>
      </c>
      <c r="G13" s="346">
        <f t="shared" si="18"/>
        <v>105681.59999999999</v>
      </c>
      <c r="H13" s="359" t="s">
        <v>103</v>
      </c>
      <c r="I13" s="355">
        <v>20</v>
      </c>
      <c r="J13" s="26">
        <v>1500</v>
      </c>
      <c r="K13" s="10">
        <f t="shared" ref="K13:K15" si="22">J13/I13</f>
        <v>75</v>
      </c>
      <c r="L13" s="355">
        <v>20</v>
      </c>
      <c r="M13" s="11">
        <f t="shared" ref="M13:M15" si="23">F13/V13*60</f>
        <v>1438.3928571428571</v>
      </c>
      <c r="N13" s="10">
        <f t="shared" si="19"/>
        <v>71.919642857142861</v>
      </c>
      <c r="O13" s="12">
        <f t="shared" ref="O13:O15" si="24">L13-I13</f>
        <v>0</v>
      </c>
      <c r="P13" s="13">
        <f t="shared" ref="P13:P15" si="25">N13-K13</f>
        <v>-3.0803571428571388</v>
      </c>
      <c r="Q13" s="351">
        <f t="shared" ref="Q13:Q21" si="26">N13/K13</f>
        <v>0.95892857142857146</v>
      </c>
      <c r="R13" s="442"/>
      <c r="S13" s="28">
        <v>0.37291666666666667</v>
      </c>
      <c r="T13" s="28">
        <v>0.45069444444444445</v>
      </c>
      <c r="U13" s="346">
        <f t="shared" ref="U13:U15" si="27">IF(S13=TIME(17,0,0),"",(S13-T12)*24*60)</f>
        <v>7.9999999999999716</v>
      </c>
      <c r="V13" s="356">
        <f t="shared" ref="V13:V15" si="28">(T13-S13)*24*60</f>
        <v>112</v>
      </c>
      <c r="W13" s="16"/>
      <c r="X13" s="16"/>
      <c r="Y13" s="443"/>
      <c r="Z13" s="443"/>
      <c r="AA13" s="12">
        <f t="shared" si="2"/>
        <v>-61.60714285714289</v>
      </c>
      <c r="AB13" s="351">
        <f t="shared" si="17"/>
        <v>0.95892857142857135</v>
      </c>
      <c r="AC13" s="442"/>
    </row>
    <row r="14" spans="1:29" ht="16.5" customHeight="1">
      <c r="A14" s="470" t="s">
        <v>1749</v>
      </c>
      <c r="B14" s="357" t="s">
        <v>58</v>
      </c>
      <c r="C14" s="464" t="s">
        <v>59</v>
      </c>
      <c r="D14" s="464"/>
      <c r="E14" s="31">
        <v>50.98</v>
      </c>
      <c r="F14" s="357">
        <v>2532</v>
      </c>
      <c r="G14" s="346">
        <f t="shared" si="18"/>
        <v>129081.35999999999</v>
      </c>
      <c r="H14" s="359" t="s">
        <v>103</v>
      </c>
      <c r="I14" s="355">
        <v>16</v>
      </c>
      <c r="J14" s="26">
        <v>2000</v>
      </c>
      <c r="K14" s="10">
        <f t="shared" si="22"/>
        <v>125</v>
      </c>
      <c r="L14" s="355">
        <v>16</v>
      </c>
      <c r="M14" s="11">
        <f t="shared" si="23"/>
        <v>1923.0379746835436</v>
      </c>
      <c r="N14" s="10">
        <f t="shared" si="19"/>
        <v>120.18987341772147</v>
      </c>
      <c r="O14" s="12">
        <f t="shared" si="24"/>
        <v>0</v>
      </c>
      <c r="P14" s="13">
        <f t="shared" si="25"/>
        <v>-4.810126582278528</v>
      </c>
      <c r="Q14" s="351">
        <f t="shared" si="26"/>
        <v>0.96151898734177177</v>
      </c>
      <c r="R14" s="442"/>
      <c r="S14" s="28">
        <v>0.70833333333333337</v>
      </c>
      <c r="T14" s="28">
        <v>0.76319444444444451</v>
      </c>
      <c r="U14" s="346" t="str">
        <f t="shared" si="27"/>
        <v/>
      </c>
      <c r="V14" s="356">
        <f t="shared" si="28"/>
        <v>79.000000000000043</v>
      </c>
      <c r="W14" s="16"/>
      <c r="X14" s="16"/>
      <c r="Y14" s="443"/>
      <c r="Z14" s="443"/>
      <c r="AA14" s="12">
        <f t="shared" si="2"/>
        <v>-76.962025316456447</v>
      </c>
      <c r="AB14" s="351">
        <f t="shared" si="17"/>
        <v>0.96151898734177177</v>
      </c>
      <c r="AC14" s="442"/>
    </row>
    <row r="15" spans="1:29" ht="16.5" customHeight="1">
      <c r="A15" s="470" t="s">
        <v>1749</v>
      </c>
      <c r="B15" s="357" t="s">
        <v>58</v>
      </c>
      <c r="C15" s="464" t="s">
        <v>60</v>
      </c>
      <c r="D15" s="464"/>
      <c r="E15" s="31">
        <v>50.92</v>
      </c>
      <c r="F15" s="357">
        <v>2761</v>
      </c>
      <c r="G15" s="346">
        <f t="shared" si="18"/>
        <v>140590.12</v>
      </c>
      <c r="H15" s="359" t="s">
        <v>103</v>
      </c>
      <c r="I15" s="355">
        <v>15</v>
      </c>
      <c r="J15" s="26">
        <v>2000</v>
      </c>
      <c r="K15" s="10">
        <f t="shared" si="22"/>
        <v>133.33333333333334</v>
      </c>
      <c r="L15" s="355">
        <v>15</v>
      </c>
      <c r="M15" s="11">
        <f t="shared" si="23"/>
        <v>1904.1379310344826</v>
      </c>
      <c r="N15" s="10">
        <f t="shared" si="19"/>
        <v>126.94252873563217</v>
      </c>
      <c r="O15" s="12">
        <f t="shared" si="24"/>
        <v>0</v>
      </c>
      <c r="P15" s="13">
        <f t="shared" si="25"/>
        <v>-6.3908045977011767</v>
      </c>
      <c r="Q15" s="351">
        <f t="shared" si="26"/>
        <v>0.95206896551724118</v>
      </c>
      <c r="R15" s="442"/>
      <c r="S15" s="28">
        <v>0.76666666666666672</v>
      </c>
      <c r="T15" s="28">
        <v>0.82708333333333339</v>
      </c>
      <c r="U15" s="346">
        <f t="shared" si="27"/>
        <v>4.9999999999999822</v>
      </c>
      <c r="V15" s="356">
        <f t="shared" si="28"/>
        <v>87.000000000000014</v>
      </c>
      <c r="W15" s="16"/>
      <c r="X15" s="16"/>
      <c r="Y15" s="443"/>
      <c r="Z15" s="443"/>
      <c r="AA15" s="12">
        <f t="shared" si="2"/>
        <v>-95.862068965517437</v>
      </c>
      <c r="AB15" s="351">
        <f t="shared" si="17"/>
        <v>0.95206896551724129</v>
      </c>
      <c r="AC15" s="442"/>
    </row>
    <row r="16" spans="1:29" ht="16.5" customHeight="1">
      <c r="A16" s="470" t="s">
        <v>1749</v>
      </c>
      <c r="B16" s="31" t="s">
        <v>1678</v>
      </c>
      <c r="C16" s="446"/>
      <c r="D16" s="446"/>
      <c r="E16" s="345"/>
      <c r="F16" s="33"/>
      <c r="G16" s="10"/>
      <c r="H16" s="357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1628.2267727064047</v>
      </c>
      <c r="N16" s="10">
        <f t="shared" si="19"/>
        <v>84.803477745125249</v>
      </c>
      <c r="O16" s="12">
        <f>L16-I16</f>
        <v>0</v>
      </c>
      <c r="P16" s="13">
        <f>N16-K16</f>
        <v>-3.7381889215414219</v>
      </c>
      <c r="Q16" s="351">
        <f t="shared" si="26"/>
        <v>0.95778045453317928</v>
      </c>
      <c r="R16" s="442"/>
      <c r="S16" s="28"/>
      <c r="T16" s="28"/>
      <c r="U16" s="346"/>
      <c r="V16" s="356"/>
      <c r="W16" s="10"/>
      <c r="X16" s="10"/>
      <c r="Y16" s="443"/>
      <c r="Z16" s="443"/>
      <c r="AA16" s="12">
        <f t="shared" si="2"/>
        <v>-71.773227293595255</v>
      </c>
      <c r="AB16" s="351">
        <f t="shared" si="17"/>
        <v>0.95778045453317928</v>
      </c>
      <c r="AC16" s="442"/>
    </row>
    <row r="17" spans="1:29" ht="15.75" customHeight="1">
      <c r="A17" s="467" t="s">
        <v>1750</v>
      </c>
      <c r="B17" s="31" t="s">
        <v>56</v>
      </c>
      <c r="C17" s="464" t="s">
        <v>61</v>
      </c>
      <c r="D17" s="464"/>
      <c r="E17" s="31">
        <v>43.14</v>
      </c>
      <c r="F17" s="357">
        <v>1142</v>
      </c>
      <c r="G17" s="346">
        <f t="shared" ref="G17:G21" si="29">E17*F17</f>
        <v>49265.88</v>
      </c>
      <c r="H17" s="359" t="s">
        <v>103</v>
      </c>
      <c r="I17" s="355">
        <v>17</v>
      </c>
      <c r="J17" s="26">
        <v>2000</v>
      </c>
      <c r="K17" s="10">
        <f t="shared" ref="K17:K22" si="30">J17/I17</f>
        <v>117.64705882352941</v>
      </c>
      <c r="L17" s="355">
        <v>17</v>
      </c>
      <c r="M17" s="11">
        <f t="shared" ref="M17:M21" si="31">F17/V17*60</f>
        <v>1903.3333333333337</v>
      </c>
      <c r="N17" s="10">
        <f t="shared" si="19"/>
        <v>111.96078431372551</v>
      </c>
      <c r="O17" s="12">
        <f t="shared" ref="O17:O21" si="32">L17-I17</f>
        <v>0</v>
      </c>
      <c r="P17" s="13">
        <f t="shared" ref="P17:P21" si="33">N17-K17</f>
        <v>-5.6862745098038943</v>
      </c>
      <c r="Q17" s="351">
        <f t="shared" si="26"/>
        <v>0.95166666666666688</v>
      </c>
      <c r="R17" s="442">
        <f>Q22</f>
        <v>0.95805527055844364</v>
      </c>
      <c r="S17" s="28">
        <v>0.20833333333333334</v>
      </c>
      <c r="T17" s="28">
        <v>0.23333333333333334</v>
      </c>
      <c r="U17" s="346"/>
      <c r="V17" s="356">
        <f>(T17-S17)*24*60</f>
        <v>35.999999999999993</v>
      </c>
      <c r="W17" s="18"/>
      <c r="X17" s="18"/>
      <c r="Y17" s="443"/>
      <c r="Z17" s="443"/>
      <c r="AA17" s="12">
        <f t="shared" si="2"/>
        <v>-96.666666666666288</v>
      </c>
      <c r="AB17" s="351">
        <f t="shared" si="17"/>
        <v>0.95166666666666688</v>
      </c>
      <c r="AC17" s="442">
        <f>AB22</f>
        <v>0.95805527055844353</v>
      </c>
    </row>
    <row r="18" spans="1:29" ht="15.75" customHeight="1">
      <c r="A18" s="468" t="s">
        <v>1750</v>
      </c>
      <c r="B18" s="31" t="s">
        <v>58</v>
      </c>
      <c r="C18" s="464" t="s">
        <v>62</v>
      </c>
      <c r="D18" s="464"/>
      <c r="E18" s="31">
        <v>57.73</v>
      </c>
      <c r="F18" s="357">
        <v>1950</v>
      </c>
      <c r="G18" s="346">
        <f t="shared" si="29"/>
        <v>112573.5</v>
      </c>
      <c r="H18" s="359" t="s">
        <v>103</v>
      </c>
      <c r="I18" s="355">
        <v>15</v>
      </c>
      <c r="J18" s="26">
        <v>2000</v>
      </c>
      <c r="K18" s="10">
        <f t="shared" si="30"/>
        <v>133.33333333333334</v>
      </c>
      <c r="L18" s="355">
        <v>15</v>
      </c>
      <c r="M18" s="11">
        <f t="shared" si="31"/>
        <v>1918.0327868852464</v>
      </c>
      <c r="N18" s="10">
        <f t="shared" si="19"/>
        <v>127.86885245901642</v>
      </c>
      <c r="O18" s="12">
        <f t="shared" si="32"/>
        <v>0</v>
      </c>
      <c r="P18" s="13">
        <f t="shared" si="33"/>
        <v>-5.4644808743169193</v>
      </c>
      <c r="Q18" s="351">
        <f t="shared" si="26"/>
        <v>0.95901639344262313</v>
      </c>
      <c r="R18" s="442"/>
      <c r="S18" s="28">
        <v>0.23819444444444446</v>
      </c>
      <c r="T18" s="28">
        <v>0.28055555555555556</v>
      </c>
      <c r="U18" s="346">
        <f>IF(S18=TIME(17,0,0),"",(S18-T17)*24*60)</f>
        <v>7.0000000000000151</v>
      </c>
      <c r="V18" s="356">
        <f t="shared" ref="V18:V21" si="34">(T18-S18)*24*60</f>
        <v>60.999999999999986</v>
      </c>
      <c r="W18" s="16"/>
      <c r="X18" s="346"/>
      <c r="Y18" s="443"/>
      <c r="Z18" s="443"/>
      <c r="AA18" s="12">
        <f t="shared" si="2"/>
        <v>-81.967213114753577</v>
      </c>
      <c r="AB18" s="351">
        <f t="shared" si="17"/>
        <v>0.95901639344262324</v>
      </c>
      <c r="AC18" s="442"/>
    </row>
    <row r="19" spans="1:29" ht="15.75" customHeight="1">
      <c r="A19" s="468" t="s">
        <v>1750</v>
      </c>
      <c r="B19" s="31" t="s">
        <v>58</v>
      </c>
      <c r="C19" s="464" t="s">
        <v>63</v>
      </c>
      <c r="D19" s="464"/>
      <c r="E19" s="31">
        <v>53.68</v>
      </c>
      <c r="F19" s="357">
        <v>1525</v>
      </c>
      <c r="G19" s="346">
        <f t="shared" si="29"/>
        <v>81862</v>
      </c>
      <c r="H19" s="359" t="s">
        <v>103</v>
      </c>
      <c r="I19" s="355">
        <v>16</v>
      </c>
      <c r="J19" s="26">
        <v>2000</v>
      </c>
      <c r="K19" s="10">
        <f t="shared" si="30"/>
        <v>125</v>
      </c>
      <c r="L19" s="355">
        <v>16</v>
      </c>
      <c r="M19" s="11">
        <f t="shared" si="31"/>
        <v>1906.2500000000005</v>
      </c>
      <c r="N19" s="10">
        <f t="shared" si="19"/>
        <v>119.14062500000003</v>
      </c>
      <c r="O19" s="12">
        <f t="shared" si="32"/>
        <v>0</v>
      </c>
      <c r="P19" s="13">
        <f t="shared" si="33"/>
        <v>-5.8593749999999716</v>
      </c>
      <c r="Q19" s="351">
        <f t="shared" si="26"/>
        <v>0.95312500000000022</v>
      </c>
      <c r="R19" s="442"/>
      <c r="S19" s="28">
        <v>0.28541666666666665</v>
      </c>
      <c r="T19" s="28">
        <v>0.31874999999999998</v>
      </c>
      <c r="U19" s="346">
        <f t="shared" ref="U19:U21" si="35">IF(S19=TIME(17,0,0),"",(S19-T18)*24*60)</f>
        <v>6.9999999999999751</v>
      </c>
      <c r="V19" s="356">
        <f t="shared" si="34"/>
        <v>47.999999999999986</v>
      </c>
      <c r="W19" s="16"/>
      <c r="X19" s="346"/>
      <c r="Y19" s="443"/>
      <c r="Z19" s="443"/>
      <c r="AA19" s="12">
        <f t="shared" si="2"/>
        <v>-93.749999999999545</v>
      </c>
      <c r="AB19" s="351">
        <f t="shared" si="17"/>
        <v>0.95312500000000022</v>
      </c>
      <c r="AC19" s="442"/>
    </row>
    <row r="20" spans="1:29" ht="15.75" customHeight="1">
      <c r="A20" s="468" t="s">
        <v>1750</v>
      </c>
      <c r="B20" s="31" t="s">
        <v>58</v>
      </c>
      <c r="C20" s="464" t="s">
        <v>1170</v>
      </c>
      <c r="D20" s="464"/>
      <c r="E20" s="31">
        <v>53.27</v>
      </c>
      <c r="F20" s="357">
        <v>1612</v>
      </c>
      <c r="G20" s="346">
        <f t="shared" si="29"/>
        <v>85871.24</v>
      </c>
      <c r="H20" s="359" t="s">
        <v>103</v>
      </c>
      <c r="I20" s="355">
        <v>17</v>
      </c>
      <c r="J20" s="26">
        <v>2000</v>
      </c>
      <c r="K20" s="10">
        <f t="shared" si="30"/>
        <v>117.64705882352941</v>
      </c>
      <c r="L20" s="355">
        <v>17</v>
      </c>
      <c r="M20" s="11">
        <f t="shared" si="31"/>
        <v>1934.4000000000005</v>
      </c>
      <c r="N20" s="10">
        <f t="shared" si="19"/>
        <v>113.78823529411768</v>
      </c>
      <c r="O20" s="12">
        <f t="shared" si="32"/>
        <v>0</v>
      </c>
      <c r="P20" s="13">
        <f t="shared" si="33"/>
        <v>-3.8588235294117226</v>
      </c>
      <c r="Q20" s="351">
        <f t="shared" si="26"/>
        <v>0.96720000000000039</v>
      </c>
      <c r="R20" s="442"/>
      <c r="S20" s="28">
        <v>0.32222222222222219</v>
      </c>
      <c r="T20" s="28">
        <v>0.3569444444444444</v>
      </c>
      <c r="U20" s="346">
        <f t="shared" si="35"/>
        <v>4.9999999999999822</v>
      </c>
      <c r="V20" s="356">
        <f t="shared" si="34"/>
        <v>49.999999999999986</v>
      </c>
      <c r="W20" s="16"/>
      <c r="X20" s="346"/>
      <c r="Y20" s="443"/>
      <c r="Z20" s="443"/>
      <c r="AA20" s="12">
        <f t="shared" si="2"/>
        <v>-65.599999999999454</v>
      </c>
      <c r="AB20" s="351">
        <f t="shared" si="17"/>
        <v>0.96720000000000028</v>
      </c>
      <c r="AC20" s="442"/>
    </row>
    <row r="21" spans="1:29" ht="15.75" customHeight="1">
      <c r="A21" s="468" t="s">
        <v>1750</v>
      </c>
      <c r="B21" s="31" t="s">
        <v>58</v>
      </c>
      <c r="C21" s="464" t="s">
        <v>65</v>
      </c>
      <c r="D21" s="464"/>
      <c r="E21" s="31">
        <v>54.09</v>
      </c>
      <c r="F21" s="357">
        <v>2622</v>
      </c>
      <c r="G21" s="346">
        <f t="shared" si="29"/>
        <v>141823.98000000001</v>
      </c>
      <c r="H21" s="359" t="s">
        <v>103</v>
      </c>
      <c r="I21" s="355">
        <v>19</v>
      </c>
      <c r="J21" s="26">
        <v>2000</v>
      </c>
      <c r="K21" s="10">
        <f t="shared" si="30"/>
        <v>105.26315789473684</v>
      </c>
      <c r="L21" s="355">
        <v>19</v>
      </c>
      <c r="M21" s="11">
        <f t="shared" si="31"/>
        <v>1918.5365853658532</v>
      </c>
      <c r="N21" s="10">
        <f t="shared" si="19"/>
        <v>100.97560975609754</v>
      </c>
      <c r="O21" s="12">
        <f t="shared" si="32"/>
        <v>0</v>
      </c>
      <c r="P21" s="13">
        <f t="shared" si="33"/>
        <v>-4.2875481386392948</v>
      </c>
      <c r="Q21" s="351">
        <f t="shared" si="26"/>
        <v>0.95926829268292668</v>
      </c>
      <c r="R21" s="442"/>
      <c r="S21" s="28">
        <v>0.70833333333333337</v>
      </c>
      <c r="T21" s="28">
        <v>0.76527777777777783</v>
      </c>
      <c r="U21" s="346" t="str">
        <f t="shared" si="35"/>
        <v/>
      </c>
      <c r="V21" s="356">
        <f t="shared" si="34"/>
        <v>82.000000000000028</v>
      </c>
      <c r="W21" s="16"/>
      <c r="X21" s="346"/>
      <c r="Y21" s="443"/>
      <c r="Z21" s="443"/>
      <c r="AA21" s="12">
        <f t="shared" si="2"/>
        <v>-81.463414634146829</v>
      </c>
      <c r="AB21" s="351">
        <f t="shared" si="17"/>
        <v>0.95926829268292657</v>
      </c>
      <c r="AC21" s="442"/>
    </row>
    <row r="22" spans="1:29" ht="15.75" customHeight="1">
      <c r="A22" s="468" t="s">
        <v>1750</v>
      </c>
      <c r="B22" s="31" t="s">
        <v>1678</v>
      </c>
      <c r="C22" s="446"/>
      <c r="D22" s="446"/>
      <c r="E22" s="345"/>
      <c r="F22" s="357"/>
      <c r="G22" s="346"/>
      <c r="H22" s="357"/>
      <c r="I22" s="19">
        <v>16.8</v>
      </c>
      <c r="J22" s="26">
        <v>2000</v>
      </c>
      <c r="K22" s="10">
        <f t="shared" si="30"/>
        <v>119.04761904761904</v>
      </c>
      <c r="L22" s="19">
        <v>16.8</v>
      </c>
      <c r="M22" s="11">
        <f>AVERAGE(M17:M21)</f>
        <v>1916.1105411168871</v>
      </c>
      <c r="N22" s="10">
        <f>M22/L22</f>
        <v>114.05419887600519</v>
      </c>
      <c r="O22" s="12">
        <f>L22-I22</f>
        <v>0</v>
      </c>
      <c r="P22" s="13">
        <f>N22-K22</f>
        <v>-4.9934201716138489</v>
      </c>
      <c r="Q22" s="351">
        <f>N22/K22</f>
        <v>0.95805527055844364</v>
      </c>
      <c r="R22" s="442"/>
      <c r="S22" s="28"/>
      <c r="T22" s="28"/>
      <c r="U22" s="10"/>
      <c r="V22" s="356"/>
      <c r="W22" s="10"/>
      <c r="X22" s="10"/>
      <c r="Y22" s="443"/>
      <c r="Z22" s="443"/>
      <c r="AA22" s="12">
        <f t="shared" si="2"/>
        <v>-83.889458883112866</v>
      </c>
      <c r="AB22" s="351">
        <f t="shared" si="17"/>
        <v>0.95805527055844353</v>
      </c>
      <c r="AC22" s="442"/>
    </row>
    <row r="23" spans="1:29" ht="15.75" customHeight="1">
      <c r="A23" s="463" t="s">
        <v>1751</v>
      </c>
      <c r="B23" s="31" t="s">
        <v>67</v>
      </c>
      <c r="C23" s="464" t="s">
        <v>68</v>
      </c>
      <c r="D23" s="464"/>
      <c r="E23" s="31">
        <v>26.2</v>
      </c>
      <c r="F23" s="357">
        <v>3092</v>
      </c>
      <c r="G23" s="346">
        <f t="shared" ref="G23:G29" si="36">E23*F23</f>
        <v>81010.399999999994</v>
      </c>
      <c r="H23" s="359" t="s">
        <v>103</v>
      </c>
      <c r="I23" s="355">
        <v>20</v>
      </c>
      <c r="J23" s="26">
        <v>2400</v>
      </c>
      <c r="K23" s="10">
        <f>J23/I23</f>
        <v>120</v>
      </c>
      <c r="L23" s="355">
        <v>20</v>
      </c>
      <c r="M23" s="11">
        <f t="shared" ref="M23:M29" si="37">F23/V23*60</f>
        <v>2290.3703703703704</v>
      </c>
      <c r="N23" s="10">
        <f t="shared" ref="N23:N29" si="38">M23/L23</f>
        <v>114.51851851851852</v>
      </c>
      <c r="O23" s="12">
        <f t="shared" ref="O23:O29" si="39">L23-I23</f>
        <v>0</v>
      </c>
      <c r="P23" s="13">
        <f t="shared" ref="P23:P29" si="40">N23-K23</f>
        <v>-5.481481481481481</v>
      </c>
      <c r="Q23" s="351">
        <f t="shared" ref="Q23:Q28" si="41">N23/K23</f>
        <v>0.95432098765432094</v>
      </c>
      <c r="R23" s="442">
        <f>Q30</f>
        <v>0.95824288803930446</v>
      </c>
      <c r="S23" s="28">
        <v>8.3333333333333329E-2</v>
      </c>
      <c r="T23" s="28">
        <v>0.13958333333333334</v>
      </c>
      <c r="U23" s="346"/>
      <c r="V23" s="356">
        <f t="shared" ref="V23:V29" si="42">(T23-S23)*24*60</f>
        <v>81</v>
      </c>
      <c r="W23" s="16">
        <f>T23</f>
        <v>0.13958333333333334</v>
      </c>
      <c r="X23" s="16">
        <f>S24</f>
        <v>0.16041666666666668</v>
      </c>
      <c r="Y23" s="443"/>
      <c r="Z23" s="443"/>
      <c r="AA23" s="12">
        <f t="shared" si="2"/>
        <v>-109.62962962962956</v>
      </c>
      <c r="AB23" s="351">
        <f>M23/J23</f>
        <v>0.95432098765432105</v>
      </c>
      <c r="AC23" s="442">
        <f>AB30</f>
        <v>0.95824288803930457</v>
      </c>
    </row>
    <row r="24" spans="1:29" ht="15.75" customHeight="1">
      <c r="A24" s="463" t="s">
        <v>1751</v>
      </c>
      <c r="B24" s="31" t="s">
        <v>67</v>
      </c>
      <c r="C24" s="464" t="s">
        <v>69</v>
      </c>
      <c r="D24" s="464"/>
      <c r="E24" s="31">
        <v>31.29</v>
      </c>
      <c r="F24" s="357">
        <v>5606</v>
      </c>
      <c r="G24" s="346">
        <f t="shared" si="36"/>
        <v>175411.74</v>
      </c>
      <c r="H24" s="359" t="s">
        <v>103</v>
      </c>
      <c r="I24" s="355">
        <v>18</v>
      </c>
      <c r="J24" s="26">
        <v>2400</v>
      </c>
      <c r="K24" s="10">
        <f t="shared" ref="K24:K30" si="43">J24/I24</f>
        <v>133.33333333333334</v>
      </c>
      <c r="L24" s="355">
        <v>18</v>
      </c>
      <c r="M24" s="11">
        <f t="shared" si="37"/>
        <v>2288.1632653061224</v>
      </c>
      <c r="N24" s="10">
        <f t="shared" si="38"/>
        <v>127.12018140589569</v>
      </c>
      <c r="O24" s="12">
        <f t="shared" si="39"/>
        <v>0</v>
      </c>
      <c r="P24" s="13">
        <f t="shared" si="40"/>
        <v>-6.2131519274376501</v>
      </c>
      <c r="Q24" s="351">
        <f t="shared" si="41"/>
        <v>0.95340136054421765</v>
      </c>
      <c r="R24" s="442"/>
      <c r="S24" s="28">
        <v>0.16041666666666668</v>
      </c>
      <c r="T24" s="28">
        <v>0.26250000000000001</v>
      </c>
      <c r="U24" s="346">
        <f>(S24-T23)*24*60</f>
        <v>30.000000000000014</v>
      </c>
      <c r="V24" s="356">
        <f t="shared" si="42"/>
        <v>147</v>
      </c>
      <c r="W24" s="16"/>
      <c r="X24" s="16"/>
      <c r="Y24" s="443"/>
      <c r="Z24" s="443"/>
      <c r="AA24" s="12">
        <f t="shared" si="2"/>
        <v>-111.83673469387759</v>
      </c>
      <c r="AB24" s="351">
        <f t="shared" ref="AB24:AB29" si="44">M24/J24</f>
        <v>0.95340136054421765</v>
      </c>
      <c r="AC24" s="442"/>
    </row>
    <row r="25" spans="1:29" ht="15.75" customHeight="1">
      <c r="A25" s="463" t="s">
        <v>1751</v>
      </c>
      <c r="B25" s="31" t="s">
        <v>67</v>
      </c>
      <c r="C25" s="464" t="s">
        <v>101</v>
      </c>
      <c r="D25" s="464"/>
      <c r="E25" s="31">
        <v>25</v>
      </c>
      <c r="F25" s="357">
        <v>2684</v>
      </c>
      <c r="G25" s="346">
        <f t="shared" si="36"/>
        <v>67100</v>
      </c>
      <c r="H25" s="359" t="s">
        <v>103</v>
      </c>
      <c r="I25" s="355">
        <v>15</v>
      </c>
      <c r="J25" s="26">
        <v>2400</v>
      </c>
      <c r="K25" s="10">
        <f t="shared" si="43"/>
        <v>160</v>
      </c>
      <c r="L25" s="355">
        <v>15</v>
      </c>
      <c r="M25" s="11">
        <f t="shared" si="37"/>
        <v>2300.5714285714289</v>
      </c>
      <c r="N25" s="10">
        <f t="shared" si="38"/>
        <v>153.37142857142859</v>
      </c>
      <c r="O25" s="12">
        <f t="shared" si="39"/>
        <v>0</v>
      </c>
      <c r="P25" s="13">
        <f t="shared" si="40"/>
        <v>-6.628571428571405</v>
      </c>
      <c r="Q25" s="351">
        <f t="shared" si="41"/>
        <v>0.95857142857142874</v>
      </c>
      <c r="R25" s="442"/>
      <c r="S25" s="28">
        <v>0.26597222222222222</v>
      </c>
      <c r="T25" s="28">
        <v>0.31458333333333333</v>
      </c>
      <c r="U25" s="346">
        <f t="shared" ref="U25:U29" si="45">(S25-T24)*24*60</f>
        <v>4.9999999999999822</v>
      </c>
      <c r="V25" s="356">
        <f t="shared" si="42"/>
        <v>69.999999999999986</v>
      </c>
      <c r="W25" s="16"/>
      <c r="X25" s="16"/>
      <c r="Y25" s="443"/>
      <c r="Z25" s="443"/>
      <c r="AA25" s="12">
        <f t="shared" si="2"/>
        <v>-99.428571428571104</v>
      </c>
      <c r="AB25" s="351">
        <f t="shared" si="44"/>
        <v>0.95857142857142874</v>
      </c>
      <c r="AC25" s="442"/>
    </row>
    <row r="26" spans="1:29" ht="15.75" customHeight="1">
      <c r="A26" s="463" t="s">
        <v>1751</v>
      </c>
      <c r="B26" s="31" t="s">
        <v>67</v>
      </c>
      <c r="C26" s="464" t="s">
        <v>165</v>
      </c>
      <c r="D26" s="464"/>
      <c r="E26" s="31">
        <v>26.18</v>
      </c>
      <c r="F26" s="357">
        <v>2824</v>
      </c>
      <c r="G26" s="346">
        <f t="shared" si="36"/>
        <v>73932.319999999992</v>
      </c>
      <c r="H26" s="359" t="s">
        <v>103</v>
      </c>
      <c r="I26" s="355">
        <v>19</v>
      </c>
      <c r="J26" s="26">
        <v>2400</v>
      </c>
      <c r="K26" s="10">
        <f t="shared" si="43"/>
        <v>126.31578947368421</v>
      </c>
      <c r="L26" s="355">
        <v>19</v>
      </c>
      <c r="M26" s="11">
        <f t="shared" si="37"/>
        <v>2289.7297297297305</v>
      </c>
      <c r="N26" s="10">
        <f t="shared" si="38"/>
        <v>120.51209103840687</v>
      </c>
      <c r="O26" s="12">
        <f t="shared" si="39"/>
        <v>0</v>
      </c>
      <c r="P26" s="13">
        <f t="shared" si="40"/>
        <v>-5.8036984352773402</v>
      </c>
      <c r="Q26" s="351">
        <f t="shared" si="41"/>
        <v>0.95405405405405441</v>
      </c>
      <c r="R26" s="442"/>
      <c r="S26" s="28">
        <v>0.32013888888888886</v>
      </c>
      <c r="T26" s="28">
        <v>0.37152777777777773</v>
      </c>
      <c r="U26" s="346">
        <f t="shared" si="45"/>
        <v>7.9999999999999716</v>
      </c>
      <c r="V26" s="356">
        <f t="shared" si="42"/>
        <v>73.999999999999972</v>
      </c>
      <c r="W26" s="16"/>
      <c r="X26" s="16"/>
      <c r="Y26" s="443"/>
      <c r="Z26" s="443"/>
      <c r="AA26" s="12">
        <f t="shared" si="2"/>
        <v>-110.27027027026952</v>
      </c>
      <c r="AB26" s="351">
        <f t="shared" si="44"/>
        <v>0.95405405405405441</v>
      </c>
      <c r="AC26" s="442"/>
    </row>
    <row r="27" spans="1:29" ht="15.75" customHeight="1">
      <c r="A27" s="463" t="s">
        <v>1751</v>
      </c>
      <c r="B27" s="31" t="s">
        <v>67</v>
      </c>
      <c r="C27" s="464" t="s">
        <v>77</v>
      </c>
      <c r="D27" s="464"/>
      <c r="E27" s="31">
        <v>26.2</v>
      </c>
      <c r="F27" s="357">
        <v>2800</v>
      </c>
      <c r="G27" s="346">
        <f t="shared" si="36"/>
        <v>73360</v>
      </c>
      <c r="H27" s="359" t="s">
        <v>103</v>
      </c>
      <c r="I27" s="355">
        <v>19</v>
      </c>
      <c r="J27" s="26">
        <v>2400</v>
      </c>
      <c r="K27" s="10">
        <f t="shared" si="43"/>
        <v>126.31578947368421</v>
      </c>
      <c r="L27" s="355">
        <v>19</v>
      </c>
      <c r="M27" s="11">
        <f t="shared" si="37"/>
        <v>2301.3698630136987</v>
      </c>
      <c r="N27" s="10">
        <f t="shared" si="38"/>
        <v>121.12472963229993</v>
      </c>
      <c r="O27" s="12">
        <f t="shared" si="39"/>
        <v>0</v>
      </c>
      <c r="P27" s="13">
        <f t="shared" si="40"/>
        <v>-5.1910598413842735</v>
      </c>
      <c r="Q27" s="351">
        <f t="shared" si="41"/>
        <v>0.95890410958904115</v>
      </c>
      <c r="R27" s="442"/>
      <c r="S27" s="28">
        <v>0.37638888888888883</v>
      </c>
      <c r="T27" s="28">
        <v>0.42708333333333326</v>
      </c>
      <c r="U27" s="346">
        <f t="shared" si="45"/>
        <v>6.9999999999999751</v>
      </c>
      <c r="V27" s="356">
        <f t="shared" si="42"/>
        <v>72.999999999999986</v>
      </c>
      <c r="W27" s="16"/>
      <c r="X27" s="16"/>
      <c r="Y27" s="443"/>
      <c r="Z27" s="443"/>
      <c r="AA27" s="12">
        <f t="shared" si="2"/>
        <v>-98.630136986301295</v>
      </c>
      <c r="AB27" s="351">
        <f t="shared" si="44"/>
        <v>0.95890410958904115</v>
      </c>
      <c r="AC27" s="442"/>
    </row>
    <row r="28" spans="1:29" ht="15.75" customHeight="1">
      <c r="A28" s="463" t="s">
        <v>1751</v>
      </c>
      <c r="B28" s="31" t="s">
        <v>67</v>
      </c>
      <c r="C28" s="464" t="s">
        <v>78</v>
      </c>
      <c r="D28" s="464"/>
      <c r="E28" s="31">
        <v>25.98</v>
      </c>
      <c r="F28" s="357">
        <v>1287</v>
      </c>
      <c r="G28" s="346">
        <f t="shared" si="36"/>
        <v>33436.26</v>
      </c>
      <c r="H28" s="359" t="s">
        <v>103</v>
      </c>
      <c r="I28" s="355">
        <v>17</v>
      </c>
      <c r="J28" s="26">
        <v>2400</v>
      </c>
      <c r="K28" s="10">
        <f t="shared" si="43"/>
        <v>141.1764705882353</v>
      </c>
      <c r="L28" s="355">
        <v>17</v>
      </c>
      <c r="M28" s="11">
        <f t="shared" si="37"/>
        <v>2339.9999999999968</v>
      </c>
      <c r="N28" s="10">
        <f t="shared" si="38"/>
        <v>137.64705882352922</v>
      </c>
      <c r="O28" s="12">
        <f t="shared" si="39"/>
        <v>0</v>
      </c>
      <c r="P28" s="13">
        <f t="shared" si="40"/>
        <v>-3.529411764706083</v>
      </c>
      <c r="Q28" s="351">
        <f t="shared" si="41"/>
        <v>0.97499999999999853</v>
      </c>
      <c r="R28" s="442"/>
      <c r="S28" s="28">
        <v>0.4326388888888888</v>
      </c>
      <c r="T28" s="28">
        <v>0.45555555555555549</v>
      </c>
      <c r="U28" s="346">
        <f t="shared" si="45"/>
        <v>7.9999999999999716</v>
      </c>
      <c r="V28" s="356">
        <f t="shared" si="42"/>
        <v>33.000000000000043</v>
      </c>
      <c r="W28" s="16"/>
      <c r="X28" s="16"/>
      <c r="Y28" s="443"/>
      <c r="Z28" s="443"/>
      <c r="AA28" s="12">
        <f t="shared" si="2"/>
        <v>-60.000000000003183</v>
      </c>
      <c r="AB28" s="351">
        <f t="shared" si="44"/>
        <v>0.97499999999999865</v>
      </c>
      <c r="AC28" s="442"/>
    </row>
    <row r="29" spans="1:29" ht="15.75" customHeight="1">
      <c r="A29" s="463" t="s">
        <v>1751</v>
      </c>
      <c r="B29" s="31" t="s">
        <v>67</v>
      </c>
      <c r="C29" s="464" t="s">
        <v>76</v>
      </c>
      <c r="D29" s="464"/>
      <c r="E29" s="31">
        <v>20.52</v>
      </c>
      <c r="F29" s="357">
        <v>2212</v>
      </c>
      <c r="G29" s="346">
        <f t="shared" si="36"/>
        <v>45390.239999999998</v>
      </c>
      <c r="H29" s="359" t="s">
        <v>103</v>
      </c>
      <c r="I29" s="355">
        <v>18</v>
      </c>
      <c r="J29" s="26">
        <v>2400</v>
      </c>
      <c r="K29" s="10">
        <f t="shared" si="43"/>
        <v>133.33333333333334</v>
      </c>
      <c r="L29" s="355">
        <v>18</v>
      </c>
      <c r="M29" s="11">
        <f t="shared" si="37"/>
        <v>2288.2758620689674</v>
      </c>
      <c r="N29" s="10">
        <f t="shared" si="38"/>
        <v>127.1264367816093</v>
      </c>
      <c r="O29" s="12">
        <f t="shared" si="39"/>
        <v>0</v>
      </c>
      <c r="P29" s="13">
        <f t="shared" si="40"/>
        <v>-6.2068965517240429</v>
      </c>
      <c r="Q29" s="351">
        <f>N29/K29</f>
        <v>0.95344827586206971</v>
      </c>
      <c r="R29" s="442"/>
      <c r="S29" s="28">
        <v>0.46111111111111103</v>
      </c>
      <c r="T29" s="28">
        <v>0.50138888888888877</v>
      </c>
      <c r="U29" s="346">
        <f t="shared" si="45"/>
        <v>7.9999999999999716</v>
      </c>
      <c r="V29" s="356">
        <f t="shared" si="42"/>
        <v>57.999999999999957</v>
      </c>
      <c r="W29" s="16"/>
      <c r="X29" s="16"/>
      <c r="Y29" s="443"/>
      <c r="Z29" s="443"/>
      <c r="AA29" s="12">
        <f t="shared" si="2"/>
        <v>-111.7241379310326</v>
      </c>
      <c r="AB29" s="351">
        <f t="shared" si="44"/>
        <v>0.95344827586206971</v>
      </c>
      <c r="AC29" s="442"/>
    </row>
    <row r="30" spans="1:29" ht="15.75" customHeight="1">
      <c r="A30" s="463" t="s">
        <v>1751</v>
      </c>
      <c r="B30" s="31" t="s">
        <v>1678</v>
      </c>
      <c r="C30" s="446"/>
      <c r="D30" s="446"/>
      <c r="E30" s="345"/>
      <c r="F30" s="357"/>
      <c r="G30" s="346"/>
      <c r="H30" s="357"/>
      <c r="I30" s="19">
        <v>18</v>
      </c>
      <c r="J30" s="26">
        <v>2400</v>
      </c>
      <c r="K30" s="10">
        <f t="shared" si="43"/>
        <v>133.33333333333334</v>
      </c>
      <c r="L30" s="19">
        <v>18</v>
      </c>
      <c r="M30" s="11">
        <f>AVERAGE(M23:M29)</f>
        <v>2299.7829312943309</v>
      </c>
      <c r="N30" s="10">
        <f>M30/L30</f>
        <v>127.76571840524061</v>
      </c>
      <c r="O30" s="12">
        <f>L30-I30</f>
        <v>0</v>
      </c>
      <c r="P30" s="13">
        <f>N30-K30</f>
        <v>-5.5676149280927376</v>
      </c>
      <c r="Q30" s="351">
        <f>N30/K30</f>
        <v>0.95824288803930446</v>
      </c>
      <c r="R30" s="442"/>
      <c r="S30" s="28"/>
      <c r="T30" s="28"/>
      <c r="U30" s="346"/>
      <c r="V30" s="356"/>
      <c r="W30" s="346"/>
      <c r="X30" s="346"/>
      <c r="Y30" s="443"/>
      <c r="Z30" s="443"/>
      <c r="AA30" s="12">
        <f t="shared" si="2"/>
        <v>-100.21706870566913</v>
      </c>
      <c r="AB30" s="351">
        <f>M30/J30</f>
        <v>0.95824288803930457</v>
      </c>
      <c r="AC30" s="442"/>
    </row>
    <row r="31" spans="1:29" ht="15.75" customHeight="1">
      <c r="A31" s="461" t="s">
        <v>1675</v>
      </c>
      <c r="B31" s="31" t="s">
        <v>67</v>
      </c>
      <c r="C31" s="441" t="s">
        <v>73</v>
      </c>
      <c r="D31" s="441"/>
      <c r="E31" s="31">
        <v>26.2</v>
      </c>
      <c r="F31" s="357">
        <v>4443</v>
      </c>
      <c r="G31" s="346">
        <f t="shared" ref="G31:G34" si="46">E31*F31</f>
        <v>116406.59999999999</v>
      </c>
      <c r="H31" s="359" t="s">
        <v>103</v>
      </c>
      <c r="I31" s="355">
        <v>18</v>
      </c>
      <c r="J31" s="26">
        <v>2400</v>
      </c>
      <c r="K31" s="10">
        <f>J31/I31</f>
        <v>133.33333333333334</v>
      </c>
      <c r="L31" s="355">
        <v>18</v>
      </c>
      <c r="M31" s="11">
        <f>F31/V31*60</f>
        <v>2298.1034482758619</v>
      </c>
      <c r="N31" s="10">
        <f>M31/L31</f>
        <v>127.67241379310343</v>
      </c>
      <c r="O31" s="12">
        <f t="shared" ref="O31:O34" si="47">L31-I31</f>
        <v>0</v>
      </c>
      <c r="P31" s="13">
        <f t="shared" ref="P31:P42" si="48">N31-K31</f>
        <v>-5.6609195402299122</v>
      </c>
      <c r="Q31" s="351">
        <f t="shared" ref="Q31:Q35" si="49">N31/K31</f>
        <v>0.95754310344827565</v>
      </c>
      <c r="R31" s="442">
        <f>Q35</f>
        <v>0.95410773550303729</v>
      </c>
      <c r="S31" s="28">
        <v>8.3333333333333329E-2</v>
      </c>
      <c r="T31" s="28">
        <v>0.16388888888888889</v>
      </c>
      <c r="U31" s="346"/>
      <c r="V31" s="356">
        <f t="shared" ref="V31:V34" si="50">(T31-S31)*24*60</f>
        <v>116.00000000000001</v>
      </c>
      <c r="W31" s="18">
        <f>T31</f>
        <v>0.16388888888888889</v>
      </c>
      <c r="X31" s="18">
        <f>S32</f>
        <v>0.18263888888888891</v>
      </c>
      <c r="Y31" s="443"/>
      <c r="Z31" s="443"/>
      <c r="AA31" s="12">
        <f t="shared" si="2"/>
        <v>-101.89655172413813</v>
      </c>
      <c r="AB31" s="351">
        <f>M31/J31</f>
        <v>0.95754310344827576</v>
      </c>
      <c r="AC31" s="442">
        <f>AB35</f>
        <v>0.9541077355030374</v>
      </c>
    </row>
    <row r="32" spans="1:29" ht="15.75" customHeight="1">
      <c r="A32" s="461" t="s">
        <v>1675</v>
      </c>
      <c r="B32" s="31" t="s">
        <v>67</v>
      </c>
      <c r="C32" s="441" t="s">
        <v>75</v>
      </c>
      <c r="D32" s="441"/>
      <c r="E32" s="31">
        <v>26.39</v>
      </c>
      <c r="F32" s="357">
        <v>4115</v>
      </c>
      <c r="G32" s="346">
        <f t="shared" si="46"/>
        <v>108594.85</v>
      </c>
      <c r="H32" s="359" t="s">
        <v>103</v>
      </c>
      <c r="I32" s="355">
        <v>19</v>
      </c>
      <c r="J32" s="26">
        <v>2400</v>
      </c>
      <c r="K32" s="10">
        <f t="shared" ref="K32:K35" si="51">J32/I32</f>
        <v>126.31578947368421</v>
      </c>
      <c r="L32" s="355">
        <v>19</v>
      </c>
      <c r="M32" s="11">
        <f t="shared" ref="M32:M34" si="52">F32/V32*60</f>
        <v>2286.1111111111109</v>
      </c>
      <c r="N32" s="10">
        <f t="shared" ref="N32:N34" si="53">M32/L32</f>
        <v>120.32163742690057</v>
      </c>
      <c r="O32" s="12">
        <f t="shared" si="47"/>
        <v>0</v>
      </c>
      <c r="P32" s="13">
        <f t="shared" si="48"/>
        <v>-5.9941520467836398</v>
      </c>
      <c r="Q32" s="351">
        <f t="shared" si="49"/>
        <v>0.95254629629629617</v>
      </c>
      <c r="R32" s="442"/>
      <c r="S32" s="28">
        <v>0.18263888888888891</v>
      </c>
      <c r="T32" s="28">
        <v>0.25763888888888892</v>
      </c>
      <c r="U32" s="346">
        <f>(S32-T31)*24*60</f>
        <v>27.000000000000025</v>
      </c>
      <c r="V32" s="356">
        <f t="shared" si="50"/>
        <v>108.00000000000001</v>
      </c>
      <c r="W32" s="346"/>
      <c r="X32" s="346"/>
      <c r="Y32" s="443"/>
      <c r="Z32" s="443"/>
      <c r="AA32" s="12">
        <f t="shared" si="2"/>
        <v>-113.88888888888914</v>
      </c>
      <c r="AB32" s="351">
        <f t="shared" ref="AB32:AB54" si="54">M32/J32</f>
        <v>0.95254629629629617</v>
      </c>
      <c r="AC32" s="442"/>
    </row>
    <row r="33" spans="1:29">
      <c r="A33" s="462" t="s">
        <v>1675</v>
      </c>
      <c r="B33" s="31" t="s">
        <v>67</v>
      </c>
      <c r="C33" s="441" t="s">
        <v>1167</v>
      </c>
      <c r="D33" s="441"/>
      <c r="E33" s="31">
        <v>24.43</v>
      </c>
      <c r="F33" s="357">
        <v>6357</v>
      </c>
      <c r="G33" s="346">
        <f t="shared" si="46"/>
        <v>155301.51</v>
      </c>
      <c r="H33" s="359" t="s">
        <v>103</v>
      </c>
      <c r="I33" s="355">
        <v>15</v>
      </c>
      <c r="J33" s="26">
        <v>2400</v>
      </c>
      <c r="K33" s="10">
        <f t="shared" si="51"/>
        <v>160</v>
      </c>
      <c r="L33" s="355">
        <v>15</v>
      </c>
      <c r="M33" s="11">
        <f t="shared" si="52"/>
        <v>2283.952095808384</v>
      </c>
      <c r="N33" s="10">
        <f t="shared" si="53"/>
        <v>152.26347305389226</v>
      </c>
      <c r="O33" s="12">
        <f t="shared" si="47"/>
        <v>0</v>
      </c>
      <c r="P33" s="13">
        <f t="shared" si="48"/>
        <v>-7.7365269461077446</v>
      </c>
      <c r="Q33" s="351">
        <f t="shared" si="49"/>
        <v>0.9516467065868266</v>
      </c>
      <c r="R33" s="442"/>
      <c r="S33" s="28">
        <v>0.26250000000000001</v>
      </c>
      <c r="T33" s="28">
        <v>0.37847222222222221</v>
      </c>
      <c r="U33" s="346">
        <f t="shared" ref="U33:U34" si="55">(S33-T32)*24*60</f>
        <v>6.9999999999999751</v>
      </c>
      <c r="V33" s="356">
        <f t="shared" si="50"/>
        <v>166.99999999999997</v>
      </c>
      <c r="W33" s="346"/>
      <c r="X33" s="346"/>
      <c r="Y33" s="443"/>
      <c r="Z33" s="443"/>
      <c r="AA33" s="12">
        <f t="shared" si="2"/>
        <v>-116.047904191616</v>
      </c>
      <c r="AB33" s="351">
        <f t="shared" si="54"/>
        <v>0.95164670658682671</v>
      </c>
      <c r="AC33" s="442"/>
    </row>
    <row r="34" spans="1:29">
      <c r="A34" s="462" t="s">
        <v>1675</v>
      </c>
      <c r="B34" s="31" t="s">
        <v>67</v>
      </c>
      <c r="C34" s="441" t="s">
        <v>1616</v>
      </c>
      <c r="D34" s="441"/>
      <c r="E34" s="31">
        <v>24.25</v>
      </c>
      <c r="F34" s="357">
        <v>8134</v>
      </c>
      <c r="G34" s="346">
        <f t="shared" si="46"/>
        <v>197249.5</v>
      </c>
      <c r="H34" s="359" t="s">
        <v>103</v>
      </c>
      <c r="I34" s="355">
        <v>14</v>
      </c>
      <c r="J34" s="26">
        <v>2400</v>
      </c>
      <c r="K34" s="10">
        <f t="shared" si="51"/>
        <v>171.42857142857142</v>
      </c>
      <c r="L34" s="355">
        <v>14</v>
      </c>
      <c r="M34" s="11">
        <f t="shared" si="52"/>
        <v>2291.2676056338018</v>
      </c>
      <c r="N34" s="10">
        <f t="shared" si="53"/>
        <v>163.66197183098583</v>
      </c>
      <c r="O34" s="12">
        <f t="shared" si="47"/>
        <v>0</v>
      </c>
      <c r="P34" s="13">
        <f t="shared" si="48"/>
        <v>-7.7665995975855822</v>
      </c>
      <c r="Q34" s="351">
        <f t="shared" si="49"/>
        <v>0.95469483568075075</v>
      </c>
      <c r="R34" s="442"/>
      <c r="S34" s="28">
        <v>0.3833333333333333</v>
      </c>
      <c r="T34" s="28">
        <v>0.53125</v>
      </c>
      <c r="U34" s="346">
        <f t="shared" si="55"/>
        <v>6.9999999999999751</v>
      </c>
      <c r="V34" s="356">
        <f t="shared" si="50"/>
        <v>213.00000000000006</v>
      </c>
      <c r="W34" s="16"/>
      <c r="X34" s="16"/>
      <c r="Y34" s="443"/>
      <c r="Z34" s="443"/>
      <c r="AA34" s="12">
        <f t="shared" si="2"/>
        <v>-108.73239436619815</v>
      </c>
      <c r="AB34" s="351">
        <f t="shared" si="54"/>
        <v>0.95469483568075075</v>
      </c>
      <c r="AC34" s="442"/>
    </row>
    <row r="35" spans="1:29">
      <c r="A35" s="462" t="s">
        <v>1675</v>
      </c>
      <c r="B35" s="33" t="s">
        <v>1678</v>
      </c>
      <c r="C35" s="446"/>
      <c r="D35" s="446"/>
      <c r="E35" s="345"/>
      <c r="F35" s="33"/>
      <c r="G35" s="10"/>
      <c r="H35" s="357"/>
      <c r="I35" s="19">
        <v>16.5</v>
      </c>
      <c r="J35" s="26">
        <v>2400</v>
      </c>
      <c r="K35" s="10">
        <f t="shared" si="51"/>
        <v>145.45454545454547</v>
      </c>
      <c r="L35" s="19">
        <v>16.5</v>
      </c>
      <c r="M35" s="11">
        <f>AVERAGE(M31:M34)</f>
        <v>2289.8585652072898</v>
      </c>
      <c r="N35" s="10">
        <f>M35/L35</f>
        <v>138.77930698225998</v>
      </c>
      <c r="O35" s="12">
        <f>L35-I35</f>
        <v>0</v>
      </c>
      <c r="P35" s="13">
        <f t="shared" si="48"/>
        <v>-6.6752384722854856</v>
      </c>
      <c r="Q35" s="351">
        <f t="shared" si="49"/>
        <v>0.95410773550303729</v>
      </c>
      <c r="R35" s="442"/>
      <c r="S35" s="28"/>
      <c r="T35" s="28"/>
      <c r="U35" s="10"/>
      <c r="V35" s="356"/>
      <c r="W35" s="10"/>
      <c r="X35" s="10"/>
      <c r="Y35" s="443"/>
      <c r="Z35" s="443"/>
      <c r="AA35" s="12">
        <f t="shared" si="2"/>
        <v>-110.14143479271024</v>
      </c>
      <c r="AB35" s="351">
        <f t="shared" si="54"/>
        <v>0.9541077355030374</v>
      </c>
      <c r="AC35" s="442"/>
    </row>
    <row r="36" spans="1:29" ht="15.75" customHeight="1">
      <c r="A36" s="453" t="s">
        <v>1679</v>
      </c>
      <c r="B36" s="31" t="s">
        <v>79</v>
      </c>
      <c r="C36" s="444" t="s">
        <v>80</v>
      </c>
      <c r="D36" s="445"/>
      <c r="E36" s="31">
        <v>21.13</v>
      </c>
      <c r="F36" s="357">
        <v>4032</v>
      </c>
      <c r="G36" s="346">
        <v>85196.159999999989</v>
      </c>
      <c r="H36" s="359" t="s">
        <v>103</v>
      </c>
      <c r="I36" s="355">
        <v>10</v>
      </c>
      <c r="J36" s="26">
        <v>3000</v>
      </c>
      <c r="K36" s="10">
        <v>300</v>
      </c>
      <c r="L36" s="355">
        <v>10</v>
      </c>
      <c r="M36" s="11">
        <v>2880</v>
      </c>
      <c r="N36" s="11">
        <v>288</v>
      </c>
      <c r="O36" s="12">
        <v>0</v>
      </c>
      <c r="P36" s="13">
        <v>-12</v>
      </c>
      <c r="Q36" s="351">
        <f>N36/K36</f>
        <v>0.96</v>
      </c>
      <c r="R36" s="456">
        <f>Q42</f>
        <v>0.96305828472368626</v>
      </c>
      <c r="S36" s="28">
        <v>8.3333333333333329E-2</v>
      </c>
      <c r="T36" s="28">
        <v>0.14166666666666666</v>
      </c>
      <c r="U36" s="346"/>
      <c r="V36" s="356">
        <f t="shared" ref="V36:V41" si="56">(T36-S36)*24*60</f>
        <v>84</v>
      </c>
      <c r="W36" s="16">
        <f>T36</f>
        <v>0.14166666666666666</v>
      </c>
      <c r="X36" s="16">
        <f>S37</f>
        <v>0.16180555555555556</v>
      </c>
      <c r="Y36" s="447"/>
      <c r="Z36" s="448"/>
      <c r="AA36" s="12">
        <f t="shared" si="2"/>
        <v>-120</v>
      </c>
      <c r="AB36" s="351">
        <f t="shared" si="54"/>
        <v>0.96</v>
      </c>
      <c r="AC36" s="456">
        <f>AB42</f>
        <v>0.96305828472368615</v>
      </c>
    </row>
    <row r="37" spans="1:29" ht="15.75" customHeight="1">
      <c r="A37" s="454" t="s">
        <v>1679</v>
      </c>
      <c r="B37" s="31" t="s">
        <v>79</v>
      </c>
      <c r="C37" s="444" t="s">
        <v>81</v>
      </c>
      <c r="D37" s="445"/>
      <c r="E37" s="31">
        <v>27.17</v>
      </c>
      <c r="F37" s="357">
        <v>5019</v>
      </c>
      <c r="G37" s="346">
        <v>136366.23000000001</v>
      </c>
      <c r="H37" s="359" t="s">
        <v>103</v>
      </c>
      <c r="I37" s="355">
        <v>10</v>
      </c>
      <c r="J37" s="26">
        <v>3000</v>
      </c>
      <c r="K37" s="10">
        <v>300</v>
      </c>
      <c r="L37" s="355">
        <v>10</v>
      </c>
      <c r="M37" s="11">
        <v>2868.0000000000005</v>
      </c>
      <c r="N37" s="11">
        <v>286.80000000000007</v>
      </c>
      <c r="O37" s="12">
        <v>0</v>
      </c>
      <c r="P37" s="13">
        <v>-13.199999999999932</v>
      </c>
      <c r="Q37" s="351">
        <f t="shared" ref="Q37:Q42" si="57">N37/K37</f>
        <v>0.95600000000000018</v>
      </c>
      <c r="R37" s="457"/>
      <c r="S37" s="28">
        <v>0.16180555555555556</v>
      </c>
      <c r="T37" s="28">
        <v>0.23472222222222222</v>
      </c>
      <c r="U37" s="346">
        <f>(S37-T36)*24*60</f>
        <v>29.000000000000018</v>
      </c>
      <c r="V37" s="356">
        <f t="shared" si="56"/>
        <v>104.99999999999999</v>
      </c>
      <c r="W37" s="16"/>
      <c r="X37" s="16"/>
      <c r="Y37" s="447"/>
      <c r="Z37" s="448"/>
      <c r="AA37" s="12">
        <f t="shared" si="2"/>
        <v>-131.99999999999955</v>
      </c>
      <c r="AB37" s="351">
        <f t="shared" si="54"/>
        <v>0.95600000000000018</v>
      </c>
      <c r="AC37" s="457"/>
    </row>
    <row r="38" spans="1:29" ht="15.75" customHeight="1">
      <c r="A38" s="454" t="s">
        <v>1679</v>
      </c>
      <c r="B38" s="31" t="s">
        <v>79</v>
      </c>
      <c r="C38" s="444" t="s">
        <v>82</v>
      </c>
      <c r="D38" s="445"/>
      <c r="E38" s="31">
        <v>35.119999999999997</v>
      </c>
      <c r="F38" s="357">
        <v>4068</v>
      </c>
      <c r="G38" s="346">
        <v>142868.16</v>
      </c>
      <c r="H38" s="359" t="s">
        <v>103</v>
      </c>
      <c r="I38" s="355">
        <v>10</v>
      </c>
      <c r="J38" s="26">
        <v>3000</v>
      </c>
      <c r="K38" s="10">
        <v>300</v>
      </c>
      <c r="L38" s="355">
        <v>10</v>
      </c>
      <c r="M38" s="11">
        <v>2871.5294117647068</v>
      </c>
      <c r="N38" s="11">
        <v>287.15294117647068</v>
      </c>
      <c r="O38" s="12">
        <v>0</v>
      </c>
      <c r="P38" s="13">
        <v>-12.847058823529323</v>
      </c>
      <c r="Q38" s="351">
        <f t="shared" si="57"/>
        <v>0.95717647058823563</v>
      </c>
      <c r="R38" s="457"/>
      <c r="S38" s="28">
        <v>0.23819444444444443</v>
      </c>
      <c r="T38" s="28">
        <v>0.29722222222222222</v>
      </c>
      <c r="U38" s="346">
        <f t="shared" ref="U38:U39" si="58">(S38-T37)*24*60</f>
        <v>4.9999999999999822</v>
      </c>
      <c r="V38" s="356">
        <f t="shared" si="56"/>
        <v>85.000000000000014</v>
      </c>
      <c r="W38" s="16"/>
      <c r="X38" s="16"/>
      <c r="Y38" s="447"/>
      <c r="Z38" s="448"/>
      <c r="AA38" s="12">
        <f t="shared" si="2"/>
        <v>-128.47058823529323</v>
      </c>
      <c r="AB38" s="351">
        <f t="shared" si="54"/>
        <v>0.95717647058823563</v>
      </c>
      <c r="AC38" s="457"/>
    </row>
    <row r="39" spans="1:29" ht="15.75" customHeight="1">
      <c r="A39" s="454" t="s">
        <v>1679</v>
      </c>
      <c r="B39" s="31" t="s">
        <v>79</v>
      </c>
      <c r="C39" s="444" t="s">
        <v>85</v>
      </c>
      <c r="D39" s="445"/>
      <c r="E39" s="31">
        <v>35.869999999999997</v>
      </c>
      <c r="F39" s="357">
        <v>2984</v>
      </c>
      <c r="G39" s="346">
        <v>107036.07999999999</v>
      </c>
      <c r="H39" s="359" t="s">
        <v>103</v>
      </c>
      <c r="I39" s="355">
        <v>10</v>
      </c>
      <c r="J39" s="26">
        <v>3000</v>
      </c>
      <c r="K39" s="10">
        <v>300</v>
      </c>
      <c r="L39" s="355">
        <v>10</v>
      </c>
      <c r="M39" s="11">
        <v>2887.7419354838698</v>
      </c>
      <c r="N39" s="11">
        <v>288.77419354838696</v>
      </c>
      <c r="O39" s="12">
        <v>0</v>
      </c>
      <c r="P39" s="13">
        <v>-11.225806451613039</v>
      </c>
      <c r="Q39" s="351">
        <f t="shared" si="57"/>
        <v>0.96258064516128983</v>
      </c>
      <c r="R39" s="457"/>
      <c r="S39" s="28">
        <v>0.30277777777777776</v>
      </c>
      <c r="T39" s="28">
        <v>0.34583333333333333</v>
      </c>
      <c r="U39" s="346">
        <f t="shared" si="58"/>
        <v>7.9999999999999716</v>
      </c>
      <c r="V39" s="356">
        <f t="shared" si="56"/>
        <v>62.000000000000021</v>
      </c>
      <c r="W39" s="16"/>
      <c r="X39" s="16"/>
      <c r="Y39" s="447"/>
      <c r="Z39" s="448"/>
      <c r="AA39" s="12">
        <f t="shared" si="2"/>
        <v>-112.25806451613016</v>
      </c>
      <c r="AB39" s="351">
        <f t="shared" si="54"/>
        <v>0.96258064516128994</v>
      </c>
      <c r="AC39" s="457"/>
    </row>
    <row r="40" spans="1:29" ht="15.75" customHeight="1">
      <c r="A40" s="454" t="s">
        <v>1679</v>
      </c>
      <c r="B40" s="31" t="s">
        <v>79</v>
      </c>
      <c r="C40" s="444" t="s">
        <v>86</v>
      </c>
      <c r="D40" s="445"/>
      <c r="E40" s="31">
        <v>36.14</v>
      </c>
      <c r="F40" s="357">
        <v>1730</v>
      </c>
      <c r="G40" s="346">
        <v>62522.200000000004</v>
      </c>
      <c r="H40" s="359" t="s">
        <v>103</v>
      </c>
      <c r="I40" s="355">
        <v>8</v>
      </c>
      <c r="J40" s="26">
        <v>3000</v>
      </c>
      <c r="K40" s="10">
        <v>375</v>
      </c>
      <c r="L40" s="355">
        <v>8</v>
      </c>
      <c r="M40" s="11">
        <v>2883.3333333333308</v>
      </c>
      <c r="N40" s="11">
        <v>360.41666666666634</v>
      </c>
      <c r="O40" s="12">
        <v>0</v>
      </c>
      <c r="P40" s="13">
        <v>-14.583333333333655</v>
      </c>
      <c r="Q40" s="351">
        <f t="shared" si="57"/>
        <v>0.96111111111111025</v>
      </c>
      <c r="R40" s="457"/>
      <c r="S40" s="28">
        <v>0.35</v>
      </c>
      <c r="T40" s="28">
        <v>0.375</v>
      </c>
      <c r="U40" s="346"/>
      <c r="V40" s="356">
        <f t="shared" si="56"/>
        <v>36.000000000000028</v>
      </c>
      <c r="W40" s="16"/>
      <c r="X40" s="16"/>
      <c r="Y40" s="447"/>
      <c r="Z40" s="448"/>
      <c r="AA40" s="12">
        <f t="shared" si="2"/>
        <v>-116.66666666666924</v>
      </c>
      <c r="AB40" s="351">
        <f t="shared" si="54"/>
        <v>0.96111111111111025</v>
      </c>
      <c r="AC40" s="457"/>
    </row>
    <row r="41" spans="1:29" ht="15.75" customHeight="1">
      <c r="A41" s="454" t="s">
        <v>1679</v>
      </c>
      <c r="B41" s="31" t="s">
        <v>79</v>
      </c>
      <c r="C41" s="444" t="s">
        <v>95</v>
      </c>
      <c r="D41" s="445"/>
      <c r="E41" s="31">
        <v>35.369999999999997</v>
      </c>
      <c r="F41" s="357">
        <v>1325</v>
      </c>
      <c r="G41" s="346">
        <v>46865.25</v>
      </c>
      <c r="H41" s="359" t="s">
        <v>103</v>
      </c>
      <c r="I41" s="355">
        <v>10</v>
      </c>
      <c r="J41" s="26">
        <v>3000</v>
      </c>
      <c r="K41" s="10">
        <v>300</v>
      </c>
      <c r="L41" s="355">
        <v>10</v>
      </c>
      <c r="M41" s="11">
        <v>2944.4444444444457</v>
      </c>
      <c r="N41" s="11">
        <v>294.44444444444457</v>
      </c>
      <c r="O41" s="12">
        <v>0</v>
      </c>
      <c r="P41" s="13">
        <v>-5.5555555555554292</v>
      </c>
      <c r="Q41" s="351">
        <f t="shared" si="57"/>
        <v>0.98148148148148195</v>
      </c>
      <c r="R41" s="457"/>
      <c r="S41" s="28">
        <v>0.37916666666666665</v>
      </c>
      <c r="T41" s="28">
        <v>0.39791666666666664</v>
      </c>
      <c r="U41" s="346">
        <f>(S41-T40)*24*60</f>
        <v>5.9999999999999787</v>
      </c>
      <c r="V41" s="356">
        <f t="shared" si="56"/>
        <v>26.999999999999986</v>
      </c>
      <c r="W41" s="16"/>
      <c r="X41" s="16"/>
      <c r="Y41" s="447"/>
      <c r="Z41" s="448"/>
      <c r="AA41" s="12">
        <f t="shared" si="2"/>
        <v>-55.555555555554292</v>
      </c>
      <c r="AB41" s="351">
        <f t="shared" si="54"/>
        <v>0.98148148148148195</v>
      </c>
      <c r="AC41" s="457"/>
    </row>
    <row r="42" spans="1:29" ht="15.75" customHeight="1">
      <c r="A42" s="455" t="s">
        <v>1679</v>
      </c>
      <c r="B42" s="31" t="s">
        <v>1678</v>
      </c>
      <c r="C42" s="459"/>
      <c r="D42" s="460"/>
      <c r="E42" s="352"/>
      <c r="F42" s="357"/>
      <c r="G42" s="346"/>
      <c r="H42" s="357"/>
      <c r="I42" s="19">
        <v>9.6666666666666661</v>
      </c>
      <c r="J42" s="26">
        <v>3000</v>
      </c>
      <c r="K42" s="10">
        <v>310.34482758620692</v>
      </c>
      <c r="L42" s="19">
        <v>9.6666666666666661</v>
      </c>
      <c r="M42" s="11">
        <f>AVERAGE(M36:M41)</f>
        <v>2889.1748541710585</v>
      </c>
      <c r="N42" s="10">
        <f>M42/L42</f>
        <v>298.88015732804058</v>
      </c>
      <c r="O42" s="12">
        <v>0</v>
      </c>
      <c r="P42" s="13">
        <f t="shared" si="48"/>
        <v>-11.464670258166336</v>
      </c>
      <c r="Q42" s="351">
        <f t="shared" si="57"/>
        <v>0.96305828472368626</v>
      </c>
      <c r="R42" s="458"/>
      <c r="S42" s="28"/>
      <c r="T42" s="28"/>
      <c r="U42" s="346"/>
      <c r="V42" s="356"/>
      <c r="W42" s="16"/>
      <c r="X42" s="16"/>
      <c r="Y42" s="447"/>
      <c r="Z42" s="448"/>
      <c r="AA42" s="12">
        <f t="shared" si="2"/>
        <v>-110.82514582894146</v>
      </c>
      <c r="AB42" s="351">
        <f t="shared" si="54"/>
        <v>0.96305828472368615</v>
      </c>
      <c r="AC42" s="458"/>
    </row>
    <row r="43" spans="1:29" ht="15.75" customHeight="1">
      <c r="A43" s="451" t="s">
        <v>1682</v>
      </c>
      <c r="B43" s="31" t="s">
        <v>53</v>
      </c>
      <c r="C43" s="441" t="s">
        <v>87</v>
      </c>
      <c r="D43" s="441"/>
      <c r="E43" s="31">
        <v>46</v>
      </c>
      <c r="F43" s="35">
        <v>2337</v>
      </c>
      <c r="G43" s="346">
        <f t="shared" ref="G43:G48" si="59">E43*F43</f>
        <v>107502</v>
      </c>
      <c r="H43" s="359" t="s">
        <v>103</v>
      </c>
      <c r="I43" s="355">
        <v>17</v>
      </c>
      <c r="J43" s="26">
        <v>2000</v>
      </c>
      <c r="K43" s="10">
        <f t="shared" ref="K43:K48" si="60">J43/I43</f>
        <v>117.64705882352941</v>
      </c>
      <c r="L43" s="355">
        <v>17</v>
      </c>
      <c r="M43" s="11">
        <f t="shared" ref="M43:M48" si="61">F43/V43*60</f>
        <v>1920.8219178082195</v>
      </c>
      <c r="N43" s="11">
        <f>M43/L43</f>
        <v>112.98952457695408</v>
      </c>
      <c r="O43" s="12">
        <f>L43-I43</f>
        <v>0</v>
      </c>
      <c r="P43" s="13">
        <f>N43-K43</f>
        <v>-4.6575342465753238</v>
      </c>
      <c r="Q43" s="351">
        <f>N43/K43</f>
        <v>0.96041095890410977</v>
      </c>
      <c r="R43" s="442">
        <f>Q49</f>
        <v>0.96150183984156334</v>
      </c>
      <c r="S43" s="28">
        <v>0.29166666666666669</v>
      </c>
      <c r="T43" s="28">
        <v>0.34236111111111112</v>
      </c>
      <c r="U43" s="18"/>
      <c r="V43" s="356">
        <f t="shared" ref="V43:V48" si="62">(T43-S43)*24*60</f>
        <v>72.999999999999986</v>
      </c>
      <c r="W43" s="18"/>
      <c r="X43" s="18"/>
      <c r="Y43" s="443"/>
      <c r="Z43" s="443"/>
      <c r="AA43" s="12">
        <f t="shared" si="2"/>
        <v>-79.178082191780504</v>
      </c>
      <c r="AB43" s="351">
        <f t="shared" si="54"/>
        <v>0.96041095890410977</v>
      </c>
      <c r="AC43" s="442">
        <f>AB49</f>
        <v>0.96150183984156323</v>
      </c>
    </row>
    <row r="44" spans="1:29" ht="15.75" customHeight="1">
      <c r="A44" s="451" t="s">
        <v>1682</v>
      </c>
      <c r="B44" s="31" t="s">
        <v>53</v>
      </c>
      <c r="C44" s="441" t="s">
        <v>88</v>
      </c>
      <c r="D44" s="441"/>
      <c r="E44" s="31">
        <v>46</v>
      </c>
      <c r="F44" s="35">
        <v>2603</v>
      </c>
      <c r="G44" s="346">
        <f t="shared" si="59"/>
        <v>119738</v>
      </c>
      <c r="H44" s="359" t="s">
        <v>103</v>
      </c>
      <c r="I44" s="355">
        <v>17</v>
      </c>
      <c r="J44" s="26">
        <v>2000</v>
      </c>
      <c r="K44" s="10">
        <f t="shared" si="60"/>
        <v>117.64705882352941</v>
      </c>
      <c r="L44" s="355">
        <v>17</v>
      </c>
      <c r="M44" s="11">
        <f t="shared" si="61"/>
        <v>1904.6341463414626</v>
      </c>
      <c r="N44" s="11">
        <f t="shared" ref="N44:N48" si="63">M44/L44</f>
        <v>112.03730272596839</v>
      </c>
      <c r="O44" s="12">
        <f t="shared" ref="O44:O48" si="64">L44-I44</f>
        <v>0</v>
      </c>
      <c r="P44" s="13">
        <f t="shared" ref="P44:P48" si="65">N44-K44</f>
        <v>-5.6097560975610179</v>
      </c>
      <c r="Q44" s="351">
        <f t="shared" ref="Q44:Q48" si="66">N44/K44</f>
        <v>0.95231707317073133</v>
      </c>
      <c r="R44" s="442"/>
      <c r="S44" s="28">
        <v>0.34652777777777777</v>
      </c>
      <c r="T44" s="28">
        <v>0.40347222222222223</v>
      </c>
      <c r="U44" s="346">
        <f>IF(S44=TIME(17,0,0),"",(S44-T43)*24*60)</f>
        <v>5.9999999999999787</v>
      </c>
      <c r="V44" s="356">
        <f t="shared" si="62"/>
        <v>82.000000000000028</v>
      </c>
      <c r="W44" s="16"/>
      <c r="X44" s="16"/>
      <c r="Y44" s="443"/>
      <c r="Z44" s="443"/>
      <c r="AA44" s="12">
        <f t="shared" si="2"/>
        <v>-95.365853658537389</v>
      </c>
      <c r="AB44" s="351">
        <f t="shared" si="54"/>
        <v>0.95231707317073133</v>
      </c>
      <c r="AC44" s="442"/>
    </row>
    <row r="45" spans="1:29" ht="15.75" customHeight="1">
      <c r="A45" s="451" t="s">
        <v>1682</v>
      </c>
      <c r="B45" s="31" t="s">
        <v>58</v>
      </c>
      <c r="C45" s="444" t="s">
        <v>168</v>
      </c>
      <c r="D45" s="445"/>
      <c r="E45" s="31">
        <v>54.09</v>
      </c>
      <c r="F45" s="35">
        <v>1085</v>
      </c>
      <c r="G45" s="346">
        <f t="shared" si="59"/>
        <v>58687.65</v>
      </c>
      <c r="H45" s="359" t="s">
        <v>103</v>
      </c>
      <c r="I45" s="355">
        <v>16</v>
      </c>
      <c r="J45" s="26">
        <v>2000</v>
      </c>
      <c r="K45" s="10">
        <f t="shared" si="60"/>
        <v>125</v>
      </c>
      <c r="L45" s="355">
        <v>16</v>
      </c>
      <c r="M45" s="11">
        <f t="shared" si="61"/>
        <v>1914.7058823529387</v>
      </c>
      <c r="N45" s="11">
        <f t="shared" si="63"/>
        <v>119.66911764705867</v>
      </c>
      <c r="O45" s="12">
        <f t="shared" si="64"/>
        <v>0</v>
      </c>
      <c r="P45" s="13">
        <f t="shared" si="65"/>
        <v>-5.3308823529413303</v>
      </c>
      <c r="Q45" s="351">
        <f t="shared" si="66"/>
        <v>0.95735294117646941</v>
      </c>
      <c r="R45" s="442"/>
      <c r="S45" s="28">
        <v>0.40833333333333333</v>
      </c>
      <c r="T45" s="28">
        <v>0.43194444444444446</v>
      </c>
      <c r="U45" s="346">
        <f t="shared" ref="U45:U48" si="67">IF(S45=TIME(17,0,0),"",(S45-T44)*24*60)</f>
        <v>6.9999999999999751</v>
      </c>
      <c r="V45" s="356">
        <f t="shared" si="62"/>
        <v>34.000000000000043</v>
      </c>
      <c r="W45" s="16"/>
      <c r="X45" s="16"/>
      <c r="Y45" s="349"/>
      <c r="Z45" s="350"/>
      <c r="AA45" s="12">
        <f t="shared" si="2"/>
        <v>-85.294117647061285</v>
      </c>
      <c r="AB45" s="351">
        <f t="shared" si="54"/>
        <v>0.95735294117646941</v>
      </c>
      <c r="AC45" s="442"/>
    </row>
    <row r="46" spans="1:29" ht="15.75" customHeight="1">
      <c r="A46" s="451" t="s">
        <v>1682</v>
      </c>
      <c r="B46" s="31" t="s">
        <v>58</v>
      </c>
      <c r="C46" s="347" t="s">
        <v>89</v>
      </c>
      <c r="D46" s="348"/>
      <c r="E46" s="31">
        <v>55.56</v>
      </c>
      <c r="F46" s="35">
        <v>1996</v>
      </c>
      <c r="G46" s="346">
        <f t="shared" si="59"/>
        <v>110897.76000000001</v>
      </c>
      <c r="H46" s="359" t="s">
        <v>103</v>
      </c>
      <c r="I46" s="355">
        <v>17</v>
      </c>
      <c r="J46" s="26">
        <v>2000</v>
      </c>
      <c r="K46" s="10">
        <f t="shared" si="60"/>
        <v>117.64705882352941</v>
      </c>
      <c r="L46" s="355">
        <v>17</v>
      </c>
      <c r="M46" s="11">
        <f t="shared" si="61"/>
        <v>1931.6129032258082</v>
      </c>
      <c r="N46" s="11">
        <f t="shared" si="63"/>
        <v>113.62428842504754</v>
      </c>
      <c r="O46" s="12">
        <f t="shared" si="64"/>
        <v>0</v>
      </c>
      <c r="P46" s="13">
        <f t="shared" si="65"/>
        <v>-4.0227703984818675</v>
      </c>
      <c r="Q46" s="351">
        <f t="shared" si="66"/>
        <v>0.96580645161290413</v>
      </c>
      <c r="R46" s="442"/>
      <c r="S46" s="28">
        <v>0.70833333333333337</v>
      </c>
      <c r="T46" s="28">
        <v>0.75138888888888888</v>
      </c>
      <c r="U46" s="346" t="str">
        <f t="shared" si="67"/>
        <v/>
      </c>
      <c r="V46" s="356">
        <f t="shared" si="62"/>
        <v>61.999999999999943</v>
      </c>
      <c r="W46" s="16"/>
      <c r="X46" s="16"/>
      <c r="Y46" s="349"/>
      <c r="Z46" s="350"/>
      <c r="AA46" s="12">
        <f t="shared" si="2"/>
        <v>-68.387096774191832</v>
      </c>
      <c r="AB46" s="351">
        <f t="shared" si="54"/>
        <v>0.96580645161290413</v>
      </c>
      <c r="AC46" s="442"/>
    </row>
    <row r="47" spans="1:29" ht="15.75" customHeight="1">
      <c r="A47" s="451" t="s">
        <v>1682</v>
      </c>
      <c r="B47" s="31" t="s">
        <v>58</v>
      </c>
      <c r="C47" s="347" t="s">
        <v>90</v>
      </c>
      <c r="D47" s="348"/>
      <c r="E47" s="31">
        <v>55.32</v>
      </c>
      <c r="F47" s="35">
        <v>1482</v>
      </c>
      <c r="G47" s="346">
        <f t="shared" si="59"/>
        <v>81984.240000000005</v>
      </c>
      <c r="H47" s="359" t="s">
        <v>103</v>
      </c>
      <c r="I47" s="355">
        <v>15</v>
      </c>
      <c r="J47" s="26">
        <v>2000</v>
      </c>
      <c r="K47" s="10">
        <f t="shared" si="60"/>
        <v>133.33333333333334</v>
      </c>
      <c r="L47" s="355">
        <v>15</v>
      </c>
      <c r="M47" s="11">
        <f t="shared" si="61"/>
        <v>1933.0434782608697</v>
      </c>
      <c r="N47" s="11">
        <f t="shared" si="63"/>
        <v>128.86956521739131</v>
      </c>
      <c r="O47" s="12">
        <f t="shared" si="64"/>
        <v>0</v>
      </c>
      <c r="P47" s="13">
        <f t="shared" si="65"/>
        <v>-4.463768115942031</v>
      </c>
      <c r="Q47" s="351">
        <f t="shared" si="66"/>
        <v>0.96652173913043482</v>
      </c>
      <c r="R47" s="442"/>
      <c r="S47" s="28">
        <v>0.75555555555555554</v>
      </c>
      <c r="T47" s="28">
        <v>0.78749999999999998</v>
      </c>
      <c r="U47" s="346">
        <f t="shared" si="67"/>
        <v>5.9999999999999787</v>
      </c>
      <c r="V47" s="356">
        <f t="shared" si="62"/>
        <v>46</v>
      </c>
      <c r="W47" s="16"/>
      <c r="X47" s="16"/>
      <c r="Y47" s="349"/>
      <c r="Z47" s="350"/>
      <c r="AA47" s="12">
        <f t="shared" si="2"/>
        <v>-66.956521739130267</v>
      </c>
      <c r="AB47" s="351">
        <f t="shared" si="54"/>
        <v>0.96652173913043482</v>
      </c>
      <c r="AC47" s="442"/>
    </row>
    <row r="48" spans="1:29" ht="15.75" customHeight="1">
      <c r="A48" s="451" t="s">
        <v>1682</v>
      </c>
      <c r="B48" s="31" t="s">
        <v>58</v>
      </c>
      <c r="C48" s="444" t="s">
        <v>91</v>
      </c>
      <c r="D48" s="445"/>
      <c r="E48" s="31">
        <v>57.73</v>
      </c>
      <c r="F48" s="35">
        <v>1283</v>
      </c>
      <c r="G48" s="346">
        <f t="shared" si="59"/>
        <v>74067.59</v>
      </c>
      <c r="H48" s="359" t="s">
        <v>103</v>
      </c>
      <c r="I48" s="355">
        <v>16</v>
      </c>
      <c r="J48" s="26">
        <v>1500</v>
      </c>
      <c r="K48" s="10">
        <f t="shared" si="60"/>
        <v>93.75</v>
      </c>
      <c r="L48" s="355">
        <v>16</v>
      </c>
      <c r="M48" s="11">
        <f t="shared" si="61"/>
        <v>1452.4528301886801</v>
      </c>
      <c r="N48" s="11">
        <f t="shared" si="63"/>
        <v>90.778301886792505</v>
      </c>
      <c r="O48" s="12">
        <f t="shared" si="64"/>
        <v>0</v>
      </c>
      <c r="P48" s="13">
        <f t="shared" si="65"/>
        <v>-2.9716981132074949</v>
      </c>
      <c r="Q48" s="351">
        <f t="shared" si="66"/>
        <v>0.96830188679245344</v>
      </c>
      <c r="R48" s="442"/>
      <c r="S48" s="28">
        <v>0.79097222222222219</v>
      </c>
      <c r="T48" s="28">
        <v>0.82777777777777772</v>
      </c>
      <c r="U48" s="346">
        <f t="shared" si="67"/>
        <v>4.9999999999999822</v>
      </c>
      <c r="V48" s="356">
        <f t="shared" si="62"/>
        <v>52.999999999999972</v>
      </c>
      <c r="W48" s="16"/>
      <c r="X48" s="16"/>
      <c r="Y48" s="447"/>
      <c r="Z48" s="448"/>
      <c r="AA48" s="12">
        <f t="shared" si="2"/>
        <v>-47.547169811319918</v>
      </c>
      <c r="AB48" s="351">
        <f t="shared" si="54"/>
        <v>0.96830188679245344</v>
      </c>
      <c r="AC48" s="442"/>
    </row>
    <row r="49" spans="1:29">
      <c r="A49" s="452" t="s">
        <v>1682</v>
      </c>
      <c r="B49" s="31" t="s">
        <v>1678</v>
      </c>
      <c r="C49" s="446"/>
      <c r="D49" s="446"/>
      <c r="E49" s="345"/>
      <c r="F49" s="33"/>
      <c r="G49" s="10"/>
      <c r="H49" s="357"/>
      <c r="I49" s="19">
        <v>16.333333333333332</v>
      </c>
      <c r="J49" s="26">
        <v>1916.6666666666667</v>
      </c>
      <c r="K49" s="10">
        <f>J49/I49</f>
        <v>117.34693877551021</v>
      </c>
      <c r="L49" s="19">
        <v>16.333333333333332</v>
      </c>
      <c r="M49" s="11">
        <f>AVERAGE(M43:M48)</f>
        <v>1842.8785263629964</v>
      </c>
      <c r="N49" s="10">
        <f>M49/L49</f>
        <v>112.82929753242836</v>
      </c>
      <c r="O49" s="12">
        <f>L49-I49</f>
        <v>0</v>
      </c>
      <c r="P49" s="13">
        <f>N49-K49</f>
        <v>-4.5176412430818544</v>
      </c>
      <c r="Q49" s="351">
        <f>N49/K49</f>
        <v>0.96150183984156334</v>
      </c>
      <c r="R49" s="442"/>
      <c r="S49" s="29"/>
      <c r="T49" s="28"/>
      <c r="U49" s="10"/>
      <c r="V49" s="356"/>
      <c r="W49" s="10"/>
      <c r="X49" s="10"/>
      <c r="Y49" s="443"/>
      <c r="Z49" s="443"/>
      <c r="AA49" s="12">
        <f t="shared" si="2"/>
        <v>-73.788140303670389</v>
      </c>
      <c r="AB49" s="351">
        <f t="shared" si="54"/>
        <v>0.96150183984156323</v>
      </c>
      <c r="AC49" s="442"/>
    </row>
    <row r="50" spans="1:29" ht="15.75" customHeight="1">
      <c r="A50" s="449" t="s">
        <v>1683</v>
      </c>
      <c r="B50" s="357" t="s">
        <v>79</v>
      </c>
      <c r="C50" s="441" t="s">
        <v>94</v>
      </c>
      <c r="D50" s="441"/>
      <c r="E50" s="31">
        <v>26.78</v>
      </c>
      <c r="F50" s="35">
        <v>2549</v>
      </c>
      <c r="G50" s="346">
        <f t="shared" ref="G50:G53" si="68">E50*F50</f>
        <v>68262.22</v>
      </c>
      <c r="H50" s="359" t="s">
        <v>103</v>
      </c>
      <c r="I50" s="355">
        <v>10</v>
      </c>
      <c r="J50" s="26">
        <v>3000</v>
      </c>
      <c r="K50" s="10">
        <f t="shared" ref="K50:K53" si="69">J50/I50</f>
        <v>300</v>
      </c>
      <c r="L50" s="19">
        <v>10</v>
      </c>
      <c r="M50" s="11">
        <f t="shared" ref="M50:M53" si="70">F50/V50*60</f>
        <v>2885.6603773584898</v>
      </c>
      <c r="N50" s="10">
        <f>M50/L50</f>
        <v>288.56603773584897</v>
      </c>
      <c r="O50" s="12">
        <f t="shared" ref="O50:O53" si="71">L50-I50</f>
        <v>0</v>
      </c>
      <c r="P50" s="13">
        <f t="shared" ref="P50:P53" si="72">N50-K50</f>
        <v>-11.433962264151035</v>
      </c>
      <c r="Q50" s="351">
        <f>N50/K50</f>
        <v>0.96188679245282993</v>
      </c>
      <c r="R50" s="442">
        <f>Q54</f>
        <v>0.95841646316228524</v>
      </c>
      <c r="S50" s="28">
        <v>0.20833333333333334</v>
      </c>
      <c r="T50" s="28">
        <v>0.24513888888888891</v>
      </c>
      <c r="U50" s="346"/>
      <c r="V50" s="356">
        <f t="shared" ref="V50:V53" si="73">(T50-S50)*24*60</f>
        <v>53.000000000000014</v>
      </c>
      <c r="W50" s="18"/>
      <c r="X50" s="18"/>
      <c r="Y50" s="443"/>
      <c r="Z50" s="443"/>
      <c r="AA50" s="12">
        <f t="shared" si="2"/>
        <v>-114.33962264151023</v>
      </c>
      <c r="AB50" s="351">
        <f t="shared" si="54"/>
        <v>0.96188679245282993</v>
      </c>
      <c r="AC50" s="442">
        <f>AB54</f>
        <v>0.95841646316228535</v>
      </c>
    </row>
    <row r="51" spans="1:29" ht="15.75" customHeight="1">
      <c r="A51" s="449" t="s">
        <v>1683</v>
      </c>
      <c r="B51" s="357" t="s">
        <v>79</v>
      </c>
      <c r="C51" s="441" t="s">
        <v>97</v>
      </c>
      <c r="D51" s="441"/>
      <c r="E51" s="31">
        <v>35.119999999999997</v>
      </c>
      <c r="F51" s="35">
        <v>1080</v>
      </c>
      <c r="G51" s="346">
        <f t="shared" si="68"/>
        <v>37929.599999999999</v>
      </c>
      <c r="H51" s="359" t="s">
        <v>103</v>
      </c>
      <c r="I51" s="355">
        <v>13</v>
      </c>
      <c r="J51" s="26">
        <v>2000</v>
      </c>
      <c r="K51" s="10">
        <f t="shared" si="69"/>
        <v>153.84615384615384</v>
      </c>
      <c r="L51" s="19">
        <v>13</v>
      </c>
      <c r="M51" s="11">
        <f t="shared" si="70"/>
        <v>1905.8823529411741</v>
      </c>
      <c r="N51" s="10">
        <f t="shared" ref="N51:N53" si="74">M51/L51</f>
        <v>146.60633484162878</v>
      </c>
      <c r="O51" s="12">
        <f t="shared" si="71"/>
        <v>0</v>
      </c>
      <c r="P51" s="13">
        <f t="shared" si="72"/>
        <v>-7.2398190045250601</v>
      </c>
      <c r="Q51" s="351">
        <f t="shared" ref="Q51:Q53" si="75">N51/K51</f>
        <v>0.95294117647058707</v>
      </c>
      <c r="R51" s="442"/>
      <c r="S51" s="28">
        <v>0.25</v>
      </c>
      <c r="T51" s="28">
        <v>0.27361111111111114</v>
      </c>
      <c r="U51" s="346">
        <f>(S51-T50)*24*60</f>
        <v>6.9999999999999751</v>
      </c>
      <c r="V51" s="356">
        <f t="shared" si="73"/>
        <v>34.000000000000043</v>
      </c>
      <c r="W51" s="346"/>
      <c r="X51" s="346"/>
      <c r="Y51" s="443"/>
      <c r="Z51" s="443"/>
      <c r="AA51" s="12">
        <f t="shared" si="2"/>
        <v>-94.117647058825924</v>
      </c>
      <c r="AB51" s="351">
        <f t="shared" si="54"/>
        <v>0.95294117647058707</v>
      </c>
      <c r="AC51" s="442"/>
    </row>
    <row r="52" spans="1:29" ht="15.75" customHeight="1">
      <c r="A52" s="449" t="s">
        <v>1683</v>
      </c>
      <c r="B52" s="357" t="s">
        <v>79</v>
      </c>
      <c r="C52" s="441" t="s">
        <v>98</v>
      </c>
      <c r="D52" s="441"/>
      <c r="E52" s="31">
        <v>35.869999999999997</v>
      </c>
      <c r="F52" s="35">
        <v>2255</v>
      </c>
      <c r="G52" s="346">
        <f t="shared" si="68"/>
        <v>80886.849999999991</v>
      </c>
      <c r="H52" s="359" t="s">
        <v>103</v>
      </c>
      <c r="I52" s="355">
        <v>10</v>
      </c>
      <c r="J52" s="26">
        <v>3000</v>
      </c>
      <c r="K52" s="10">
        <f t="shared" si="69"/>
        <v>300</v>
      </c>
      <c r="L52" s="19">
        <v>10</v>
      </c>
      <c r="M52" s="11">
        <f t="shared" si="70"/>
        <v>2878.7234042553196</v>
      </c>
      <c r="N52" s="10">
        <f t="shared" si="74"/>
        <v>287.87234042553195</v>
      </c>
      <c r="O52" s="12">
        <f t="shared" si="71"/>
        <v>0</v>
      </c>
      <c r="P52" s="13">
        <f t="shared" si="72"/>
        <v>-12.127659574468055</v>
      </c>
      <c r="Q52" s="351">
        <f t="shared" si="75"/>
        <v>0.95957446808510649</v>
      </c>
      <c r="R52" s="442"/>
      <c r="S52" s="28">
        <v>0.27708333333333335</v>
      </c>
      <c r="T52" s="28">
        <v>0.30972222222222223</v>
      </c>
      <c r="U52" s="346">
        <f t="shared" ref="U52:U53" si="76">(S52-T51)*24*60</f>
        <v>4.9999999999999822</v>
      </c>
      <c r="V52" s="356">
        <f t="shared" si="73"/>
        <v>46.999999999999993</v>
      </c>
      <c r="W52" s="346"/>
      <c r="X52" s="346"/>
      <c r="Y52" s="443"/>
      <c r="Z52" s="443"/>
      <c r="AA52" s="12">
        <f t="shared" si="2"/>
        <v>-121.27659574468044</v>
      </c>
      <c r="AB52" s="351">
        <f t="shared" si="54"/>
        <v>0.95957446808510649</v>
      </c>
      <c r="AC52" s="442"/>
    </row>
    <row r="53" spans="1:29" ht="15.75" customHeight="1">
      <c r="A53" s="449" t="s">
        <v>1683</v>
      </c>
      <c r="B53" s="357" t="s">
        <v>53</v>
      </c>
      <c r="C53" s="441" t="s">
        <v>96</v>
      </c>
      <c r="D53" s="441"/>
      <c r="E53" s="31">
        <v>26.97</v>
      </c>
      <c r="F53" s="35">
        <v>2702</v>
      </c>
      <c r="G53" s="346">
        <f t="shared" si="68"/>
        <v>72872.94</v>
      </c>
      <c r="H53" s="359" t="s">
        <v>103</v>
      </c>
      <c r="I53" s="355">
        <v>8</v>
      </c>
      <c r="J53" s="26">
        <v>1500</v>
      </c>
      <c r="K53" s="10">
        <f t="shared" si="69"/>
        <v>187.5</v>
      </c>
      <c r="L53" s="19">
        <v>8</v>
      </c>
      <c r="M53" s="11">
        <f t="shared" si="70"/>
        <v>1434.6902654867258</v>
      </c>
      <c r="N53" s="10">
        <f t="shared" si="74"/>
        <v>179.33628318584073</v>
      </c>
      <c r="O53" s="12">
        <f t="shared" si="71"/>
        <v>0</v>
      </c>
      <c r="P53" s="13">
        <f t="shared" si="72"/>
        <v>-8.1637168141592724</v>
      </c>
      <c r="Q53" s="351">
        <f t="shared" si="75"/>
        <v>0.9564601769911506</v>
      </c>
      <c r="R53" s="442"/>
      <c r="S53" s="28">
        <v>0.31388888888888888</v>
      </c>
      <c r="T53" s="28">
        <v>0.3923611111111111</v>
      </c>
      <c r="U53" s="346">
        <f t="shared" si="76"/>
        <v>5.9999999999999787</v>
      </c>
      <c r="V53" s="356">
        <f t="shared" si="73"/>
        <v>113</v>
      </c>
      <c r="W53" s="346"/>
      <c r="X53" s="346"/>
      <c r="Y53" s="443"/>
      <c r="Z53" s="443"/>
      <c r="AA53" s="12">
        <f t="shared" si="2"/>
        <v>-65.309734513274179</v>
      </c>
      <c r="AB53" s="351">
        <f t="shared" si="54"/>
        <v>0.9564601769911506</v>
      </c>
      <c r="AC53" s="442"/>
    </row>
    <row r="54" spans="1:29">
      <c r="A54" s="450" t="s">
        <v>1683</v>
      </c>
      <c r="B54" s="31" t="s">
        <v>1678</v>
      </c>
      <c r="C54" s="446"/>
      <c r="D54" s="446"/>
      <c r="E54" s="345"/>
      <c r="F54" s="33"/>
      <c r="G54" s="10"/>
      <c r="H54" s="357"/>
      <c r="I54" s="19">
        <v>10.25</v>
      </c>
      <c r="J54" s="26">
        <v>2375</v>
      </c>
      <c r="K54" s="10">
        <f>J54/I54</f>
        <v>231.70731707317074</v>
      </c>
      <c r="L54" s="19">
        <v>10.25</v>
      </c>
      <c r="M54" s="11">
        <f>AVERAGE(M50:M53)</f>
        <v>2276.2391000104276</v>
      </c>
      <c r="N54" s="10">
        <f>M54/L54</f>
        <v>222.0721073180905</v>
      </c>
      <c r="O54" s="12">
        <f>L54-I54</f>
        <v>0</v>
      </c>
      <c r="P54" s="13">
        <f>N54-K54</f>
        <v>-9.6352097550802398</v>
      </c>
      <c r="Q54" s="351">
        <f>N54/K54</f>
        <v>0.95841646316228524</v>
      </c>
      <c r="R54" s="442"/>
      <c r="S54" s="28"/>
      <c r="T54" s="28"/>
      <c r="U54" s="10"/>
      <c r="V54" s="356"/>
      <c r="W54" s="10"/>
      <c r="X54" s="10"/>
      <c r="Y54" s="443"/>
      <c r="Z54" s="443"/>
      <c r="AA54" s="12">
        <f t="shared" si="2"/>
        <v>-98.760899989572408</v>
      </c>
      <c r="AB54" s="351">
        <f t="shared" si="54"/>
        <v>0.95841646316228535</v>
      </c>
      <c r="AC54" s="442"/>
    </row>
    <row r="55" spans="1:29" ht="15.75" customHeight="1">
      <c r="A55" s="439" t="s">
        <v>1686</v>
      </c>
      <c r="B55" s="357" t="s">
        <v>67</v>
      </c>
      <c r="C55" s="441" t="s">
        <v>99</v>
      </c>
      <c r="D55" s="441"/>
      <c r="E55" s="31">
        <v>20.2</v>
      </c>
      <c r="F55" s="357">
        <v>1570</v>
      </c>
      <c r="G55" s="346">
        <f t="shared" ref="G55:G61" si="77">E55*F55</f>
        <v>31714</v>
      </c>
      <c r="H55" s="359" t="s">
        <v>103</v>
      </c>
      <c r="I55" s="355">
        <v>19</v>
      </c>
      <c r="J55" s="26">
        <v>2400</v>
      </c>
      <c r="K55" s="10">
        <f t="shared" ref="K55:K57" si="78">J55/I55</f>
        <v>126.31578947368421</v>
      </c>
      <c r="L55" s="19">
        <v>19</v>
      </c>
      <c r="M55" s="11">
        <f>F55/V55*60</f>
        <v>2297.5609756097565</v>
      </c>
      <c r="N55" s="10">
        <f t="shared" ref="N55:N61" si="79">M55/L55</f>
        <v>120.92426187419771</v>
      </c>
      <c r="O55" s="12">
        <f t="shared" ref="O55:O61" si="80">L55-I55</f>
        <v>0</v>
      </c>
      <c r="P55" s="13">
        <f t="shared" ref="P55:P61" si="81">N55-K55</f>
        <v>-5.3915275994864942</v>
      </c>
      <c r="Q55" s="351">
        <f>N55/K55</f>
        <v>0.95731707317073189</v>
      </c>
      <c r="R55" s="442">
        <f>Q62</f>
        <v>0.96160658920528763</v>
      </c>
      <c r="S55" s="28">
        <v>8.3333333333333329E-2</v>
      </c>
      <c r="T55" s="28">
        <v>0.11180555555555555</v>
      </c>
      <c r="U55" s="18"/>
      <c r="V55" s="356">
        <f t="shared" ref="V55:V61" si="82">(T55-S55)*24*60</f>
        <v>40.999999999999993</v>
      </c>
      <c r="W55" s="16">
        <f>T55</f>
        <v>0.11180555555555555</v>
      </c>
      <c r="X55" s="16">
        <f>S56</f>
        <v>0.13194444444444445</v>
      </c>
      <c r="Y55" s="443"/>
      <c r="Z55" s="443"/>
      <c r="AA55" s="12">
        <f t="shared" si="2"/>
        <v>-102.4390243902435</v>
      </c>
      <c r="AB55" s="351">
        <f>M55/J55</f>
        <v>0.95731707317073189</v>
      </c>
      <c r="AC55" s="442">
        <f>AB62</f>
        <v>0.96160658920528763</v>
      </c>
    </row>
    <row r="56" spans="1:29" ht="15.75" customHeight="1">
      <c r="A56" s="439" t="s">
        <v>1686</v>
      </c>
      <c r="B56" s="357" t="s">
        <v>67</v>
      </c>
      <c r="C56" s="441" t="s">
        <v>100</v>
      </c>
      <c r="D56" s="441"/>
      <c r="E56" s="31">
        <v>19.02</v>
      </c>
      <c r="F56" s="357">
        <v>6583</v>
      </c>
      <c r="G56" s="346">
        <f t="shared" si="77"/>
        <v>125208.66</v>
      </c>
      <c r="H56" s="359" t="s">
        <v>103</v>
      </c>
      <c r="I56" s="355">
        <v>15</v>
      </c>
      <c r="J56" s="26">
        <v>2400</v>
      </c>
      <c r="K56" s="10">
        <f t="shared" si="78"/>
        <v>160</v>
      </c>
      <c r="L56" s="19">
        <v>15</v>
      </c>
      <c r="M56" s="11">
        <f t="shared" ref="M56:M61" si="83">F56/V56*60</f>
        <v>2283.1213872832373</v>
      </c>
      <c r="N56" s="10">
        <f t="shared" si="79"/>
        <v>152.20809248554914</v>
      </c>
      <c r="O56" s="12">
        <f t="shared" si="80"/>
        <v>0</v>
      </c>
      <c r="P56" s="13">
        <f t="shared" si="81"/>
        <v>-7.7919075144508554</v>
      </c>
      <c r="Q56" s="351">
        <f t="shared" ref="Q56:Q62" si="84">N56/K56</f>
        <v>0.95130057803468215</v>
      </c>
      <c r="R56" s="442"/>
      <c r="S56" s="28">
        <v>0.13194444444444445</v>
      </c>
      <c r="T56" s="28">
        <v>0.25208333333333333</v>
      </c>
      <c r="U56" s="346">
        <f>(S56-T55)*24*60</f>
        <v>29.000000000000018</v>
      </c>
      <c r="V56" s="356">
        <f t="shared" si="82"/>
        <v>172.99999999999997</v>
      </c>
      <c r="W56" s="16"/>
      <c r="X56" s="16"/>
      <c r="Y56" s="443"/>
      <c r="Z56" s="443"/>
      <c r="AA56" s="12">
        <f t="shared" si="2"/>
        <v>-116.87861271676275</v>
      </c>
      <c r="AB56" s="351">
        <f t="shared" ref="AB56:AB62" si="85">M56/J56</f>
        <v>0.95130057803468215</v>
      </c>
      <c r="AC56" s="442"/>
    </row>
    <row r="57" spans="1:29" ht="15.75" customHeight="1">
      <c r="A57" s="439" t="s">
        <v>1686</v>
      </c>
      <c r="B57" s="357" t="s">
        <v>67</v>
      </c>
      <c r="C57" s="441" t="s">
        <v>70</v>
      </c>
      <c r="D57" s="441"/>
      <c r="E57" s="31">
        <v>24.25</v>
      </c>
      <c r="F57" s="357">
        <v>2308</v>
      </c>
      <c r="G57" s="346">
        <f t="shared" si="77"/>
        <v>55969</v>
      </c>
      <c r="H57" s="359" t="s">
        <v>103</v>
      </c>
      <c r="I57" s="355">
        <v>18</v>
      </c>
      <c r="J57" s="26">
        <v>2400</v>
      </c>
      <c r="K57" s="10">
        <f t="shared" si="78"/>
        <v>133.33333333333334</v>
      </c>
      <c r="L57" s="19">
        <v>18</v>
      </c>
      <c r="M57" s="11">
        <f t="shared" si="83"/>
        <v>2307.9999999999986</v>
      </c>
      <c r="N57" s="10">
        <f t="shared" si="79"/>
        <v>128.22222222222214</v>
      </c>
      <c r="O57" s="12">
        <f t="shared" si="80"/>
        <v>0</v>
      </c>
      <c r="P57" s="13">
        <f t="shared" si="81"/>
        <v>-5.1111111111111995</v>
      </c>
      <c r="Q57" s="351">
        <f t="shared" si="84"/>
        <v>0.961666666666666</v>
      </c>
      <c r="R57" s="442"/>
      <c r="S57" s="28">
        <v>0.25624999999999998</v>
      </c>
      <c r="T57" s="28">
        <v>0.29791666666666666</v>
      </c>
      <c r="U57" s="346">
        <f t="shared" ref="U57:U61" si="86">(S57-T56)*24*60</f>
        <v>5.9999999999999787</v>
      </c>
      <c r="V57" s="356">
        <f t="shared" si="82"/>
        <v>60.000000000000028</v>
      </c>
      <c r="W57" s="16"/>
      <c r="X57" s="16"/>
      <c r="Y57" s="443"/>
      <c r="Z57" s="443"/>
      <c r="AA57" s="12">
        <f t="shared" si="2"/>
        <v>-92.000000000001364</v>
      </c>
      <c r="AB57" s="351">
        <f t="shared" si="85"/>
        <v>0.96166666666666611</v>
      </c>
      <c r="AC57" s="442"/>
    </row>
    <row r="58" spans="1:29" ht="15.75" customHeight="1">
      <c r="A58" s="439" t="s">
        <v>1686</v>
      </c>
      <c r="B58" s="357" t="s">
        <v>67</v>
      </c>
      <c r="C58" s="441" t="s">
        <v>102</v>
      </c>
      <c r="D58" s="441"/>
      <c r="E58" s="31">
        <v>20.52</v>
      </c>
      <c r="F58" s="357">
        <v>2851</v>
      </c>
      <c r="G58" s="346">
        <f t="shared" si="77"/>
        <v>58502.52</v>
      </c>
      <c r="H58" s="359" t="s">
        <v>103</v>
      </c>
      <c r="I58" s="355">
        <v>18</v>
      </c>
      <c r="J58" s="26">
        <v>2400</v>
      </c>
      <c r="K58" s="10">
        <f>J58/I58</f>
        <v>133.33333333333334</v>
      </c>
      <c r="L58" s="19">
        <v>18</v>
      </c>
      <c r="M58" s="11">
        <f t="shared" si="83"/>
        <v>2311.6216216216221</v>
      </c>
      <c r="N58" s="10">
        <f t="shared" si="79"/>
        <v>128.42342342342346</v>
      </c>
      <c r="O58" s="12">
        <f t="shared" si="80"/>
        <v>0</v>
      </c>
      <c r="P58" s="13">
        <f t="shared" si="81"/>
        <v>-4.9099099099098851</v>
      </c>
      <c r="Q58" s="351">
        <f t="shared" si="84"/>
        <v>0.96317567567567586</v>
      </c>
      <c r="R58" s="442"/>
      <c r="S58" s="28">
        <v>0.30138888888888887</v>
      </c>
      <c r="T58" s="28">
        <v>0.35277777777777775</v>
      </c>
      <c r="U58" s="346">
        <f t="shared" si="86"/>
        <v>4.9999999999999822</v>
      </c>
      <c r="V58" s="356">
        <f t="shared" si="82"/>
        <v>73.999999999999972</v>
      </c>
      <c r="W58" s="16"/>
      <c r="X58" s="16"/>
      <c r="Y58" s="443"/>
      <c r="Z58" s="443"/>
      <c r="AA58" s="12">
        <f t="shared" si="2"/>
        <v>-88.378378378377874</v>
      </c>
      <c r="AB58" s="351">
        <f t="shared" si="85"/>
        <v>0.96317567567567586</v>
      </c>
      <c r="AC58" s="442"/>
    </row>
    <row r="59" spans="1:29" ht="15.75" customHeight="1">
      <c r="A59" s="439" t="s">
        <v>1686</v>
      </c>
      <c r="B59" s="357" t="s">
        <v>67</v>
      </c>
      <c r="C59" s="441" t="s">
        <v>1161</v>
      </c>
      <c r="D59" s="441"/>
      <c r="E59" s="31">
        <v>24.25</v>
      </c>
      <c r="F59" s="357">
        <v>3531</v>
      </c>
      <c r="G59" s="346">
        <f t="shared" si="77"/>
        <v>85626.75</v>
      </c>
      <c r="H59" s="359" t="s">
        <v>103</v>
      </c>
      <c r="I59" s="355">
        <v>17</v>
      </c>
      <c r="J59" s="26">
        <v>2400</v>
      </c>
      <c r="K59" s="10">
        <f t="shared" ref="K59:K62" si="87">J59/I59</f>
        <v>141.1764705882353</v>
      </c>
      <c r="L59" s="19">
        <v>17</v>
      </c>
      <c r="M59" s="11">
        <f t="shared" si="83"/>
        <v>2302.8260869565215</v>
      </c>
      <c r="N59" s="10">
        <f t="shared" si="79"/>
        <v>135.46035805626596</v>
      </c>
      <c r="O59" s="12">
        <f t="shared" si="80"/>
        <v>0</v>
      </c>
      <c r="P59" s="13">
        <f t="shared" si="81"/>
        <v>-5.716112531969344</v>
      </c>
      <c r="Q59" s="351">
        <f t="shared" si="84"/>
        <v>0.95951086956521714</v>
      </c>
      <c r="R59" s="442"/>
      <c r="S59" s="28">
        <v>0.35833333333333328</v>
      </c>
      <c r="T59" s="28">
        <v>0.42222222222222217</v>
      </c>
      <c r="U59" s="346">
        <f t="shared" si="86"/>
        <v>7.9999999999999716</v>
      </c>
      <c r="V59" s="356">
        <f t="shared" si="82"/>
        <v>92</v>
      </c>
      <c r="W59" s="16"/>
      <c r="X59" s="16"/>
      <c r="Y59" s="443"/>
      <c r="Z59" s="443"/>
      <c r="AA59" s="12">
        <f t="shared" si="2"/>
        <v>-97.173913043478478</v>
      </c>
      <c r="AB59" s="351">
        <f t="shared" si="85"/>
        <v>0.95951086956521725</v>
      </c>
      <c r="AC59" s="442"/>
    </row>
    <row r="60" spans="1:29" ht="15.75" customHeight="1">
      <c r="A60" s="439" t="s">
        <v>1686</v>
      </c>
      <c r="B60" s="357" t="s">
        <v>67</v>
      </c>
      <c r="C60" s="441" t="s">
        <v>71</v>
      </c>
      <c r="D60" s="441"/>
      <c r="E60" s="31">
        <v>22.35</v>
      </c>
      <c r="F60" s="357">
        <v>1352</v>
      </c>
      <c r="G60" s="346">
        <f t="shared" si="77"/>
        <v>30217.200000000001</v>
      </c>
      <c r="H60" s="359" t="s">
        <v>103</v>
      </c>
      <c r="I60" s="355">
        <v>16</v>
      </c>
      <c r="J60" s="26">
        <v>2400</v>
      </c>
      <c r="K60" s="10">
        <f t="shared" si="87"/>
        <v>150</v>
      </c>
      <c r="L60" s="19">
        <v>16</v>
      </c>
      <c r="M60" s="11">
        <f t="shared" si="83"/>
        <v>2317.7142857142835</v>
      </c>
      <c r="N60" s="10">
        <f t="shared" si="79"/>
        <v>144.85714285714272</v>
      </c>
      <c r="O60" s="12">
        <f t="shared" si="80"/>
        <v>0</v>
      </c>
      <c r="P60" s="13">
        <f t="shared" si="81"/>
        <v>-5.1428571428572809</v>
      </c>
      <c r="Q60" s="351">
        <f t="shared" si="84"/>
        <v>0.96571428571428475</v>
      </c>
      <c r="R60" s="442"/>
      <c r="S60" s="28">
        <v>0.42638888888888882</v>
      </c>
      <c r="T60" s="28">
        <v>0.4506944444444444</v>
      </c>
      <c r="U60" s="346">
        <f t="shared" si="86"/>
        <v>5.9999999999999787</v>
      </c>
      <c r="V60" s="356">
        <f t="shared" si="82"/>
        <v>35.000000000000036</v>
      </c>
      <c r="W60" s="16"/>
      <c r="X60" s="16"/>
      <c r="Y60" s="443"/>
      <c r="Z60" s="443"/>
      <c r="AA60" s="12">
        <f t="shared" si="2"/>
        <v>-82.285714285716494</v>
      </c>
      <c r="AB60" s="351">
        <f t="shared" si="85"/>
        <v>0.96571428571428475</v>
      </c>
      <c r="AC60" s="442"/>
    </row>
    <row r="61" spans="1:29" ht="15.75" customHeight="1">
      <c r="A61" s="439" t="s">
        <v>1686</v>
      </c>
      <c r="B61" s="357" t="s">
        <v>67</v>
      </c>
      <c r="C61" s="444" t="s">
        <v>74</v>
      </c>
      <c r="D61" s="445"/>
      <c r="E61" s="31">
        <v>24.45</v>
      </c>
      <c r="F61" s="357">
        <v>1595</v>
      </c>
      <c r="G61" s="346">
        <f t="shared" si="77"/>
        <v>38997.75</v>
      </c>
      <c r="H61" s="359" t="s">
        <v>103</v>
      </c>
      <c r="I61" s="355">
        <v>20</v>
      </c>
      <c r="J61" s="26">
        <v>2400</v>
      </c>
      <c r="K61" s="10">
        <f t="shared" si="87"/>
        <v>120</v>
      </c>
      <c r="L61" s="19">
        <v>20</v>
      </c>
      <c r="M61" s="11">
        <f t="shared" si="83"/>
        <v>2334.146341463414</v>
      </c>
      <c r="N61" s="10">
        <f t="shared" si="79"/>
        <v>116.7073170731707</v>
      </c>
      <c r="O61" s="12">
        <f t="shared" si="80"/>
        <v>0</v>
      </c>
      <c r="P61" s="13">
        <f t="shared" si="81"/>
        <v>-3.2926829268293005</v>
      </c>
      <c r="Q61" s="351">
        <f t="shared" si="84"/>
        <v>0.97256097560975585</v>
      </c>
      <c r="R61" s="442"/>
      <c r="S61" s="28">
        <v>0.45555555555555549</v>
      </c>
      <c r="T61" s="28">
        <v>0.48402777777777772</v>
      </c>
      <c r="U61" s="346">
        <f t="shared" si="86"/>
        <v>6.9999999999999751</v>
      </c>
      <c r="V61" s="356">
        <f t="shared" si="82"/>
        <v>41.000000000000014</v>
      </c>
      <c r="W61" s="16"/>
      <c r="X61" s="16"/>
      <c r="Y61" s="447"/>
      <c r="Z61" s="448"/>
      <c r="AA61" s="12">
        <f t="shared" si="2"/>
        <v>-65.853658536585954</v>
      </c>
      <c r="AB61" s="351">
        <f t="shared" si="85"/>
        <v>0.97256097560975585</v>
      </c>
      <c r="AC61" s="442"/>
    </row>
    <row r="62" spans="1:29" ht="16.5" customHeight="1">
      <c r="A62" s="440" t="s">
        <v>1686</v>
      </c>
      <c r="B62" s="31" t="s">
        <v>1678</v>
      </c>
      <c r="C62" s="446"/>
      <c r="D62" s="446"/>
      <c r="E62" s="345"/>
      <c r="F62" s="33"/>
      <c r="G62" s="10"/>
      <c r="H62" s="357"/>
      <c r="I62" s="19">
        <v>17.571428571428573</v>
      </c>
      <c r="J62" s="26">
        <v>2400</v>
      </c>
      <c r="K62" s="10">
        <f t="shared" si="87"/>
        <v>136.58536585365852</v>
      </c>
      <c r="L62" s="19">
        <v>17.571428571428573</v>
      </c>
      <c r="M62" s="11">
        <f>AVERAGE(M55:M61)</f>
        <v>2307.8558140926903</v>
      </c>
      <c r="N62" s="10">
        <f>M62/L62</f>
        <v>131.34138779389292</v>
      </c>
      <c r="O62" s="12">
        <f>L62-I62</f>
        <v>0</v>
      </c>
      <c r="P62" s="13">
        <f>N62-K62</f>
        <v>-5.2439780597655954</v>
      </c>
      <c r="Q62" s="351">
        <f t="shared" si="84"/>
        <v>0.96160658920528763</v>
      </c>
      <c r="R62" s="442"/>
      <c r="S62" s="28"/>
      <c r="T62" s="28"/>
      <c r="U62" s="10"/>
      <c r="V62" s="356"/>
      <c r="W62" s="10"/>
      <c r="X62" s="10"/>
      <c r="Y62" s="443"/>
      <c r="Z62" s="443"/>
      <c r="AA62" s="12">
        <f t="shared" si="2"/>
        <v>-92.144185907309748</v>
      </c>
      <c r="AB62" s="351">
        <f t="shared" si="85"/>
        <v>0.96160658920528763</v>
      </c>
      <c r="AC62" s="442"/>
    </row>
    <row r="63" spans="1:29">
      <c r="D63" s="22"/>
      <c r="E63" s="22"/>
    </row>
  </sheetData>
  <mergeCells count="172">
    <mergeCell ref="Y61:Z61"/>
    <mergeCell ref="AC43:AC49"/>
    <mergeCell ref="C44:D44"/>
    <mergeCell ref="Y44:Z44"/>
    <mergeCell ref="C45:D45"/>
    <mergeCell ref="C48:D48"/>
    <mergeCell ref="Y48:Z48"/>
    <mergeCell ref="A55:A62"/>
    <mergeCell ref="C55:D55"/>
    <mergeCell ref="R55:R62"/>
    <mergeCell ref="Y55:Z55"/>
    <mergeCell ref="AC55:AC62"/>
    <mergeCell ref="C56:D56"/>
    <mergeCell ref="Y56:Z56"/>
    <mergeCell ref="C57:D57"/>
    <mergeCell ref="Y57:Z57"/>
    <mergeCell ref="C58:D58"/>
    <mergeCell ref="C62:D62"/>
    <mergeCell ref="Y62:Z62"/>
    <mergeCell ref="Y58:Z58"/>
    <mergeCell ref="C59:D59"/>
    <mergeCell ref="Y59:Z59"/>
    <mergeCell ref="C60:D60"/>
    <mergeCell ref="Y60:Z60"/>
    <mergeCell ref="C61:D61"/>
    <mergeCell ref="AC50:AC54"/>
    <mergeCell ref="C51:D51"/>
    <mergeCell ref="Y51:Z51"/>
    <mergeCell ref="C52:D52"/>
    <mergeCell ref="Y52:Z52"/>
    <mergeCell ref="C53:D53"/>
    <mergeCell ref="Y53:Z53"/>
    <mergeCell ref="C54:D54"/>
    <mergeCell ref="Y54:Z54"/>
    <mergeCell ref="C49:D49"/>
    <mergeCell ref="Y49:Z49"/>
    <mergeCell ref="A50:A54"/>
    <mergeCell ref="C50:D50"/>
    <mergeCell ref="R50:R54"/>
    <mergeCell ref="Y50:Z50"/>
    <mergeCell ref="A43:A49"/>
    <mergeCell ref="C43:D43"/>
    <mergeCell ref="R43:R49"/>
    <mergeCell ref="Y43:Z43"/>
    <mergeCell ref="A36:A42"/>
    <mergeCell ref="C36:D36"/>
    <mergeCell ref="R36:R42"/>
    <mergeCell ref="Y36:Z36"/>
    <mergeCell ref="AC36:AC42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Y42:Z42"/>
    <mergeCell ref="AC31:AC35"/>
    <mergeCell ref="C32:D32"/>
    <mergeCell ref="Y32:Z32"/>
    <mergeCell ref="C33:D33"/>
    <mergeCell ref="Y33:Z33"/>
    <mergeCell ref="C34:D34"/>
    <mergeCell ref="Y34:Z34"/>
    <mergeCell ref="C35:D35"/>
    <mergeCell ref="Y35:Z35"/>
    <mergeCell ref="A31:A35"/>
    <mergeCell ref="C31:D31"/>
    <mergeCell ref="R31:R35"/>
    <mergeCell ref="Y31:Z31"/>
    <mergeCell ref="Y26:Z26"/>
    <mergeCell ref="C27:D27"/>
    <mergeCell ref="Y27:Z27"/>
    <mergeCell ref="C28:D28"/>
    <mergeCell ref="Y28:Z28"/>
    <mergeCell ref="C29:D29"/>
    <mergeCell ref="Y29:Z29"/>
    <mergeCell ref="A23:A30"/>
    <mergeCell ref="C23:D23"/>
    <mergeCell ref="R23:R30"/>
    <mergeCell ref="Y23:Z23"/>
    <mergeCell ref="AC23:AC30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C30:D30"/>
    <mergeCell ref="Y30:Z30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3:O60 O62 O5:O12 O16:O50">
    <cfRule type="cellIs" dxfId="1572" priority="37" operator="greaterThan">
      <formula>0</formula>
    </cfRule>
  </conditionalFormatting>
  <conditionalFormatting sqref="P5:P7 P53 AA53 P55:P60 P23:P29 P50 P9:P12 P17:P21 P43:P48 P31:P41 AA5:AA50 AA55:AA62">
    <cfRule type="cellIs" dxfId="1571" priority="41" operator="lessThan">
      <formula>0</formula>
    </cfRule>
  </conditionalFormatting>
  <conditionalFormatting sqref="AB53 Q53:Q60 Q62 Q5:Q12 AB5:AB50 AB55:AB62 Q16:Q50">
    <cfRule type="cellIs" dxfId="1570" priority="38" operator="greaterThan">
      <formula>1</formula>
    </cfRule>
    <cfRule type="cellIs" dxfId="1569" priority="39" operator="lessThan">
      <formula>0.8</formula>
    </cfRule>
  </conditionalFormatting>
  <conditionalFormatting sqref="AC11:AC12 R11:R12 AC53 R53:R60 R62 AC5:AC9 R5:R9 AC16:AC50 R16:R50">
    <cfRule type="cellIs" dxfId="1568" priority="43" operator="lessThan">
      <formula>0.8</formula>
    </cfRule>
  </conditionalFormatting>
  <conditionalFormatting sqref="AC36">
    <cfRule type="cellIs" dxfId="1567" priority="45" operator="lessThan">
      <formula>0.8</formula>
    </cfRule>
  </conditionalFormatting>
  <conditionalFormatting sqref="AC17:AC21">
    <cfRule type="cellIs" dxfId="1566" priority="42" operator="lessThan">
      <formula>0.8</formula>
    </cfRule>
  </conditionalFormatting>
  <conditionalFormatting sqref="AC23">
    <cfRule type="cellIs" dxfId="1565" priority="44" operator="lessThan">
      <formula>0.8</formula>
    </cfRule>
  </conditionalFormatting>
  <conditionalFormatting sqref="AC31:AC34">
    <cfRule type="cellIs" dxfId="1564" priority="40" operator="lessThan">
      <formula>0.8</formula>
    </cfRule>
  </conditionalFormatting>
  <conditionalFormatting sqref="AA54">
    <cfRule type="cellIs" dxfId="1563" priority="36" operator="lessThan">
      <formula>0</formula>
    </cfRule>
  </conditionalFormatting>
  <conditionalFormatting sqref="AB54">
    <cfRule type="cellIs" dxfId="1562" priority="34" operator="greaterThan">
      <formula>1</formula>
    </cfRule>
    <cfRule type="cellIs" dxfId="1561" priority="35" operator="lessThan">
      <formula>0.8</formula>
    </cfRule>
  </conditionalFormatting>
  <conditionalFormatting sqref="O13:O14">
    <cfRule type="cellIs" dxfId="1560" priority="29" operator="greaterThan">
      <formula>0</formula>
    </cfRule>
  </conditionalFormatting>
  <conditionalFormatting sqref="P13:P14">
    <cfRule type="cellIs" dxfId="1559" priority="32" operator="lessThan">
      <formula>0</formula>
    </cfRule>
  </conditionalFormatting>
  <conditionalFormatting sqref="Q13:Q14">
    <cfRule type="cellIs" dxfId="1558" priority="30" operator="greaterThan">
      <formula>1</formula>
    </cfRule>
    <cfRule type="cellIs" dxfId="1557" priority="31" operator="lessThan">
      <formula>0.8</formula>
    </cfRule>
  </conditionalFormatting>
  <conditionalFormatting sqref="R13:R14 AC13:AC14">
    <cfRule type="cellIs" dxfId="1556" priority="33" operator="lessThan">
      <formula>0.8</formula>
    </cfRule>
  </conditionalFormatting>
  <conditionalFormatting sqref="O52">
    <cfRule type="cellIs" dxfId="1555" priority="24" operator="greaterThan">
      <formula>0</formula>
    </cfRule>
  </conditionalFormatting>
  <conditionalFormatting sqref="P52 AA52">
    <cfRule type="cellIs" dxfId="1554" priority="27" operator="lessThan">
      <formula>0</formula>
    </cfRule>
  </conditionalFormatting>
  <conditionalFormatting sqref="Q52 AB52">
    <cfRule type="cellIs" dxfId="1553" priority="25" operator="greaterThan">
      <formula>1</formula>
    </cfRule>
    <cfRule type="cellIs" dxfId="1552" priority="26" operator="lessThan">
      <formula>0.8</formula>
    </cfRule>
  </conditionalFormatting>
  <conditionalFormatting sqref="R52 AC52">
    <cfRule type="cellIs" dxfId="1551" priority="28" operator="lessThan">
      <formula>0.8</formula>
    </cfRule>
  </conditionalFormatting>
  <conditionalFormatting sqref="O61">
    <cfRule type="cellIs" dxfId="1550" priority="19" operator="greaterThan">
      <formula>0</formula>
    </cfRule>
  </conditionalFormatting>
  <conditionalFormatting sqref="P61">
    <cfRule type="cellIs" dxfId="1549" priority="22" operator="lessThan">
      <formula>0</formula>
    </cfRule>
  </conditionalFormatting>
  <conditionalFormatting sqref="Q61">
    <cfRule type="cellIs" dxfId="1548" priority="20" operator="greaterThan">
      <formula>1</formula>
    </cfRule>
    <cfRule type="cellIs" dxfId="1547" priority="21" operator="lessThan">
      <formula>0.8</formula>
    </cfRule>
  </conditionalFormatting>
  <conditionalFormatting sqref="R61">
    <cfRule type="cellIs" dxfId="1546" priority="23" operator="lessThan">
      <formula>0.8</formula>
    </cfRule>
  </conditionalFormatting>
  <conditionalFormatting sqref="O15">
    <cfRule type="cellIs" dxfId="1545" priority="14" operator="greaterThan">
      <formula>0</formula>
    </cfRule>
  </conditionalFormatting>
  <conditionalFormatting sqref="P15">
    <cfRule type="cellIs" dxfId="1544" priority="17" operator="lessThan">
      <formula>0</formula>
    </cfRule>
  </conditionalFormatting>
  <conditionalFormatting sqref="Q15">
    <cfRule type="cellIs" dxfId="1543" priority="15" operator="greaterThan">
      <formula>1</formula>
    </cfRule>
    <cfRule type="cellIs" dxfId="1542" priority="16" operator="lessThan">
      <formula>0.8</formula>
    </cfRule>
  </conditionalFormatting>
  <conditionalFormatting sqref="R15 AC15">
    <cfRule type="cellIs" dxfId="1541" priority="18" operator="lessThan">
      <formula>0.8</formula>
    </cfRule>
  </conditionalFormatting>
  <conditionalFormatting sqref="O51">
    <cfRule type="cellIs" dxfId="1540" priority="9" operator="greaterThan">
      <formula>0</formula>
    </cfRule>
  </conditionalFormatting>
  <conditionalFormatting sqref="P51 AA51">
    <cfRule type="cellIs" dxfId="1539" priority="12" operator="lessThan">
      <formula>0</formula>
    </cfRule>
  </conditionalFormatting>
  <conditionalFormatting sqref="Q51 AB51">
    <cfRule type="cellIs" dxfId="1538" priority="10" operator="greaterThan">
      <formula>1</formula>
    </cfRule>
    <cfRule type="cellIs" dxfId="1537" priority="11" operator="lessThan">
      <formula>0.8</formula>
    </cfRule>
  </conditionalFormatting>
  <conditionalFormatting sqref="R51 AC51">
    <cfRule type="cellIs" dxfId="1536" priority="13" operator="lessThan">
      <formula>0.8</formula>
    </cfRule>
  </conditionalFormatting>
  <conditionalFormatting sqref="P8">
    <cfRule type="cellIs" dxfId="1535" priority="8" operator="lessThan">
      <formula>0</formula>
    </cfRule>
  </conditionalFormatting>
  <conditionalFormatting sqref="P16">
    <cfRule type="cellIs" dxfId="1534" priority="7" operator="lessThan">
      <formula>0</formula>
    </cfRule>
  </conditionalFormatting>
  <conditionalFormatting sqref="P22">
    <cfRule type="cellIs" dxfId="1533" priority="6" operator="lessThan">
      <formula>0</formula>
    </cfRule>
  </conditionalFormatting>
  <conditionalFormatting sqref="P30">
    <cfRule type="cellIs" dxfId="1532" priority="5" operator="lessThan">
      <formula>0</formula>
    </cfRule>
  </conditionalFormatting>
  <conditionalFormatting sqref="P49">
    <cfRule type="cellIs" dxfId="1531" priority="4" operator="lessThan">
      <formula>0</formula>
    </cfRule>
  </conditionalFormatting>
  <conditionalFormatting sqref="P54">
    <cfRule type="cellIs" dxfId="1530" priority="3" operator="lessThan">
      <formula>0</formula>
    </cfRule>
  </conditionalFormatting>
  <conditionalFormatting sqref="P62">
    <cfRule type="cellIs" dxfId="1529" priority="2" operator="lessThan">
      <formula>0</formula>
    </cfRule>
  </conditionalFormatting>
  <conditionalFormatting sqref="P42">
    <cfRule type="cellIs" dxfId="1528" priority="1" operator="lessThan">
      <formula>0</formula>
    </cfRule>
  </conditionalFormatting>
  <dataValidations count="1">
    <dataValidation type="list" allowBlank="1" showInputMessage="1" showErrorMessage="1" sqref="Z8 Y5:Z7 Y8:Y53 Z10:Z50 Y54:Z6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B7" zoomScale="85" zoomScaleNormal="85" workbookViewId="0">
      <selection activeCell="E7" sqref="E7:F7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170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61" t="s">
        <v>1800</v>
      </c>
      <c r="C3" s="420" t="str">
        <f>TEXT('0926 4度C'!A2,"yyyy.mm.ddaaaa")</f>
        <v>2025.09.26星期五</v>
      </c>
      <c r="D3" s="421"/>
      <c r="E3" s="361" t="s">
        <v>1801</v>
      </c>
      <c r="F3" s="422">
        <f>'0926 4度C'!D1</f>
        <v>133617</v>
      </c>
      <c r="G3" s="423"/>
      <c r="H3" s="361" t="s">
        <v>1802</v>
      </c>
      <c r="I3" s="424">
        <f>'0926 4度C'!F1</f>
        <v>4389261.03</v>
      </c>
      <c r="J3" s="425"/>
      <c r="K3" s="45"/>
      <c r="L3" s="46"/>
      <c r="M3" s="47"/>
      <c r="N3" s="47"/>
    </row>
    <row r="4" spans="2:17" ht="28.5" customHeight="1">
      <c r="B4" s="426" t="s">
        <v>1803</v>
      </c>
      <c r="C4" s="429" t="s">
        <v>1804</v>
      </c>
      <c r="D4" s="430"/>
      <c r="E4" s="431" t="s">
        <v>1805</v>
      </c>
      <c r="F4" s="432"/>
      <c r="G4" s="431" t="s">
        <v>1806</v>
      </c>
      <c r="H4" s="432"/>
      <c r="I4" s="431" t="s">
        <v>1807</v>
      </c>
      <c r="J4" s="432"/>
      <c r="L4" s="47"/>
      <c r="M4" s="47"/>
      <c r="N4" s="47"/>
    </row>
    <row r="5" spans="2:17" ht="28.5" customHeight="1">
      <c r="B5" s="427"/>
      <c r="C5" s="429" t="s">
        <v>1808</v>
      </c>
      <c r="D5" s="430"/>
      <c r="E5" s="429" t="s">
        <v>1627</v>
      </c>
      <c r="F5" s="430"/>
      <c r="G5" s="433" t="s">
        <v>1809</v>
      </c>
      <c r="H5" s="434"/>
      <c r="I5" s="435" t="s">
        <v>1810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149.55969079083579</v>
      </c>
      <c r="F6" s="438">
        <f>AVERAGE(D27:O27,D13:J13)</f>
        <v>154.31766618097438</v>
      </c>
      <c r="G6" s="399">
        <f>AVERAGE(D13:J13)</f>
        <v>154.31766618097438</v>
      </c>
      <c r="H6" s="400"/>
      <c r="I6" s="399">
        <f>AVERAGE(K13:M13)</f>
        <v>138.45774821384578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143.56120879806511</v>
      </c>
      <c r="F7" s="406">
        <f>AVERAGE(D28:O28,D14:J14)</f>
        <v>148.2851592956977</v>
      </c>
      <c r="G7" s="407">
        <f>AVERAGE(D14:J14)</f>
        <v>148.2851592956977</v>
      </c>
      <c r="H7" s="408"/>
      <c r="I7" s="407">
        <f>AVERAGE(K14:M14)</f>
        <v>132.53865763692235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0.95966965233624468</v>
      </c>
      <c r="F8" s="410">
        <f>AVERAGE(D15:J15,D29:O29)</f>
        <v>0.96067704410654309</v>
      </c>
      <c r="G8" s="411">
        <f>AVERAGE(D15:J15)</f>
        <v>0.96067704410654309</v>
      </c>
      <c r="H8" s="412"/>
      <c r="I8" s="411">
        <f>AVERAGE(K15:M15)</f>
        <v>0.95731907153888163</v>
      </c>
      <c r="J8" s="412"/>
      <c r="K8" s="48" t="s">
        <v>1811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1812</v>
      </c>
      <c r="C10" s="414"/>
      <c r="D10" s="415" t="s">
        <v>1813</v>
      </c>
      <c r="E10" s="416"/>
      <c r="F10" s="416"/>
      <c r="G10" s="416"/>
      <c r="H10" s="416"/>
      <c r="I10" s="416"/>
      <c r="J10" s="417"/>
      <c r="K10" s="389" t="s">
        <v>1814</v>
      </c>
      <c r="L10" s="390"/>
      <c r="M10" s="391"/>
      <c r="P10" s="51"/>
      <c r="Q10" s="51"/>
    </row>
    <row r="11" spans="2:17" ht="17.25" customHeight="1">
      <c r="B11" s="392" t="s">
        <v>1815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1816</v>
      </c>
      <c r="C13" s="58" t="s">
        <v>1817</v>
      </c>
      <c r="D13" s="59">
        <f>SUMIFS('0926 4度C'!$K:$K,'0926 4度C'!$A:$A,"新豐6線",'0926 4度C'!$B:$B,"平均")</f>
        <v>125</v>
      </c>
      <c r="E13" s="60">
        <f>SUMIFS('0926 4度C'!$K:$K,'0926 4度C'!$A:$A,"新豐2線",'0926 4度C'!$B:$B,"平均")</f>
        <v>88.235294117647058</v>
      </c>
      <c r="F13" s="61">
        <f>SUMIFS('0926 4度C'!$K:$K,'0926 4度C'!$A:$A,"新豐5線",'0926 4度C'!$B:$B,"平均")</f>
        <v>88.541666666666671</v>
      </c>
      <c r="G13" s="61">
        <f>SUMIFS('0926 4度C'!$K:$K,'0926 4度C'!$A:$A,"新豐7線",'0926 4度C'!$B:$B,"平均")</f>
        <v>119.04761904761904</v>
      </c>
      <c r="H13" s="61">
        <f>SUMIFS('0926 4度C'!$K:$K,'0926 4度C'!$A:$A,"新豐3線",'0926 4度C'!$B:$B,"平均")</f>
        <v>310.34482758620692</v>
      </c>
      <c r="I13" s="61">
        <f>SUMIFS('0926 4度C'!$K:$K,'0926 4度C'!$A:$A,"新豐1線",'0926 4度C'!$B:$B,"平均")</f>
        <v>117.34693877551021</v>
      </c>
      <c r="J13" s="62">
        <f>SUMIFS('0926 4度C'!$K:$K,'0926 4度C'!$A:$A,"新豐10線",'0926 4度C'!$B:$B,"平均")</f>
        <v>231.70731707317074</v>
      </c>
      <c r="K13" s="63">
        <f>SUMIFS('0926 4度C'!$K:$K,'0926 4度C'!$A:$A,"新豐8線",'0926 4度C'!$B:$B,"平均")</f>
        <v>133.33333333333334</v>
      </c>
      <c r="L13" s="64">
        <f>SUMIFS('0926 4度C'!$K:$K,'0926 4度C'!$A:$A,"新豐9線",'0926 4度C'!$B:$B,"平均")</f>
        <v>145.45454545454547</v>
      </c>
      <c r="M13" s="62">
        <f>SUMIFS('0926 4度C'!$K:$K,'0926 4度C'!$A:$A,"新豐4線",'0926 4度C'!$B:$B,"平均")</f>
        <v>136.58536585365852</v>
      </c>
    </row>
    <row r="14" spans="2:17" ht="39.6" customHeight="1">
      <c r="B14" s="397"/>
      <c r="C14" s="65" t="s">
        <v>1818</v>
      </c>
      <c r="D14" s="66">
        <f>SUMIFS('0926 4度C'!$N:$N,'0926 4度C'!$A:$A,"新豐6線",'0926 4度C'!$B:$B,"平均")</f>
        <v>121.24043848308573</v>
      </c>
      <c r="E14" s="67">
        <f>SUMIFS('0926 4度C'!$N:$N,'0926 4度C'!$A:$A,"新豐2線",'0926 4度C'!$B:$B,"平均")</f>
        <v>84.483152484294692</v>
      </c>
      <c r="F14" s="67">
        <f>SUMIFS('0926 4度C'!$N:$N,'0926 4度C'!$A:$A,"新豐5線",'0926 4度C'!$B:$B,"平均")</f>
        <v>84.638813511582057</v>
      </c>
      <c r="G14" s="67">
        <f>SUMIFS('0926 4度C'!$N:$N,'0926 4度C'!$A:$A,"新豐7線",'0926 4度C'!$B:$B,"平均")</f>
        <v>114.19046999141538</v>
      </c>
      <c r="H14" s="67">
        <f>SUMIFS('0926 4度C'!$N:$N,'0926 4度C'!$A:$A,"新豐3線",'0926 4度C'!$B:$B,"平均")</f>
        <v>298.93163344019098</v>
      </c>
      <c r="I14" s="67">
        <f>SUMIFS('0926 4度C'!$N:$N,'0926 4度C'!$A:$A,"新豐1線",'0926 4度C'!$B:$B,"平均")</f>
        <v>113.00981254689903</v>
      </c>
      <c r="J14" s="68">
        <f>SUMIFS('0926 4度C'!$N:$N,'0926 4度C'!$A:$A,"新豐10線",'0926 4度C'!$B:$B,"平均")</f>
        <v>221.50179461241609</v>
      </c>
      <c r="K14" s="69">
        <f>SUMIFS('0926 4度C'!$N:$N,'0926 4度C'!$A:$A,"新豐8線",'0926 4度C'!$B:$B,"平均")</f>
        <v>127.97905528104954</v>
      </c>
      <c r="L14" s="70">
        <f>SUMIFS('0926 4度C'!$N:$N,'0926 4度C'!$A:$A,"新豐9線",'0926 4度C'!$B:$B,"平均")</f>
        <v>138.90941710771426</v>
      </c>
      <c r="M14" s="68">
        <f>SUMIFS('0926 4度C'!$N:$N,'0926 4度C'!$A:$A,"新豐4線",'0926 4度C'!$B:$B,"平均")</f>
        <v>130.72750052200323</v>
      </c>
    </row>
    <row r="15" spans="2:17" ht="40.15" customHeight="1">
      <c r="B15" s="398"/>
      <c r="C15" s="71" t="s">
        <v>1819</v>
      </c>
      <c r="D15" s="72">
        <f t="shared" ref="D15:M15" si="0">D14/D13</f>
        <v>0.96992350786468584</v>
      </c>
      <c r="E15" s="73">
        <f t="shared" si="0"/>
        <v>0.95747572815533988</v>
      </c>
      <c r="F15" s="73">
        <f t="shared" si="0"/>
        <v>0.95592071730727968</v>
      </c>
      <c r="G15" s="73">
        <f t="shared" si="0"/>
        <v>0.95919994792788932</v>
      </c>
      <c r="H15" s="73">
        <f t="shared" si="0"/>
        <v>0.96322415219617086</v>
      </c>
      <c r="I15" s="73">
        <f t="shared" si="0"/>
        <v>0.96304014170400909</v>
      </c>
      <c r="J15" s="74">
        <f t="shared" si="0"/>
        <v>0.95595511359042729</v>
      </c>
      <c r="K15" s="72">
        <f t="shared" si="0"/>
        <v>0.95984291460787152</v>
      </c>
      <c r="L15" s="73">
        <f t="shared" si="0"/>
        <v>0.95500224261553546</v>
      </c>
      <c r="M15" s="74">
        <f t="shared" si="0"/>
        <v>0.95711205739323801</v>
      </c>
    </row>
    <row r="16" spans="2:17" ht="17.25" customHeight="1">
      <c r="B16" s="401" t="s">
        <v>1820</v>
      </c>
      <c r="C16" s="360" t="s">
        <v>1821</v>
      </c>
      <c r="D16" s="76">
        <f>VLOOKUP("新豐6線",'0926 4度C'!$A:$T,19,0)</f>
        <v>0.70833333333333337</v>
      </c>
      <c r="E16" s="28">
        <f>VLOOKUP("新豐2線",'0926 4度C'!$A:$T,19,0)</f>
        <v>0.20833333333333334</v>
      </c>
      <c r="F16" s="28">
        <f>VLOOKUP("新豐5線",'0926 4度C'!$A:$T,19,0)</f>
        <v>0.20833333333333334</v>
      </c>
      <c r="G16" s="28">
        <f>VLOOKUP("新豐7線",'0926 4度C'!$A:$T,19,0)</f>
        <v>0.20833333333333334</v>
      </c>
      <c r="H16" s="28">
        <f>VLOOKUP("新豐3線",'0926 4度C'!$A:$T,19,0)</f>
        <v>8.3333333333333329E-2</v>
      </c>
      <c r="I16" s="28">
        <f>VLOOKUP("新豐1線",'0926 4度C'!$A:$T,19,0)</f>
        <v>0.29166666666666669</v>
      </c>
      <c r="J16" s="77">
        <f>VLOOKUP("新豐10線",'0926 4度C'!$A:$T,19,0)</f>
        <v>0.20833333333333334</v>
      </c>
      <c r="K16" s="78">
        <f>VLOOKUP("新豐8線",'0926 4度C'!$A:$T,19,0)</f>
        <v>8.3333333333333329E-2</v>
      </c>
      <c r="L16" s="79">
        <f>VLOOKUP("新豐9線",'0926 4度C'!$A:$T,19,0)</f>
        <v>8.3333333333333329E-2</v>
      </c>
      <c r="M16" s="80">
        <f>VLOOKUP("新豐4線",'0926 4度C'!$A:$T,19,0)</f>
        <v>8.3333333333333329E-2</v>
      </c>
    </row>
    <row r="17" spans="2:13" ht="17.25" customHeight="1">
      <c r="B17" s="402"/>
      <c r="C17" s="360" t="s">
        <v>1822</v>
      </c>
      <c r="D17" s="78">
        <f>LOOKUP(2,1/(('0926 4度C'!$A:$A="新豐6線")*('0926 4度C'!$T:$T&lt;&gt;"")),'0926 4度C'!$T:$T)</f>
        <v>0.80416666666666659</v>
      </c>
      <c r="E17" s="28">
        <f>LOOKUP(2,1/(('0926 4度C'!$A:$A="新豐2線")*('0926 4度C'!$T:$T&lt;&gt;"")),'0926 4度C'!$T:$T)</f>
        <v>0.35138888888888886</v>
      </c>
      <c r="F17" s="28">
        <f>LOOKUP(2,1/(('0926 4度C'!$A:$A="新豐5線")*('0926 4度C'!$T:$T&lt;&gt;"")),'0926 4度C'!$T:$T)</f>
        <v>0.82638888888888895</v>
      </c>
      <c r="G17" s="28">
        <f>LOOKUP(2,1/(('0926 4度C'!$A:$A="新豐7線")*('0926 4度C'!$T:$T&lt;&gt;"")),'0926 4度C'!$T:$T)</f>
        <v>0.76250000000000007</v>
      </c>
      <c r="H17" s="28">
        <f>LOOKUP(2,1/(('0926 4度C'!$A:$A="新豐3線")*('0926 4度C'!$T:$T&lt;&gt;"")),'0926 4度C'!$T:$T)</f>
        <v>0.3972222222222222</v>
      </c>
      <c r="I17" s="28">
        <f>LOOKUP(2,1/(('0926 4度C'!$A:$A="新豐1線")*('0926 4度C'!$T:$T&lt;&gt;"")),'0926 4度C'!$T:$T)</f>
        <v>0.82152777777777775</v>
      </c>
      <c r="J17" s="77">
        <f>LOOKUP(2,1/(('0926 4度C'!$A:$A="新豐10線")*('0926 4度C'!$T:$T&lt;&gt;"")),'0926 4度C'!$T:$T)</f>
        <v>0.38125000000000003</v>
      </c>
      <c r="K17" s="76">
        <f>LOOKUP(2,1/(('0926 4度C'!$A:$A="新豐8線")*('0926 4度C'!$T:$T&lt;&gt;"")),'0926 4度C'!$T:$T)</f>
        <v>0.52430555555555536</v>
      </c>
      <c r="L17" s="28">
        <f>LOOKUP(2,1/(('0926 4度C'!$A:$A="新豐9線")*('0926 4度C'!$T:$T&lt;&gt;"")),'0926 4度C'!$T:$T)</f>
        <v>0.52569444444444446</v>
      </c>
      <c r="M17" s="77">
        <f>LOOKUP(2,1/(('0926 4度C'!$A:$A="新豐4線")*('0926 4度C'!$T:$T&lt;&gt;"")),'0926 4度C'!$T:$T)</f>
        <v>0.50624999999999998</v>
      </c>
    </row>
    <row r="18" spans="2:13" ht="17.25" customHeight="1">
      <c r="B18" s="383" t="s">
        <v>1823</v>
      </c>
      <c r="C18" s="384"/>
      <c r="D18" s="81">
        <f>SUMIFS('0926 4度C'!$I:$I,'0926 4度C'!$A:$A,"新豐6線",'0926 4度C'!$B:$B,"平均")</f>
        <v>16</v>
      </c>
      <c r="E18" s="82">
        <f>SUMIFS('0926 4度C'!$I:$I,'0926 4度C'!$A:$A,"新豐2線",'0926 4度C'!$B:$B,"平均")</f>
        <v>17</v>
      </c>
      <c r="F18" s="82">
        <f>SUMIFS('0926 4度C'!$I:$I,'0926 4度C'!$A:$A,"新豐5線",'0926 4度C'!$B:$B,"平均")</f>
        <v>19.2</v>
      </c>
      <c r="G18" s="82">
        <f>SUMIFS('0926 4度C'!$I:$I,'0926 4度C'!$A:$A,"新豐7線",'0926 4度C'!$B:$B,"平均")</f>
        <v>16.8</v>
      </c>
      <c r="H18" s="82">
        <f>SUMIFS('0926 4度C'!$I:$I,'0926 4度C'!$A:$A,"新豐3線",'0926 4度C'!$B:$B,"平均")</f>
        <v>9.6666666666666661</v>
      </c>
      <c r="I18" s="82">
        <f>SUMIFS('0926 4度C'!$I:$I,'0926 4度C'!$A:$A,"新豐1線",'0926 4度C'!$B:$B,"平均")</f>
        <v>16.333333333333332</v>
      </c>
      <c r="J18" s="83">
        <f>SUMIFS('0926 4度C'!$I:$I,'0926 4度C'!$A:$A,"新豐10線",'0926 4度C'!$B:$B,"平均")</f>
        <v>10.25</v>
      </c>
      <c r="K18" s="81">
        <f>SUMIFS('0926 4度C'!$I:$I,'0926 4度C'!$A:$A,"新豐8線",'0926 4度C'!$B:$B,"平均")</f>
        <v>18</v>
      </c>
      <c r="L18" s="82">
        <f>SUMIFS('0926 4度C'!$I:$I,'0926 4度C'!$A:$A,"新豐9線",'0926 4度C'!$B:$B,"平均")</f>
        <v>16.5</v>
      </c>
      <c r="M18" s="83">
        <f>SUMIFS('0926 4度C'!$I:$I,'0926 4度C'!$A:$A,"新豐4線",'0926 4度C'!$B:$B,"平均")</f>
        <v>17.571428571428573</v>
      </c>
    </row>
    <row r="19" spans="2:13" ht="17.25" customHeight="1">
      <c r="B19" s="383" t="s">
        <v>1824</v>
      </c>
      <c r="C19" s="384"/>
      <c r="D19" s="84" t="s">
        <v>148</v>
      </c>
      <c r="E19" s="85" t="s">
        <v>149</v>
      </c>
      <c r="F19" s="85" t="s">
        <v>1825</v>
      </c>
      <c r="G19" s="85" t="s">
        <v>1825</v>
      </c>
      <c r="H19" s="85" t="s">
        <v>151</v>
      </c>
      <c r="I19" s="85" t="s">
        <v>148</v>
      </c>
      <c r="J19" s="86" t="s">
        <v>151</v>
      </c>
      <c r="K19" s="84" t="s">
        <v>1826</v>
      </c>
      <c r="L19" s="85" t="s">
        <v>1826</v>
      </c>
      <c r="M19" s="86" t="s">
        <v>1826</v>
      </c>
    </row>
    <row r="20" spans="2:13" ht="17.25" customHeight="1">
      <c r="B20" s="383" t="s">
        <v>1827</v>
      </c>
      <c r="C20" s="384"/>
      <c r="D20" s="84"/>
      <c r="E20" s="85"/>
      <c r="F20" s="85" t="s">
        <v>1828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1829</v>
      </c>
      <c r="C21" s="386"/>
      <c r="D21" s="87"/>
      <c r="E21" s="88" t="s">
        <v>1830</v>
      </c>
      <c r="F21" s="387" t="s">
        <v>1831</v>
      </c>
      <c r="G21" s="388"/>
      <c r="H21" s="88" t="s">
        <v>1832</v>
      </c>
      <c r="I21" s="88" t="s">
        <v>1833</v>
      </c>
      <c r="J21" s="89" t="s">
        <v>1832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52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3"/>
  <sheetViews>
    <sheetView zoomScale="80" zoomScaleNormal="80" workbookViewId="0">
      <pane ySplit="4" topLeftCell="A23" activePane="bottomLeft" state="frozen"/>
      <selection activeCell="E7" sqref="E7:F7"/>
      <selection pane="bottomLeft" sqref="A1:N104857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1834</v>
      </c>
      <c r="B1" s="1"/>
      <c r="C1" s="2" t="s">
        <v>1835</v>
      </c>
      <c r="D1" s="3">
        <f>SUM(F5:F62)</f>
        <v>133617</v>
      </c>
      <c r="E1" s="346" t="s">
        <v>1836</v>
      </c>
      <c r="F1" s="1">
        <f>SUM(G5:G62)</f>
        <v>4389261.03</v>
      </c>
      <c r="G1" s="1" t="s">
        <v>1837</v>
      </c>
      <c r="H1" s="106">
        <f>L8+L10+L42+L49+L16+L54+L30+L35+L22+L62</f>
        <v>157.32142857142858</v>
      </c>
      <c r="I1" s="482" t="s">
        <v>1838</v>
      </c>
      <c r="J1" s="482"/>
      <c r="K1" s="482"/>
      <c r="L1" s="482" t="s">
        <v>1839</v>
      </c>
      <c r="M1" s="482"/>
      <c r="N1" s="482"/>
      <c r="O1" s="482" t="s">
        <v>1840</v>
      </c>
      <c r="P1" s="482"/>
      <c r="Q1" s="482"/>
      <c r="R1" s="482"/>
      <c r="S1" s="482" t="s">
        <v>1841</v>
      </c>
      <c r="T1" s="482"/>
      <c r="U1" s="482"/>
      <c r="V1" s="482"/>
      <c r="W1" s="482"/>
      <c r="X1" s="482"/>
      <c r="Y1" s="482" t="s">
        <v>1842</v>
      </c>
      <c r="Z1" s="482"/>
      <c r="AA1" s="482" t="s">
        <v>1843</v>
      </c>
      <c r="AB1" s="483"/>
      <c r="AC1" s="483"/>
    </row>
    <row r="2" spans="1:29" ht="26.25" customHeight="1">
      <c r="A2" s="24">
        <v>45926</v>
      </c>
      <c r="B2" s="25" t="s">
        <v>400</v>
      </c>
      <c r="C2" s="2" t="s">
        <v>1816</v>
      </c>
      <c r="D2" s="6">
        <f>AVERAGE(N8,N10,N42,N49,N16,N54,N22,N30,N35,N62)</f>
        <v>143.56120879806511</v>
      </c>
      <c r="E2" s="7" t="s">
        <v>11</v>
      </c>
      <c r="F2" s="8">
        <f>F1/D1</f>
        <v>32.84957026426278</v>
      </c>
      <c r="G2" s="1" t="s">
        <v>1844</v>
      </c>
      <c r="H2" s="358">
        <f>COUNT(H5:H62)</f>
        <v>0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1845</v>
      </c>
      <c r="B3" s="443" t="s">
        <v>1846</v>
      </c>
      <c r="C3" s="443" t="s">
        <v>1847</v>
      </c>
      <c r="D3" s="443"/>
      <c r="E3" s="484" t="s">
        <v>1848</v>
      </c>
      <c r="F3" s="443" t="s">
        <v>1849</v>
      </c>
      <c r="G3" s="484" t="s">
        <v>1850</v>
      </c>
      <c r="H3" s="476" t="s">
        <v>1851</v>
      </c>
      <c r="I3" s="474" t="s">
        <v>1852</v>
      </c>
      <c r="J3" s="479" t="s">
        <v>1853</v>
      </c>
      <c r="K3" s="481" t="s">
        <v>1816</v>
      </c>
      <c r="L3" s="474" t="s">
        <v>1852</v>
      </c>
      <c r="M3" s="479" t="s">
        <v>1853</v>
      </c>
      <c r="N3" s="481" t="s">
        <v>1816</v>
      </c>
      <c r="O3" s="474" t="s">
        <v>1852</v>
      </c>
      <c r="P3" s="481" t="s">
        <v>1816</v>
      </c>
      <c r="Q3" s="480" t="s">
        <v>1854</v>
      </c>
      <c r="R3" s="451" t="s">
        <v>1855</v>
      </c>
      <c r="S3" s="486" t="s">
        <v>25</v>
      </c>
      <c r="T3" s="486"/>
      <c r="U3" s="476" t="s">
        <v>26</v>
      </c>
      <c r="V3" s="476" t="s">
        <v>1660</v>
      </c>
      <c r="W3" s="443" t="s">
        <v>1661</v>
      </c>
      <c r="X3" s="443"/>
      <c r="Y3" s="477" t="s">
        <v>1856</v>
      </c>
      <c r="Z3" s="478"/>
      <c r="AA3" s="479" t="s">
        <v>1743</v>
      </c>
      <c r="AB3" s="480" t="s">
        <v>1854</v>
      </c>
      <c r="AC3" s="451" t="s">
        <v>1855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57" t="s">
        <v>31</v>
      </c>
      <c r="T4" s="357" t="s">
        <v>32</v>
      </c>
      <c r="U4" s="476"/>
      <c r="V4" s="476"/>
      <c r="W4" s="346" t="s">
        <v>1857</v>
      </c>
      <c r="X4" s="346" t="s">
        <v>1745</v>
      </c>
      <c r="Y4" s="478"/>
      <c r="Z4" s="478"/>
      <c r="AA4" s="479"/>
      <c r="AB4" s="480"/>
      <c r="AC4" s="451"/>
    </row>
    <row r="5" spans="1:29">
      <c r="A5" s="473" t="s">
        <v>1858</v>
      </c>
      <c r="B5" s="31" t="s">
        <v>58</v>
      </c>
      <c r="C5" s="475" t="s">
        <v>104</v>
      </c>
      <c r="D5" s="475"/>
      <c r="E5" s="31">
        <v>46.93</v>
      </c>
      <c r="F5" s="357">
        <v>692</v>
      </c>
      <c r="G5" s="346">
        <f>E5*F5</f>
        <v>32475.56</v>
      </c>
      <c r="H5" s="359" t="s">
        <v>103</v>
      </c>
      <c r="I5" s="355">
        <v>16</v>
      </c>
      <c r="J5" s="26">
        <v>2000</v>
      </c>
      <c r="K5" s="10">
        <f>J5/I5</f>
        <v>125</v>
      </c>
      <c r="L5" s="355">
        <v>16</v>
      </c>
      <c r="M5" s="11">
        <f>F5/V5*60</f>
        <v>1977.1428571428642</v>
      </c>
      <c r="N5" s="10">
        <f>M5/L5</f>
        <v>123.57142857142901</v>
      </c>
      <c r="O5" s="12">
        <f t="shared" ref="O5:O7" si="0">L5-I5</f>
        <v>0</v>
      </c>
      <c r="P5" s="13">
        <f t="shared" ref="P5:P7" si="1">N5-K5</f>
        <v>-1.4285714285709901</v>
      </c>
      <c r="Q5" s="351">
        <f>N5/K5</f>
        <v>0.9885714285714321</v>
      </c>
      <c r="R5" s="442">
        <f>Q8</f>
        <v>0.96992350786468584</v>
      </c>
      <c r="S5" s="28">
        <v>0.70833333333333337</v>
      </c>
      <c r="T5" s="28">
        <v>0.72291666666666665</v>
      </c>
      <c r="U5" s="346"/>
      <c r="V5" s="356">
        <f>(T5-S5)*24*60</f>
        <v>20.999999999999925</v>
      </c>
      <c r="W5" s="16"/>
      <c r="X5" s="17"/>
      <c r="Y5" s="443"/>
      <c r="Z5" s="443"/>
      <c r="AA5" s="12">
        <f t="shared" ref="AA5:AA62" si="2">M5-J5</f>
        <v>-22.857142857135841</v>
      </c>
      <c r="AB5" s="351">
        <f t="shared" ref="AB5:AB7" si="3">M5/J5</f>
        <v>0.9885714285714321</v>
      </c>
      <c r="AC5" s="442">
        <f>AB8</f>
        <v>0.96992350786468584</v>
      </c>
    </row>
    <row r="6" spans="1:29">
      <c r="A6" s="474" t="s">
        <v>1858</v>
      </c>
      <c r="B6" s="31" t="s">
        <v>58</v>
      </c>
      <c r="C6" s="475" t="s">
        <v>105</v>
      </c>
      <c r="D6" s="475"/>
      <c r="E6" s="31">
        <v>50.49</v>
      </c>
      <c r="F6" s="357">
        <v>1636</v>
      </c>
      <c r="G6" s="346">
        <f t="shared" ref="G6:G7" si="4">E6*F6</f>
        <v>82601.64</v>
      </c>
      <c r="H6" s="359" t="s">
        <v>103</v>
      </c>
      <c r="I6" s="355">
        <v>15</v>
      </c>
      <c r="J6" s="26">
        <v>2000</v>
      </c>
      <c r="K6" s="10">
        <f t="shared" ref="K6:K7" si="5">J6/I6</f>
        <v>133.33333333333334</v>
      </c>
      <c r="L6" s="355">
        <v>15</v>
      </c>
      <c r="M6" s="11">
        <f>F6/V6*60</f>
        <v>1924.7058823529419</v>
      </c>
      <c r="N6" s="10">
        <f t="shared" ref="N6:N7" si="6">M6/L6</f>
        <v>128.31372549019613</v>
      </c>
      <c r="O6" s="12">
        <f t="shared" si="0"/>
        <v>0</v>
      </c>
      <c r="P6" s="13">
        <f t="shared" si="1"/>
        <v>-5.0196078431372086</v>
      </c>
      <c r="Q6" s="351">
        <f t="shared" ref="Q6:Q7" si="7">N6/K6</f>
        <v>0.96235294117647097</v>
      </c>
      <c r="R6" s="442"/>
      <c r="S6" s="28">
        <v>0.7270833333333333</v>
      </c>
      <c r="T6" s="28">
        <v>0.76249999999999996</v>
      </c>
      <c r="U6" s="346">
        <f>(S6-T5)*24*60</f>
        <v>5.9999999999999787</v>
      </c>
      <c r="V6" s="356">
        <f>(T6-S6)*24*60</f>
        <v>50.999999999999979</v>
      </c>
      <c r="W6" s="16"/>
      <c r="X6" s="16"/>
      <c r="Y6" s="443"/>
      <c r="Z6" s="443"/>
      <c r="AA6" s="12">
        <f t="shared" si="2"/>
        <v>-75.294117647058101</v>
      </c>
      <c r="AB6" s="351">
        <f t="shared" si="3"/>
        <v>0.96235294117647097</v>
      </c>
      <c r="AC6" s="442"/>
    </row>
    <row r="7" spans="1:29">
      <c r="A7" s="474" t="s">
        <v>1859</v>
      </c>
      <c r="B7" s="31" t="s">
        <v>58</v>
      </c>
      <c r="C7" s="471" t="s">
        <v>106</v>
      </c>
      <c r="D7" s="472"/>
      <c r="E7" s="31">
        <v>50.67</v>
      </c>
      <c r="F7" s="357">
        <v>1662</v>
      </c>
      <c r="G7" s="346">
        <f t="shared" si="4"/>
        <v>84213.540000000008</v>
      </c>
      <c r="H7" s="359" t="s">
        <v>103</v>
      </c>
      <c r="I7" s="355">
        <v>17</v>
      </c>
      <c r="J7" s="26">
        <v>2000</v>
      </c>
      <c r="K7" s="10">
        <f t="shared" si="5"/>
        <v>117.64705882352941</v>
      </c>
      <c r="L7" s="355">
        <v>17</v>
      </c>
      <c r="M7" s="11">
        <f t="shared" ref="M7" si="8">F7/V7*60</f>
        <v>1917.6923076923088</v>
      </c>
      <c r="N7" s="10">
        <f t="shared" si="6"/>
        <v>112.80542986425345</v>
      </c>
      <c r="O7" s="12">
        <f t="shared" si="0"/>
        <v>0</v>
      </c>
      <c r="P7" s="13">
        <f t="shared" si="1"/>
        <v>-4.8416289592759512</v>
      </c>
      <c r="Q7" s="351">
        <f t="shared" si="7"/>
        <v>0.95884615384615446</v>
      </c>
      <c r="R7" s="442"/>
      <c r="S7" s="28">
        <v>0.76805555555555549</v>
      </c>
      <c r="T7" s="28">
        <v>0.80416666666666659</v>
      </c>
      <c r="U7" s="346">
        <f t="shared" ref="U7" si="9">(S7-T6)*24*60</f>
        <v>7.9999999999999716</v>
      </c>
      <c r="V7" s="356">
        <f t="shared" ref="V7" si="10">(T7-S7)*24*60</f>
        <v>51.999999999999972</v>
      </c>
      <c r="W7" s="16"/>
      <c r="X7" s="16"/>
      <c r="Y7" s="447"/>
      <c r="Z7" s="448"/>
      <c r="AA7" s="12">
        <f t="shared" si="2"/>
        <v>-82.307692307691241</v>
      </c>
      <c r="AB7" s="351">
        <f t="shared" si="3"/>
        <v>0.95884615384615435</v>
      </c>
      <c r="AC7" s="442"/>
    </row>
    <row r="8" spans="1:29">
      <c r="A8" s="474" t="s">
        <v>1859</v>
      </c>
      <c r="B8" s="31" t="s">
        <v>1860</v>
      </c>
      <c r="C8" s="446"/>
      <c r="D8" s="446"/>
      <c r="E8" s="345"/>
      <c r="F8" s="33"/>
      <c r="G8" s="10"/>
      <c r="H8" s="357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1939.8470157293716</v>
      </c>
      <c r="N8" s="10">
        <f>M8/L8</f>
        <v>121.24043848308573</v>
      </c>
      <c r="O8" s="12">
        <f>L8-I8</f>
        <v>0</v>
      </c>
      <c r="P8" s="13">
        <f>N8-K8</f>
        <v>-3.7595615169142746</v>
      </c>
      <c r="Q8" s="351">
        <f>N8/K8</f>
        <v>0.96992350786468584</v>
      </c>
      <c r="R8" s="442"/>
      <c r="S8" s="28"/>
      <c r="T8" s="28"/>
      <c r="U8" s="346"/>
      <c r="V8" s="356"/>
      <c r="W8" s="10"/>
      <c r="X8" s="10"/>
      <c r="Y8" s="443"/>
      <c r="Z8" s="443"/>
      <c r="AA8" s="12">
        <f t="shared" si="2"/>
        <v>-60.152984270628394</v>
      </c>
      <c r="AB8" s="351">
        <f>M8/J8</f>
        <v>0.96992350786468584</v>
      </c>
      <c r="AC8" s="442"/>
    </row>
    <row r="9" spans="1:29" ht="15.75" customHeight="1">
      <c r="A9" s="439" t="s">
        <v>1861</v>
      </c>
      <c r="B9" s="31" t="s">
        <v>53</v>
      </c>
      <c r="C9" s="471" t="s">
        <v>54</v>
      </c>
      <c r="D9" s="472"/>
      <c r="E9" s="31">
        <v>39.799999999999997</v>
      </c>
      <c r="F9" s="357">
        <v>4931</v>
      </c>
      <c r="G9" s="346">
        <f t="shared" ref="G9" si="11">E9*F9</f>
        <v>196253.8</v>
      </c>
      <c r="H9" s="359" t="s">
        <v>103</v>
      </c>
      <c r="I9" s="355">
        <v>17</v>
      </c>
      <c r="J9" s="26">
        <v>1500</v>
      </c>
      <c r="K9" s="10">
        <f t="shared" ref="K9" si="12">J9/I9</f>
        <v>88.235294117647058</v>
      </c>
      <c r="L9" s="355">
        <v>17</v>
      </c>
      <c r="M9" s="11">
        <f t="shared" ref="M9" si="13">F9/V9*60</f>
        <v>1436.2135922330099</v>
      </c>
      <c r="N9" s="10">
        <f t="shared" ref="N9" si="14">M9/L9</f>
        <v>84.483152484294692</v>
      </c>
      <c r="O9" s="12">
        <f t="shared" ref="O9" si="15">L9-I9</f>
        <v>0</v>
      </c>
      <c r="P9" s="13">
        <f>N9-K9</f>
        <v>-3.7521416333523661</v>
      </c>
      <c r="Q9" s="351">
        <f>N9/K9</f>
        <v>0.95747572815533988</v>
      </c>
      <c r="R9" s="442">
        <f>Q10</f>
        <v>0.95747572815533988</v>
      </c>
      <c r="S9" s="28">
        <v>0.20833333333333334</v>
      </c>
      <c r="T9" s="28">
        <v>0.35138888888888886</v>
      </c>
      <c r="U9" s="346"/>
      <c r="V9" s="356">
        <f t="shared" ref="V9" si="16">(T9-S9)*24*60</f>
        <v>205.99999999999997</v>
      </c>
      <c r="W9" s="16"/>
      <c r="X9" s="16"/>
      <c r="Y9" s="443"/>
      <c r="Z9" s="443"/>
      <c r="AA9" s="12">
        <f t="shared" si="2"/>
        <v>-63.786407766990123</v>
      </c>
      <c r="AB9" s="351">
        <f>M9/J9</f>
        <v>0.95747572815533988</v>
      </c>
      <c r="AC9" s="442">
        <f>AB10</f>
        <v>0.95747572815533988</v>
      </c>
    </row>
    <row r="10" spans="1:29" ht="16.5" customHeight="1">
      <c r="A10" s="439" t="s">
        <v>1862</v>
      </c>
      <c r="B10" s="31" t="s">
        <v>1681</v>
      </c>
      <c r="C10" s="446"/>
      <c r="D10" s="446"/>
      <c r="E10" s="345"/>
      <c r="F10" s="26"/>
      <c r="G10" s="11"/>
      <c r="H10" s="357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1436.2135922330099</v>
      </c>
      <c r="N10" s="10">
        <f>M10/L10</f>
        <v>84.483152484294692</v>
      </c>
      <c r="O10" s="12">
        <f>L10-I10</f>
        <v>0</v>
      </c>
      <c r="P10" s="13">
        <f>N10-K10</f>
        <v>-3.7521416333523661</v>
      </c>
      <c r="Q10" s="351">
        <f>N10/K10</f>
        <v>0.95747572815533988</v>
      </c>
      <c r="R10" s="442"/>
      <c r="S10" s="28"/>
      <c r="T10" s="28"/>
      <c r="U10" s="10"/>
      <c r="V10" s="356"/>
      <c r="W10" s="10"/>
      <c r="X10" s="10"/>
      <c r="Y10" s="443"/>
      <c r="Z10" s="443"/>
      <c r="AA10" s="12">
        <f t="shared" si="2"/>
        <v>-63.786407766990123</v>
      </c>
      <c r="AB10" s="351">
        <f t="shared" ref="AB10:AB22" si="17">M10/J10</f>
        <v>0.95747572815533988</v>
      </c>
      <c r="AC10" s="442"/>
    </row>
    <row r="11" spans="1:29" ht="16.5" customHeight="1">
      <c r="A11" s="469" t="s">
        <v>1863</v>
      </c>
      <c r="B11" s="357" t="s">
        <v>56</v>
      </c>
      <c r="C11" s="464" t="s">
        <v>57</v>
      </c>
      <c r="D11" s="464"/>
      <c r="E11" s="31">
        <v>41</v>
      </c>
      <c r="F11" s="357">
        <v>1785</v>
      </c>
      <c r="G11" s="346">
        <f t="shared" ref="G11:G15" si="18">E11*F11</f>
        <v>73185</v>
      </c>
      <c r="H11" s="359" t="s">
        <v>103</v>
      </c>
      <c r="I11" s="355">
        <v>26</v>
      </c>
      <c r="J11" s="26">
        <v>1500</v>
      </c>
      <c r="K11" s="10">
        <f>J11/I11</f>
        <v>57.692307692307693</v>
      </c>
      <c r="L11" s="355">
        <v>26</v>
      </c>
      <c r="M11" s="11">
        <f>F11/V11*60</f>
        <v>1427.9999999999998</v>
      </c>
      <c r="N11" s="10">
        <f t="shared" ref="N11:N21" si="19">M11/L11</f>
        <v>54.923076923076913</v>
      </c>
      <c r="O11" s="12">
        <f t="shared" ref="O11" si="20">L11-I11</f>
        <v>0</v>
      </c>
      <c r="P11" s="13">
        <f t="shared" ref="P11" si="21">N11-K11</f>
        <v>-2.7692307692307807</v>
      </c>
      <c r="Q11" s="351">
        <f>N11/K11</f>
        <v>0.95199999999999985</v>
      </c>
      <c r="R11" s="442">
        <f>Q16</f>
        <v>0.95592071730727968</v>
      </c>
      <c r="S11" s="28">
        <v>0.20833333333333334</v>
      </c>
      <c r="T11" s="28">
        <v>0.26041666666666669</v>
      </c>
      <c r="U11" s="346"/>
      <c r="V11" s="356">
        <f>(T11-S11)*24*60</f>
        <v>75.000000000000014</v>
      </c>
      <c r="W11" s="18"/>
      <c r="X11" s="18"/>
      <c r="Y11" s="443"/>
      <c r="Z11" s="443"/>
      <c r="AA11" s="12">
        <f t="shared" si="2"/>
        <v>-72.000000000000227</v>
      </c>
      <c r="AB11" s="351">
        <f t="shared" si="17"/>
        <v>0.95199999999999985</v>
      </c>
      <c r="AC11" s="442">
        <f>AB16</f>
        <v>0.95592071730727957</v>
      </c>
    </row>
    <row r="12" spans="1:29" ht="16.5" customHeight="1">
      <c r="A12" s="470" t="s">
        <v>1863</v>
      </c>
      <c r="B12" s="357" t="s">
        <v>53</v>
      </c>
      <c r="C12" s="464" t="s">
        <v>107</v>
      </c>
      <c r="D12" s="464"/>
      <c r="E12" s="31">
        <v>39.619999999999997</v>
      </c>
      <c r="F12" s="357">
        <v>3545</v>
      </c>
      <c r="G12" s="346">
        <f t="shared" si="18"/>
        <v>140452.9</v>
      </c>
      <c r="H12" s="359" t="s">
        <v>103</v>
      </c>
      <c r="I12" s="355">
        <v>19</v>
      </c>
      <c r="J12" s="26">
        <v>1500</v>
      </c>
      <c r="K12" s="10">
        <f>J12/I12</f>
        <v>78.94736842105263</v>
      </c>
      <c r="L12" s="355">
        <v>19</v>
      </c>
      <c r="M12" s="11">
        <f>F12/V12*60</f>
        <v>1427.5167785234896</v>
      </c>
      <c r="N12" s="10">
        <f t="shared" si="19"/>
        <v>75.13246202755208</v>
      </c>
      <c r="O12" s="12">
        <f>L12-I12</f>
        <v>0</v>
      </c>
      <c r="P12" s="13">
        <f>N12-K12</f>
        <v>-3.8149063935005501</v>
      </c>
      <c r="Q12" s="351">
        <f>N12/K12</f>
        <v>0.95167785234899305</v>
      </c>
      <c r="R12" s="442"/>
      <c r="S12" s="28">
        <v>0.26527777777777778</v>
      </c>
      <c r="T12" s="28">
        <v>0.36875000000000002</v>
      </c>
      <c r="U12" s="346">
        <f>IF(S12=TIME(17,0,0),"",(S12-T11)*24*60)</f>
        <v>6.9999999999999751</v>
      </c>
      <c r="V12" s="356">
        <f>(T12-S12)*24*60</f>
        <v>149.00000000000003</v>
      </c>
      <c r="W12" s="16"/>
      <c r="X12" s="16"/>
      <c r="Y12" s="443"/>
      <c r="Z12" s="443"/>
      <c r="AA12" s="12">
        <f t="shared" si="2"/>
        <v>-72.48322147651038</v>
      </c>
      <c r="AB12" s="351">
        <f t="shared" si="17"/>
        <v>0.95167785234899305</v>
      </c>
      <c r="AC12" s="442"/>
    </row>
    <row r="13" spans="1:29" ht="16.5" customHeight="1">
      <c r="A13" s="470" t="s">
        <v>1863</v>
      </c>
      <c r="B13" s="357" t="s">
        <v>53</v>
      </c>
      <c r="C13" s="464" t="s">
        <v>163</v>
      </c>
      <c r="D13" s="464"/>
      <c r="E13" s="31">
        <v>39.36</v>
      </c>
      <c r="F13" s="357">
        <v>2489</v>
      </c>
      <c r="G13" s="346">
        <f t="shared" si="18"/>
        <v>97967.039999999994</v>
      </c>
      <c r="H13" s="359" t="s">
        <v>103</v>
      </c>
      <c r="I13" s="355">
        <v>20</v>
      </c>
      <c r="J13" s="26">
        <v>1500</v>
      </c>
      <c r="K13" s="10">
        <f t="shared" ref="K13:K15" si="22">J13/I13</f>
        <v>75</v>
      </c>
      <c r="L13" s="355">
        <v>20</v>
      </c>
      <c r="M13" s="11">
        <f t="shared" ref="M13:M15" si="23">F13/V13*60</f>
        <v>1435.9615384615379</v>
      </c>
      <c r="N13" s="10">
        <f t="shared" si="19"/>
        <v>71.798076923076891</v>
      </c>
      <c r="O13" s="12">
        <f t="shared" ref="O13:O15" si="24">L13-I13</f>
        <v>0</v>
      </c>
      <c r="P13" s="13">
        <f t="shared" ref="P13:P15" si="25">N13-K13</f>
        <v>-3.2019230769231086</v>
      </c>
      <c r="Q13" s="351">
        <f t="shared" ref="Q13:Q21" si="26">N13/K13</f>
        <v>0.95730769230769186</v>
      </c>
      <c r="R13" s="442"/>
      <c r="S13" s="28">
        <v>0.37430555555555556</v>
      </c>
      <c r="T13" s="28">
        <v>0.4465277777777778</v>
      </c>
      <c r="U13" s="346">
        <f t="shared" ref="U13:U15" si="27">IF(S13=TIME(17,0,0),"",(S13-T12)*24*60)</f>
        <v>7.9999999999999716</v>
      </c>
      <c r="V13" s="356">
        <f t="shared" ref="V13:V15" si="28">(T13-S13)*24*60</f>
        <v>104.00000000000003</v>
      </c>
      <c r="W13" s="16"/>
      <c r="X13" s="16"/>
      <c r="Y13" s="443"/>
      <c r="Z13" s="443"/>
      <c r="AA13" s="12">
        <f t="shared" si="2"/>
        <v>-64.038461538462116</v>
      </c>
      <c r="AB13" s="351">
        <f t="shared" si="17"/>
        <v>0.95730769230769197</v>
      </c>
      <c r="AC13" s="442"/>
    </row>
    <row r="14" spans="1:29" ht="16.5" customHeight="1">
      <c r="A14" s="470" t="s">
        <v>1863</v>
      </c>
      <c r="B14" s="357" t="s">
        <v>58</v>
      </c>
      <c r="C14" s="464" t="s">
        <v>59</v>
      </c>
      <c r="D14" s="464"/>
      <c r="E14" s="31">
        <v>50.98</v>
      </c>
      <c r="F14" s="357">
        <v>2457</v>
      </c>
      <c r="G14" s="346">
        <f t="shared" si="18"/>
        <v>125257.85999999999</v>
      </c>
      <c r="H14" s="359" t="s">
        <v>103</v>
      </c>
      <c r="I14" s="355">
        <v>16</v>
      </c>
      <c r="J14" s="26">
        <v>2000</v>
      </c>
      <c r="K14" s="10">
        <f t="shared" si="22"/>
        <v>125</v>
      </c>
      <c r="L14" s="355">
        <v>16</v>
      </c>
      <c r="M14" s="11">
        <f t="shared" si="23"/>
        <v>1914.5454545454536</v>
      </c>
      <c r="N14" s="10">
        <f t="shared" si="19"/>
        <v>119.65909090909085</v>
      </c>
      <c r="O14" s="12">
        <f t="shared" si="24"/>
        <v>0</v>
      </c>
      <c r="P14" s="13">
        <f t="shared" si="25"/>
        <v>-5.3409090909091503</v>
      </c>
      <c r="Q14" s="351">
        <f t="shared" si="26"/>
        <v>0.95727272727272683</v>
      </c>
      <c r="R14" s="442"/>
      <c r="S14" s="28">
        <v>0.70833333333333337</v>
      </c>
      <c r="T14" s="28">
        <v>0.76180555555555562</v>
      </c>
      <c r="U14" s="346" t="str">
        <f t="shared" si="27"/>
        <v/>
      </c>
      <c r="V14" s="356">
        <f t="shared" si="28"/>
        <v>77.000000000000043</v>
      </c>
      <c r="W14" s="16"/>
      <c r="X14" s="16"/>
      <c r="Y14" s="443"/>
      <c r="Z14" s="443"/>
      <c r="AA14" s="12">
        <f t="shared" si="2"/>
        <v>-85.454545454546405</v>
      </c>
      <c r="AB14" s="351">
        <f t="shared" si="17"/>
        <v>0.95727272727272683</v>
      </c>
      <c r="AC14" s="442"/>
    </row>
    <row r="15" spans="1:29" ht="16.5" customHeight="1">
      <c r="A15" s="470" t="s">
        <v>1863</v>
      </c>
      <c r="B15" s="357" t="s">
        <v>58</v>
      </c>
      <c r="C15" s="464" t="s">
        <v>60</v>
      </c>
      <c r="D15" s="464"/>
      <c r="E15" s="31">
        <v>50.92</v>
      </c>
      <c r="F15" s="357">
        <v>2751</v>
      </c>
      <c r="G15" s="346">
        <f t="shared" si="18"/>
        <v>140080.92000000001</v>
      </c>
      <c r="H15" s="359" t="s">
        <v>103</v>
      </c>
      <c r="I15" s="355">
        <v>15</v>
      </c>
      <c r="J15" s="26">
        <v>2000</v>
      </c>
      <c r="K15" s="10">
        <f t="shared" si="22"/>
        <v>133.33333333333334</v>
      </c>
      <c r="L15" s="355">
        <v>15</v>
      </c>
      <c r="M15" s="11">
        <f t="shared" si="23"/>
        <v>1919.3023255813951</v>
      </c>
      <c r="N15" s="10">
        <f t="shared" si="19"/>
        <v>127.95348837209301</v>
      </c>
      <c r="O15" s="12">
        <f t="shared" si="24"/>
        <v>0</v>
      </c>
      <c r="P15" s="13">
        <f t="shared" si="25"/>
        <v>-5.3798449612403374</v>
      </c>
      <c r="Q15" s="351">
        <f t="shared" si="26"/>
        <v>0.95965116279069751</v>
      </c>
      <c r="R15" s="442"/>
      <c r="S15" s="28">
        <v>0.76666666666666672</v>
      </c>
      <c r="T15" s="28">
        <v>0.82638888888888895</v>
      </c>
      <c r="U15" s="346">
        <f t="shared" si="27"/>
        <v>6.9999999999999751</v>
      </c>
      <c r="V15" s="356">
        <f t="shared" si="28"/>
        <v>86.000000000000014</v>
      </c>
      <c r="W15" s="16"/>
      <c r="X15" s="16"/>
      <c r="Y15" s="443"/>
      <c r="Z15" s="443"/>
      <c r="AA15" s="12">
        <f t="shared" si="2"/>
        <v>-80.697674418604947</v>
      </c>
      <c r="AB15" s="351">
        <f t="shared" si="17"/>
        <v>0.95965116279069751</v>
      </c>
      <c r="AC15" s="442"/>
    </row>
    <row r="16" spans="1:29" ht="16.5" customHeight="1">
      <c r="A16" s="470" t="s">
        <v>1863</v>
      </c>
      <c r="B16" s="31" t="s">
        <v>1681</v>
      </c>
      <c r="C16" s="446"/>
      <c r="D16" s="446"/>
      <c r="E16" s="345"/>
      <c r="F16" s="33"/>
      <c r="G16" s="10"/>
      <c r="H16" s="357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1625.0652194223753</v>
      </c>
      <c r="N16" s="10">
        <f t="shared" si="19"/>
        <v>84.638813511582057</v>
      </c>
      <c r="O16" s="12">
        <f>L16-I16</f>
        <v>0</v>
      </c>
      <c r="P16" s="13">
        <f>N16-K16</f>
        <v>-3.9028531550846139</v>
      </c>
      <c r="Q16" s="351">
        <f t="shared" si="26"/>
        <v>0.95592071730727968</v>
      </c>
      <c r="R16" s="442"/>
      <c r="S16" s="28"/>
      <c r="T16" s="28"/>
      <c r="U16" s="346"/>
      <c r="V16" s="356"/>
      <c r="W16" s="10"/>
      <c r="X16" s="10"/>
      <c r="Y16" s="443"/>
      <c r="Z16" s="443"/>
      <c r="AA16" s="12">
        <f t="shared" si="2"/>
        <v>-74.934780577624679</v>
      </c>
      <c r="AB16" s="351">
        <f t="shared" si="17"/>
        <v>0.95592071730727957</v>
      </c>
      <c r="AC16" s="442"/>
    </row>
    <row r="17" spans="1:29" ht="15.75" customHeight="1">
      <c r="A17" s="467" t="s">
        <v>1864</v>
      </c>
      <c r="B17" s="31" t="s">
        <v>56</v>
      </c>
      <c r="C17" s="464" t="s">
        <v>61</v>
      </c>
      <c r="D17" s="464"/>
      <c r="E17" s="31">
        <v>43.14</v>
      </c>
      <c r="F17" s="357">
        <v>1101</v>
      </c>
      <c r="G17" s="346">
        <f t="shared" ref="G17:G21" si="29">E17*F17</f>
        <v>47497.14</v>
      </c>
      <c r="H17" s="359" t="s">
        <v>103</v>
      </c>
      <c r="I17" s="355">
        <v>17</v>
      </c>
      <c r="J17" s="26">
        <v>2000</v>
      </c>
      <c r="K17" s="10">
        <f t="shared" ref="K17:K22" si="30">J17/I17</f>
        <v>117.64705882352941</v>
      </c>
      <c r="L17" s="355">
        <v>17</v>
      </c>
      <c r="M17" s="11">
        <f t="shared" ref="M17:M21" si="31">F17/V17*60</f>
        <v>1942.9411764705883</v>
      </c>
      <c r="N17" s="10">
        <f t="shared" si="19"/>
        <v>114.29065743944636</v>
      </c>
      <c r="O17" s="12">
        <f t="shared" ref="O17:O21" si="32">L17-I17</f>
        <v>0</v>
      </c>
      <c r="P17" s="13">
        <f t="shared" ref="P17:P21" si="33">N17-K17</f>
        <v>-3.3564013840830427</v>
      </c>
      <c r="Q17" s="351">
        <f t="shared" si="26"/>
        <v>0.97147058823529409</v>
      </c>
      <c r="R17" s="442">
        <f>Q22</f>
        <v>0.95919994792788932</v>
      </c>
      <c r="S17" s="28">
        <v>0.20833333333333334</v>
      </c>
      <c r="T17" s="28">
        <v>0.23194444444444445</v>
      </c>
      <c r="U17" s="346"/>
      <c r="V17" s="356">
        <f>(T17-S17)*24*60</f>
        <v>34</v>
      </c>
      <c r="W17" s="18"/>
      <c r="X17" s="18"/>
      <c r="Y17" s="443"/>
      <c r="Z17" s="443"/>
      <c r="AA17" s="12">
        <f t="shared" si="2"/>
        <v>-57.058823529411711</v>
      </c>
      <c r="AB17" s="351">
        <f t="shared" si="17"/>
        <v>0.9714705882352942</v>
      </c>
      <c r="AC17" s="442">
        <f>AB22</f>
        <v>0.95919994792788932</v>
      </c>
    </row>
    <row r="18" spans="1:29" ht="15.75" customHeight="1">
      <c r="A18" s="468" t="s">
        <v>1864</v>
      </c>
      <c r="B18" s="31" t="s">
        <v>58</v>
      </c>
      <c r="C18" s="464" t="s">
        <v>62</v>
      </c>
      <c r="D18" s="464"/>
      <c r="E18" s="31">
        <v>57.73</v>
      </c>
      <c r="F18" s="357">
        <v>2015</v>
      </c>
      <c r="G18" s="346">
        <f t="shared" si="29"/>
        <v>116325.95</v>
      </c>
      <c r="H18" s="359" t="s">
        <v>103</v>
      </c>
      <c r="I18" s="355">
        <v>15</v>
      </c>
      <c r="J18" s="26">
        <v>2000</v>
      </c>
      <c r="K18" s="10">
        <f t="shared" si="30"/>
        <v>133.33333333333334</v>
      </c>
      <c r="L18" s="355">
        <v>15</v>
      </c>
      <c r="M18" s="11">
        <f t="shared" si="31"/>
        <v>1919.0476190476197</v>
      </c>
      <c r="N18" s="10">
        <f t="shared" si="19"/>
        <v>127.93650793650798</v>
      </c>
      <c r="O18" s="12">
        <f t="shared" si="32"/>
        <v>0</v>
      </c>
      <c r="P18" s="13">
        <f t="shared" si="33"/>
        <v>-5.3968253968253634</v>
      </c>
      <c r="Q18" s="351">
        <f t="shared" si="26"/>
        <v>0.95952380952380978</v>
      </c>
      <c r="R18" s="442"/>
      <c r="S18" s="28">
        <v>0.23750000000000002</v>
      </c>
      <c r="T18" s="28">
        <v>0.28125</v>
      </c>
      <c r="U18" s="346">
        <f>IF(S18=TIME(17,0,0),"",(S18-T17)*24*60)</f>
        <v>8.0000000000000107</v>
      </c>
      <c r="V18" s="356">
        <f t="shared" ref="V18:V21" si="34">(T18-S18)*24*60</f>
        <v>62.999999999999979</v>
      </c>
      <c r="W18" s="16"/>
      <c r="X18" s="346"/>
      <c r="Y18" s="443"/>
      <c r="Z18" s="443"/>
      <c r="AA18" s="12">
        <f t="shared" si="2"/>
        <v>-80.952380952380281</v>
      </c>
      <c r="AB18" s="351">
        <f t="shared" si="17"/>
        <v>0.95952380952380989</v>
      </c>
      <c r="AC18" s="442"/>
    </row>
    <row r="19" spans="1:29" ht="15.75" customHeight="1">
      <c r="A19" s="468" t="s">
        <v>1864</v>
      </c>
      <c r="B19" s="31" t="s">
        <v>58</v>
      </c>
      <c r="C19" s="464" t="s">
        <v>63</v>
      </c>
      <c r="D19" s="464"/>
      <c r="E19" s="31">
        <v>53.68</v>
      </c>
      <c r="F19" s="357">
        <v>1533</v>
      </c>
      <c r="G19" s="346">
        <f t="shared" si="29"/>
        <v>82291.44</v>
      </c>
      <c r="H19" s="359" t="s">
        <v>103</v>
      </c>
      <c r="I19" s="355">
        <v>16</v>
      </c>
      <c r="J19" s="26">
        <v>2000</v>
      </c>
      <c r="K19" s="10">
        <f t="shared" si="30"/>
        <v>125</v>
      </c>
      <c r="L19" s="355">
        <v>16</v>
      </c>
      <c r="M19" s="11">
        <f t="shared" si="31"/>
        <v>1916.2500000000007</v>
      </c>
      <c r="N19" s="10">
        <f t="shared" si="19"/>
        <v>119.76562500000004</v>
      </c>
      <c r="O19" s="12">
        <f t="shared" si="32"/>
        <v>0</v>
      </c>
      <c r="P19" s="13">
        <f t="shared" si="33"/>
        <v>-5.2343749999999574</v>
      </c>
      <c r="Q19" s="351">
        <f t="shared" si="26"/>
        <v>0.95812500000000034</v>
      </c>
      <c r="R19" s="442"/>
      <c r="S19" s="28">
        <v>0.28541666666666665</v>
      </c>
      <c r="T19" s="28">
        <v>0.31874999999999998</v>
      </c>
      <c r="U19" s="346">
        <f t="shared" ref="U19:U21" si="35">IF(S19=TIME(17,0,0),"",(S19-T18)*24*60)</f>
        <v>5.9999999999999787</v>
      </c>
      <c r="V19" s="356">
        <f t="shared" si="34"/>
        <v>47.999999999999986</v>
      </c>
      <c r="W19" s="16"/>
      <c r="X19" s="346"/>
      <c r="Y19" s="443"/>
      <c r="Z19" s="443"/>
      <c r="AA19" s="12">
        <f t="shared" si="2"/>
        <v>-83.749999999999318</v>
      </c>
      <c r="AB19" s="351">
        <f t="shared" si="17"/>
        <v>0.95812500000000034</v>
      </c>
      <c r="AC19" s="442"/>
    </row>
    <row r="20" spans="1:29" ht="15.75" customHeight="1">
      <c r="A20" s="468" t="s">
        <v>1864</v>
      </c>
      <c r="B20" s="31" t="s">
        <v>58</v>
      </c>
      <c r="C20" s="464" t="s">
        <v>1170</v>
      </c>
      <c r="D20" s="464"/>
      <c r="E20" s="31">
        <v>53.27</v>
      </c>
      <c r="F20" s="357">
        <v>1721</v>
      </c>
      <c r="G20" s="346">
        <f t="shared" si="29"/>
        <v>91677.67</v>
      </c>
      <c r="H20" s="359" t="s">
        <v>103</v>
      </c>
      <c r="I20" s="355">
        <v>17</v>
      </c>
      <c r="J20" s="26">
        <v>2000</v>
      </c>
      <c r="K20" s="10">
        <f t="shared" si="30"/>
        <v>117.64705882352941</v>
      </c>
      <c r="L20" s="355">
        <v>17</v>
      </c>
      <c r="M20" s="11">
        <f t="shared" si="31"/>
        <v>1912.2222222222233</v>
      </c>
      <c r="N20" s="10">
        <f t="shared" si="19"/>
        <v>112.48366013071902</v>
      </c>
      <c r="O20" s="12">
        <f t="shared" si="32"/>
        <v>0</v>
      </c>
      <c r="P20" s="13">
        <f t="shared" si="33"/>
        <v>-5.1633986928103894</v>
      </c>
      <c r="Q20" s="351">
        <f t="shared" si="26"/>
        <v>0.95611111111111169</v>
      </c>
      <c r="R20" s="442"/>
      <c r="S20" s="28">
        <v>0.32222222222222219</v>
      </c>
      <c r="T20" s="28">
        <v>0.35972222222222217</v>
      </c>
      <c r="U20" s="346">
        <f t="shared" si="35"/>
        <v>4.9999999999999822</v>
      </c>
      <c r="V20" s="356">
        <f t="shared" si="34"/>
        <v>53.999999999999972</v>
      </c>
      <c r="W20" s="16"/>
      <c r="X20" s="346"/>
      <c r="Y20" s="443"/>
      <c r="Z20" s="443"/>
      <c r="AA20" s="12">
        <f t="shared" si="2"/>
        <v>-87.777777777776691</v>
      </c>
      <c r="AB20" s="351">
        <f t="shared" si="17"/>
        <v>0.95611111111111169</v>
      </c>
      <c r="AC20" s="442"/>
    </row>
    <row r="21" spans="1:29" ht="15.75" customHeight="1">
      <c r="A21" s="468" t="s">
        <v>1864</v>
      </c>
      <c r="B21" s="31" t="s">
        <v>58</v>
      </c>
      <c r="C21" s="464" t="s">
        <v>65</v>
      </c>
      <c r="D21" s="464"/>
      <c r="E21" s="31">
        <v>54.09</v>
      </c>
      <c r="F21" s="357">
        <v>2472</v>
      </c>
      <c r="G21" s="346">
        <f t="shared" si="29"/>
        <v>133710.48000000001</v>
      </c>
      <c r="H21" s="359" t="s">
        <v>103</v>
      </c>
      <c r="I21" s="355">
        <v>19</v>
      </c>
      <c r="J21" s="26">
        <v>2000</v>
      </c>
      <c r="K21" s="10">
        <f t="shared" si="30"/>
        <v>105.26315789473684</v>
      </c>
      <c r="L21" s="355">
        <v>19</v>
      </c>
      <c r="M21" s="11">
        <f t="shared" si="31"/>
        <v>1901.5384615384605</v>
      </c>
      <c r="N21" s="10">
        <f t="shared" si="19"/>
        <v>100.08097165991897</v>
      </c>
      <c r="O21" s="12">
        <f t="shared" si="32"/>
        <v>0</v>
      </c>
      <c r="P21" s="13">
        <f t="shared" si="33"/>
        <v>-5.1821862348178627</v>
      </c>
      <c r="Q21" s="351">
        <f t="shared" si="26"/>
        <v>0.95076923076923026</v>
      </c>
      <c r="R21" s="442"/>
      <c r="S21" s="28">
        <v>0.70833333333333337</v>
      </c>
      <c r="T21" s="28">
        <v>0.76250000000000007</v>
      </c>
      <c r="U21" s="346" t="str">
        <f t="shared" si="35"/>
        <v/>
      </c>
      <c r="V21" s="356">
        <f t="shared" si="34"/>
        <v>78.000000000000043</v>
      </c>
      <c r="W21" s="16"/>
      <c r="X21" s="346"/>
      <c r="Y21" s="443"/>
      <c r="Z21" s="443"/>
      <c r="AA21" s="12">
        <f t="shared" si="2"/>
        <v>-98.461538461539476</v>
      </c>
      <c r="AB21" s="351">
        <f t="shared" si="17"/>
        <v>0.95076923076923026</v>
      </c>
      <c r="AC21" s="442"/>
    </row>
    <row r="22" spans="1:29" ht="15.75" customHeight="1">
      <c r="A22" s="468" t="s">
        <v>1864</v>
      </c>
      <c r="B22" s="31" t="s">
        <v>1681</v>
      </c>
      <c r="C22" s="446"/>
      <c r="D22" s="446"/>
      <c r="E22" s="345"/>
      <c r="F22" s="357"/>
      <c r="G22" s="346"/>
      <c r="H22" s="357"/>
      <c r="I22" s="19">
        <v>16.8</v>
      </c>
      <c r="J22" s="26">
        <v>2000</v>
      </c>
      <c r="K22" s="10">
        <f t="shared" si="30"/>
        <v>119.04761904761904</v>
      </c>
      <c r="L22" s="19">
        <v>16.8</v>
      </c>
      <c r="M22" s="11">
        <f>AVERAGE(M17:M21)</f>
        <v>1918.3998958557786</v>
      </c>
      <c r="N22" s="10">
        <f>M22/L22</f>
        <v>114.19046999141538</v>
      </c>
      <c r="O22" s="12">
        <f>L22-I22</f>
        <v>0</v>
      </c>
      <c r="P22" s="13">
        <f>N22-K22</f>
        <v>-4.857149056203653</v>
      </c>
      <c r="Q22" s="351">
        <f>N22/K22</f>
        <v>0.95919994792788932</v>
      </c>
      <c r="R22" s="442"/>
      <c r="S22" s="28"/>
      <c r="T22" s="28"/>
      <c r="U22" s="10"/>
      <c r="V22" s="356"/>
      <c r="W22" s="10"/>
      <c r="X22" s="10"/>
      <c r="Y22" s="443"/>
      <c r="Z22" s="443"/>
      <c r="AA22" s="12">
        <f t="shared" si="2"/>
        <v>-81.600104144221405</v>
      </c>
      <c r="AB22" s="351">
        <f t="shared" si="17"/>
        <v>0.95919994792788932</v>
      </c>
      <c r="AC22" s="442"/>
    </row>
    <row r="23" spans="1:29" ht="15.75" customHeight="1">
      <c r="A23" s="463" t="s">
        <v>1865</v>
      </c>
      <c r="B23" s="31" t="s">
        <v>67</v>
      </c>
      <c r="C23" s="464" t="s">
        <v>68</v>
      </c>
      <c r="D23" s="464"/>
      <c r="E23" s="31">
        <v>26.2</v>
      </c>
      <c r="F23" s="357">
        <v>3293</v>
      </c>
      <c r="G23" s="346">
        <f t="shared" ref="G23:G29" si="36">E23*F23</f>
        <v>86276.599999999991</v>
      </c>
      <c r="H23" s="359" t="s">
        <v>103</v>
      </c>
      <c r="I23" s="355">
        <v>20</v>
      </c>
      <c r="J23" s="26">
        <v>2400</v>
      </c>
      <c r="K23" s="10">
        <f>J23/I23</f>
        <v>120</v>
      </c>
      <c r="L23" s="355">
        <v>20</v>
      </c>
      <c r="M23" s="11">
        <f t="shared" ref="M23:M29" si="37">F23/V23*60</f>
        <v>2297.4418604651164</v>
      </c>
      <c r="N23" s="10">
        <f t="shared" ref="N23:N29" si="38">M23/L23</f>
        <v>114.87209302325581</v>
      </c>
      <c r="O23" s="12">
        <f t="shared" ref="O23:O29" si="39">L23-I23</f>
        <v>0</v>
      </c>
      <c r="P23" s="13">
        <f t="shared" ref="P23:P29" si="40">N23-K23</f>
        <v>-5.1279069767441854</v>
      </c>
      <c r="Q23" s="351">
        <f t="shared" ref="Q23:Q28" si="41">N23/K23</f>
        <v>0.95726744186046508</v>
      </c>
      <c r="R23" s="442">
        <f>Q30</f>
        <v>0.95984291460787152</v>
      </c>
      <c r="S23" s="28">
        <v>8.3333333333333329E-2</v>
      </c>
      <c r="T23" s="28">
        <v>0.14305555555555555</v>
      </c>
      <c r="U23" s="346"/>
      <c r="V23" s="356">
        <f t="shared" ref="V23:V29" si="42">(T23-S23)*24*60</f>
        <v>85.999999999999986</v>
      </c>
      <c r="W23" s="16">
        <f>T23</f>
        <v>0.14305555555555555</v>
      </c>
      <c r="X23" s="16">
        <f>S24</f>
        <v>0.16041666666666662</v>
      </c>
      <c r="Y23" s="443"/>
      <c r="Z23" s="443"/>
      <c r="AA23" s="12">
        <f t="shared" si="2"/>
        <v>-102.55813953488359</v>
      </c>
      <c r="AB23" s="351">
        <f>M23/J23</f>
        <v>0.9572674418604652</v>
      </c>
      <c r="AC23" s="442">
        <f>AB30</f>
        <v>0.95984291460787152</v>
      </c>
    </row>
    <row r="24" spans="1:29" ht="15.75" customHeight="1">
      <c r="A24" s="463" t="s">
        <v>1865</v>
      </c>
      <c r="B24" s="31" t="s">
        <v>67</v>
      </c>
      <c r="C24" s="464" t="s">
        <v>69</v>
      </c>
      <c r="D24" s="464"/>
      <c r="E24" s="31">
        <v>31.29</v>
      </c>
      <c r="F24" s="357">
        <v>6512</v>
      </c>
      <c r="G24" s="346">
        <f t="shared" si="36"/>
        <v>203760.47999999998</v>
      </c>
      <c r="H24" s="359" t="s">
        <v>103</v>
      </c>
      <c r="I24" s="355">
        <v>18</v>
      </c>
      <c r="J24" s="26">
        <v>2400</v>
      </c>
      <c r="K24" s="10">
        <f t="shared" ref="K24:K30" si="43">J24/I24</f>
        <v>133.33333333333334</v>
      </c>
      <c r="L24" s="355">
        <v>18</v>
      </c>
      <c r="M24" s="11">
        <f t="shared" si="37"/>
        <v>2284.9122807017548</v>
      </c>
      <c r="N24" s="10">
        <f t="shared" si="38"/>
        <v>126.93957115009749</v>
      </c>
      <c r="O24" s="12">
        <f t="shared" si="39"/>
        <v>0</v>
      </c>
      <c r="P24" s="13">
        <f t="shared" si="40"/>
        <v>-6.3937621832358502</v>
      </c>
      <c r="Q24" s="351">
        <f t="shared" si="41"/>
        <v>0.95204678362573114</v>
      </c>
      <c r="R24" s="442"/>
      <c r="S24" s="28">
        <v>0.16041666666666662</v>
      </c>
      <c r="T24" s="28">
        <v>0.27916666666666662</v>
      </c>
      <c r="U24" s="346">
        <f>(S24-T23)*24*60</f>
        <v>24.99999999999995</v>
      </c>
      <c r="V24" s="356">
        <f t="shared" si="42"/>
        <v>170.99999999999997</v>
      </c>
      <c r="W24" s="16"/>
      <c r="X24" s="16"/>
      <c r="Y24" s="443"/>
      <c r="Z24" s="443"/>
      <c r="AA24" s="12">
        <f t="shared" si="2"/>
        <v>-115.08771929824525</v>
      </c>
      <c r="AB24" s="351">
        <f t="shared" ref="AB24:AB29" si="44">M24/J24</f>
        <v>0.95204678362573114</v>
      </c>
      <c r="AC24" s="442"/>
    </row>
    <row r="25" spans="1:29" ht="15.75" customHeight="1">
      <c r="A25" s="463" t="s">
        <v>1865</v>
      </c>
      <c r="B25" s="31" t="s">
        <v>67</v>
      </c>
      <c r="C25" s="464" t="s">
        <v>101</v>
      </c>
      <c r="D25" s="464"/>
      <c r="E25" s="31">
        <v>25</v>
      </c>
      <c r="F25" s="357">
        <v>2915</v>
      </c>
      <c r="G25" s="346">
        <f t="shared" si="36"/>
        <v>72875</v>
      </c>
      <c r="H25" s="359" t="s">
        <v>103</v>
      </c>
      <c r="I25" s="355">
        <v>15</v>
      </c>
      <c r="J25" s="26">
        <v>2400</v>
      </c>
      <c r="K25" s="10">
        <f t="shared" si="43"/>
        <v>160</v>
      </c>
      <c r="L25" s="355">
        <v>15</v>
      </c>
      <c r="M25" s="11">
        <f t="shared" si="37"/>
        <v>2301.3157894736851</v>
      </c>
      <c r="N25" s="10">
        <f t="shared" si="38"/>
        <v>153.42105263157902</v>
      </c>
      <c r="O25" s="12">
        <f t="shared" si="39"/>
        <v>0</v>
      </c>
      <c r="P25" s="13">
        <f t="shared" si="40"/>
        <v>-6.5789473684209838</v>
      </c>
      <c r="Q25" s="351">
        <f t="shared" si="41"/>
        <v>0.95888157894736881</v>
      </c>
      <c r="R25" s="442"/>
      <c r="S25" s="28">
        <v>0.28333333333333327</v>
      </c>
      <c r="T25" s="28">
        <v>0.33611111111111103</v>
      </c>
      <c r="U25" s="346">
        <f t="shared" ref="U25:U29" si="45">(S25-T24)*24*60</f>
        <v>5.9999999999999787</v>
      </c>
      <c r="V25" s="356">
        <f t="shared" si="42"/>
        <v>75.999999999999972</v>
      </c>
      <c r="W25" s="16"/>
      <c r="X25" s="16"/>
      <c r="Y25" s="443"/>
      <c r="Z25" s="443"/>
      <c r="AA25" s="12">
        <f t="shared" si="2"/>
        <v>-98.684210526314928</v>
      </c>
      <c r="AB25" s="351">
        <f t="shared" si="44"/>
        <v>0.95888157894736881</v>
      </c>
      <c r="AC25" s="442"/>
    </row>
    <row r="26" spans="1:29" ht="15.75" customHeight="1">
      <c r="A26" s="463" t="s">
        <v>1865</v>
      </c>
      <c r="B26" s="31" t="s">
        <v>67</v>
      </c>
      <c r="C26" s="464" t="s">
        <v>165</v>
      </c>
      <c r="D26" s="464"/>
      <c r="E26" s="31">
        <v>26.18</v>
      </c>
      <c r="F26" s="357">
        <v>2964</v>
      </c>
      <c r="G26" s="346">
        <f t="shared" si="36"/>
        <v>77597.52</v>
      </c>
      <c r="H26" s="359" t="s">
        <v>103</v>
      </c>
      <c r="I26" s="355">
        <v>19</v>
      </c>
      <c r="J26" s="26">
        <v>2400</v>
      </c>
      <c r="K26" s="10">
        <f t="shared" si="43"/>
        <v>126.31578947368421</v>
      </c>
      <c r="L26" s="355">
        <v>19</v>
      </c>
      <c r="M26" s="11">
        <f t="shared" si="37"/>
        <v>2309.6103896103882</v>
      </c>
      <c r="N26" s="10">
        <f t="shared" si="38"/>
        <v>121.55844155844149</v>
      </c>
      <c r="O26" s="12">
        <f t="shared" si="39"/>
        <v>0</v>
      </c>
      <c r="P26" s="13">
        <f t="shared" si="40"/>
        <v>-4.7573479152427183</v>
      </c>
      <c r="Q26" s="351">
        <f t="shared" si="41"/>
        <v>0.96233766233766183</v>
      </c>
      <c r="R26" s="442"/>
      <c r="S26" s="28">
        <v>0.33958333333333324</v>
      </c>
      <c r="T26" s="28">
        <v>0.39305555555555549</v>
      </c>
      <c r="U26" s="346">
        <f t="shared" si="45"/>
        <v>4.9999999999999822</v>
      </c>
      <c r="V26" s="356">
        <f t="shared" si="42"/>
        <v>77.000000000000043</v>
      </c>
      <c r="W26" s="16"/>
      <c r="X26" s="16"/>
      <c r="Y26" s="443"/>
      <c r="Z26" s="443"/>
      <c r="AA26" s="12">
        <f t="shared" si="2"/>
        <v>-90.389610389611789</v>
      </c>
      <c r="AB26" s="351">
        <f t="shared" si="44"/>
        <v>0.96233766233766171</v>
      </c>
      <c r="AC26" s="442"/>
    </row>
    <row r="27" spans="1:29" ht="15.75" customHeight="1">
      <c r="A27" s="463" t="s">
        <v>1865</v>
      </c>
      <c r="B27" s="31" t="s">
        <v>67</v>
      </c>
      <c r="C27" s="464" t="s">
        <v>77</v>
      </c>
      <c r="D27" s="464"/>
      <c r="E27" s="31">
        <v>26.2</v>
      </c>
      <c r="F27" s="357">
        <v>2865</v>
      </c>
      <c r="G27" s="346">
        <f t="shared" si="36"/>
        <v>75063</v>
      </c>
      <c r="H27" s="359" t="s">
        <v>103</v>
      </c>
      <c r="I27" s="355">
        <v>19</v>
      </c>
      <c r="J27" s="26">
        <v>2400</v>
      </c>
      <c r="K27" s="10">
        <f t="shared" si="43"/>
        <v>126.31578947368421</v>
      </c>
      <c r="L27" s="355">
        <v>19</v>
      </c>
      <c r="M27" s="11">
        <f t="shared" si="37"/>
        <v>2292.0000000000009</v>
      </c>
      <c r="N27" s="10">
        <f t="shared" si="38"/>
        <v>120.63157894736847</v>
      </c>
      <c r="O27" s="12">
        <f t="shared" si="39"/>
        <v>0</v>
      </c>
      <c r="P27" s="13">
        <f t="shared" si="40"/>
        <v>-5.6842105263157379</v>
      </c>
      <c r="Q27" s="351">
        <f t="shared" si="41"/>
        <v>0.9550000000000004</v>
      </c>
      <c r="R27" s="442"/>
      <c r="S27" s="28">
        <v>0.39791666666666659</v>
      </c>
      <c r="T27" s="28">
        <v>0.4499999999999999</v>
      </c>
      <c r="U27" s="346">
        <f t="shared" si="45"/>
        <v>6.9999999999999751</v>
      </c>
      <c r="V27" s="356">
        <f t="shared" si="42"/>
        <v>74.999999999999972</v>
      </c>
      <c r="W27" s="16"/>
      <c r="X27" s="16"/>
      <c r="Y27" s="443"/>
      <c r="Z27" s="443"/>
      <c r="AA27" s="12">
        <f t="shared" si="2"/>
        <v>-107.99999999999909</v>
      </c>
      <c r="AB27" s="351">
        <f t="shared" si="44"/>
        <v>0.9550000000000004</v>
      </c>
      <c r="AC27" s="442"/>
    </row>
    <row r="28" spans="1:29" ht="15.75" customHeight="1">
      <c r="A28" s="463" t="s">
        <v>1865</v>
      </c>
      <c r="B28" s="31" t="s">
        <v>67</v>
      </c>
      <c r="C28" s="464" t="s">
        <v>78</v>
      </c>
      <c r="D28" s="464"/>
      <c r="E28" s="31">
        <v>25.98</v>
      </c>
      <c r="F28" s="357">
        <v>1252</v>
      </c>
      <c r="G28" s="346">
        <f t="shared" si="36"/>
        <v>32526.959999999999</v>
      </c>
      <c r="H28" s="359" t="s">
        <v>103</v>
      </c>
      <c r="I28" s="355">
        <v>17</v>
      </c>
      <c r="J28" s="26">
        <v>2400</v>
      </c>
      <c r="K28" s="10">
        <f t="shared" si="43"/>
        <v>141.1764705882353</v>
      </c>
      <c r="L28" s="355">
        <v>17</v>
      </c>
      <c r="M28" s="11">
        <f t="shared" si="37"/>
        <v>2347.5000000000027</v>
      </c>
      <c r="N28" s="10">
        <f t="shared" si="38"/>
        <v>138.08823529411779</v>
      </c>
      <c r="O28" s="12">
        <f t="shared" si="39"/>
        <v>0</v>
      </c>
      <c r="P28" s="13">
        <f t="shared" si="40"/>
        <v>-3.08823529411751</v>
      </c>
      <c r="Q28" s="351">
        <f t="shared" si="41"/>
        <v>0.97812500000000102</v>
      </c>
      <c r="R28" s="442"/>
      <c r="S28" s="28">
        <v>0.45416666666666655</v>
      </c>
      <c r="T28" s="28">
        <v>0.47638888888888875</v>
      </c>
      <c r="U28" s="346">
        <f t="shared" si="45"/>
        <v>5.9999999999999787</v>
      </c>
      <c r="V28" s="356">
        <f t="shared" si="42"/>
        <v>31.999999999999964</v>
      </c>
      <c r="W28" s="16"/>
      <c r="X28" s="16"/>
      <c r="Y28" s="443"/>
      <c r="Z28" s="443"/>
      <c r="AA28" s="12">
        <f t="shared" si="2"/>
        <v>-52.499999999997272</v>
      </c>
      <c r="AB28" s="351">
        <f t="shared" si="44"/>
        <v>0.97812500000000113</v>
      </c>
      <c r="AC28" s="442"/>
    </row>
    <row r="29" spans="1:29" ht="15.75" customHeight="1">
      <c r="A29" s="463" t="s">
        <v>1865</v>
      </c>
      <c r="B29" s="31" t="s">
        <v>67</v>
      </c>
      <c r="C29" s="464" t="s">
        <v>76</v>
      </c>
      <c r="D29" s="464"/>
      <c r="E29" s="31">
        <v>20.52</v>
      </c>
      <c r="F29" s="357">
        <v>2369</v>
      </c>
      <c r="G29" s="346">
        <f t="shared" si="36"/>
        <v>48611.88</v>
      </c>
      <c r="H29" s="359" t="s">
        <v>103</v>
      </c>
      <c r="I29" s="355">
        <v>18</v>
      </c>
      <c r="J29" s="26">
        <v>2400</v>
      </c>
      <c r="K29" s="10">
        <f t="shared" si="43"/>
        <v>133.33333333333334</v>
      </c>
      <c r="L29" s="355">
        <v>18</v>
      </c>
      <c r="M29" s="11">
        <f t="shared" si="37"/>
        <v>2292.5806451612925</v>
      </c>
      <c r="N29" s="10">
        <f t="shared" si="38"/>
        <v>127.36559139784958</v>
      </c>
      <c r="O29" s="12">
        <f t="shared" si="39"/>
        <v>0</v>
      </c>
      <c r="P29" s="13">
        <f t="shared" si="40"/>
        <v>-5.9677419354837582</v>
      </c>
      <c r="Q29" s="351">
        <f>N29/K29</f>
        <v>0.95524193548387182</v>
      </c>
      <c r="R29" s="442"/>
      <c r="S29" s="28">
        <v>0.48124999999999984</v>
      </c>
      <c r="T29" s="28">
        <v>0.52430555555555536</v>
      </c>
      <c r="U29" s="346">
        <f t="shared" si="45"/>
        <v>6.9999999999999751</v>
      </c>
      <c r="V29" s="356">
        <f t="shared" si="42"/>
        <v>61.999999999999943</v>
      </c>
      <c r="W29" s="16"/>
      <c r="X29" s="16"/>
      <c r="Y29" s="443"/>
      <c r="Z29" s="443"/>
      <c r="AA29" s="12">
        <f t="shared" si="2"/>
        <v>-107.41935483870748</v>
      </c>
      <c r="AB29" s="351">
        <f t="shared" si="44"/>
        <v>0.95524193548387193</v>
      </c>
      <c r="AC29" s="442"/>
    </row>
    <row r="30" spans="1:29" ht="15.75" customHeight="1">
      <c r="A30" s="463" t="s">
        <v>1865</v>
      </c>
      <c r="B30" s="31" t="s">
        <v>1681</v>
      </c>
      <c r="C30" s="446"/>
      <c r="D30" s="446"/>
      <c r="E30" s="345"/>
      <c r="F30" s="357"/>
      <c r="G30" s="346"/>
      <c r="H30" s="357"/>
      <c r="I30" s="19">
        <v>18</v>
      </c>
      <c r="J30" s="26">
        <v>2400</v>
      </c>
      <c r="K30" s="10">
        <f t="shared" si="43"/>
        <v>133.33333333333334</v>
      </c>
      <c r="L30" s="19">
        <v>18</v>
      </c>
      <c r="M30" s="11">
        <f>AVERAGE(M23:M29)</f>
        <v>2303.6229950588918</v>
      </c>
      <c r="N30" s="10">
        <f>M30/L30</f>
        <v>127.97905528104954</v>
      </c>
      <c r="O30" s="12">
        <f>L30-I30</f>
        <v>0</v>
      </c>
      <c r="P30" s="13">
        <f>N30-K30</f>
        <v>-5.3542780522838029</v>
      </c>
      <c r="Q30" s="351">
        <f>N30/K30</f>
        <v>0.95984291460787152</v>
      </c>
      <c r="R30" s="442"/>
      <c r="S30" s="28"/>
      <c r="T30" s="28"/>
      <c r="U30" s="346"/>
      <c r="V30" s="356"/>
      <c r="W30" s="346"/>
      <c r="X30" s="346"/>
      <c r="Y30" s="443"/>
      <c r="Z30" s="443"/>
      <c r="AA30" s="12">
        <f t="shared" si="2"/>
        <v>-96.377004941108225</v>
      </c>
      <c r="AB30" s="351">
        <f>M30/J30</f>
        <v>0.95984291460787152</v>
      </c>
      <c r="AC30" s="442"/>
    </row>
    <row r="31" spans="1:29" ht="15.75" customHeight="1">
      <c r="A31" s="461" t="s">
        <v>1676</v>
      </c>
      <c r="B31" s="31" t="s">
        <v>67</v>
      </c>
      <c r="C31" s="441" t="s">
        <v>73</v>
      </c>
      <c r="D31" s="441"/>
      <c r="E31" s="31">
        <v>26.2</v>
      </c>
      <c r="F31" s="357">
        <v>4647</v>
      </c>
      <c r="G31" s="346">
        <f t="shared" ref="G31:G34" si="46">E31*F31</f>
        <v>121751.4</v>
      </c>
      <c r="H31" s="359" t="s">
        <v>103</v>
      </c>
      <c r="I31" s="355">
        <v>18</v>
      </c>
      <c r="J31" s="26">
        <v>2400</v>
      </c>
      <c r="K31" s="10">
        <f>J31/I31</f>
        <v>133.33333333333334</v>
      </c>
      <c r="L31" s="355">
        <v>18</v>
      </c>
      <c r="M31" s="11">
        <f>F31/V31*60</f>
        <v>2285.4098360655739</v>
      </c>
      <c r="N31" s="10">
        <f>M31/L31</f>
        <v>126.9672131147541</v>
      </c>
      <c r="O31" s="12">
        <f t="shared" ref="O31:O34" si="47">L31-I31</f>
        <v>0</v>
      </c>
      <c r="P31" s="13">
        <f t="shared" ref="P31:P35" si="48">N31-K31</f>
        <v>-6.3661202185792405</v>
      </c>
      <c r="Q31" s="351">
        <f t="shared" ref="Q31:Q35" si="49">N31/K31</f>
        <v>0.95225409836065567</v>
      </c>
      <c r="R31" s="442">
        <f>Q35</f>
        <v>0.95500224261553546</v>
      </c>
      <c r="S31" s="28">
        <v>8.3333333333333329E-2</v>
      </c>
      <c r="T31" s="28">
        <v>0.16805555555555554</v>
      </c>
      <c r="U31" s="346"/>
      <c r="V31" s="356">
        <f t="shared" ref="V31:V34" si="50">(T31-S31)*24*60</f>
        <v>122</v>
      </c>
      <c r="W31" s="18">
        <f>T31</f>
        <v>0.16805555555555554</v>
      </c>
      <c r="X31" s="18">
        <f>S32</f>
        <v>0.18888888888888888</v>
      </c>
      <c r="Y31" s="443"/>
      <c r="Z31" s="443"/>
      <c r="AA31" s="12">
        <f t="shared" si="2"/>
        <v>-114.59016393442607</v>
      </c>
      <c r="AB31" s="351">
        <f>M31/J31</f>
        <v>0.95225409836065578</v>
      </c>
      <c r="AC31" s="442">
        <f>AB35</f>
        <v>0.95500224261553546</v>
      </c>
    </row>
    <row r="32" spans="1:29" ht="15.75" customHeight="1">
      <c r="A32" s="461" t="s">
        <v>1676</v>
      </c>
      <c r="B32" s="31" t="s">
        <v>67</v>
      </c>
      <c r="C32" s="441" t="s">
        <v>75</v>
      </c>
      <c r="D32" s="441"/>
      <c r="E32" s="31">
        <v>26.39</v>
      </c>
      <c r="F32" s="357">
        <v>4329</v>
      </c>
      <c r="G32" s="346">
        <f t="shared" si="46"/>
        <v>114242.31</v>
      </c>
      <c r="H32" s="359" t="s">
        <v>103</v>
      </c>
      <c r="I32" s="355">
        <v>19</v>
      </c>
      <c r="J32" s="26">
        <v>2400</v>
      </c>
      <c r="K32" s="10">
        <f t="shared" ref="K32:K35" si="51">J32/I32</f>
        <v>126.31578947368421</v>
      </c>
      <c r="L32" s="355">
        <v>19</v>
      </c>
      <c r="M32" s="11">
        <f t="shared" ref="M32:M34" si="52">F32/V32*60</f>
        <v>2298.5840707964603</v>
      </c>
      <c r="N32" s="10">
        <f t="shared" ref="N32:N34" si="53">M32/L32</f>
        <v>120.97810898928738</v>
      </c>
      <c r="O32" s="12">
        <f t="shared" si="47"/>
        <v>0</v>
      </c>
      <c r="P32" s="13">
        <f t="shared" si="48"/>
        <v>-5.3376804843968273</v>
      </c>
      <c r="Q32" s="351">
        <f t="shared" si="49"/>
        <v>0.95774336283185846</v>
      </c>
      <c r="R32" s="442"/>
      <c r="S32" s="28">
        <v>0.18888888888888888</v>
      </c>
      <c r="T32" s="28">
        <v>0.2673611111111111</v>
      </c>
      <c r="U32" s="346">
        <f>(S32-T31)*24*60</f>
        <v>30.000000000000014</v>
      </c>
      <c r="V32" s="356">
        <f t="shared" si="50"/>
        <v>113</v>
      </c>
      <c r="W32" s="346"/>
      <c r="X32" s="346"/>
      <c r="Y32" s="443"/>
      <c r="Z32" s="443"/>
      <c r="AA32" s="12">
        <f t="shared" si="2"/>
        <v>-101.41592920353969</v>
      </c>
      <c r="AB32" s="351">
        <f t="shared" ref="AB32:AB54" si="54">M32/J32</f>
        <v>0.95774336283185846</v>
      </c>
      <c r="AC32" s="442"/>
    </row>
    <row r="33" spans="1:29">
      <c r="A33" s="462" t="s">
        <v>1676</v>
      </c>
      <c r="B33" s="31" t="s">
        <v>67</v>
      </c>
      <c r="C33" s="441" t="s">
        <v>1167</v>
      </c>
      <c r="D33" s="441"/>
      <c r="E33" s="31">
        <v>24.43</v>
      </c>
      <c r="F33" s="357">
        <v>6521</v>
      </c>
      <c r="G33" s="346">
        <f t="shared" si="46"/>
        <v>159308.03</v>
      </c>
      <c r="H33" s="359" t="s">
        <v>103</v>
      </c>
      <c r="I33" s="355">
        <v>15</v>
      </c>
      <c r="J33" s="26">
        <v>2400</v>
      </c>
      <c r="K33" s="10">
        <f t="shared" si="51"/>
        <v>160</v>
      </c>
      <c r="L33" s="355">
        <v>15</v>
      </c>
      <c r="M33" s="11">
        <f t="shared" si="52"/>
        <v>2288.0701754385964</v>
      </c>
      <c r="N33" s="10">
        <f t="shared" si="53"/>
        <v>152.53801169590642</v>
      </c>
      <c r="O33" s="12">
        <f t="shared" si="47"/>
        <v>0</v>
      </c>
      <c r="P33" s="13">
        <f t="shared" si="48"/>
        <v>-7.4619883040935804</v>
      </c>
      <c r="Q33" s="351">
        <f t="shared" si="49"/>
        <v>0.95336257309941508</v>
      </c>
      <c r="R33" s="442"/>
      <c r="S33" s="28">
        <v>0.27291666666666664</v>
      </c>
      <c r="T33" s="28">
        <v>0.39166666666666666</v>
      </c>
      <c r="U33" s="346">
        <f t="shared" ref="U33:U34" si="55">(S33-T32)*24*60</f>
        <v>7.9999999999999716</v>
      </c>
      <c r="V33" s="356">
        <f t="shared" si="50"/>
        <v>171.00000000000003</v>
      </c>
      <c r="W33" s="346"/>
      <c r="X33" s="346"/>
      <c r="Y33" s="443"/>
      <c r="Z33" s="443"/>
      <c r="AA33" s="12">
        <f t="shared" si="2"/>
        <v>-111.92982456140362</v>
      </c>
      <c r="AB33" s="351">
        <f t="shared" si="54"/>
        <v>0.95336257309941519</v>
      </c>
      <c r="AC33" s="442"/>
    </row>
    <row r="34" spans="1:29">
      <c r="A34" s="462" t="s">
        <v>1676</v>
      </c>
      <c r="B34" s="31" t="s">
        <v>67</v>
      </c>
      <c r="C34" s="441" t="s">
        <v>1616</v>
      </c>
      <c r="D34" s="441"/>
      <c r="E34" s="31">
        <v>24.25</v>
      </c>
      <c r="F34" s="357">
        <v>7194</v>
      </c>
      <c r="G34" s="346">
        <f t="shared" si="46"/>
        <v>174454.5</v>
      </c>
      <c r="H34" s="359" t="s">
        <v>103</v>
      </c>
      <c r="I34" s="355">
        <v>14</v>
      </c>
      <c r="J34" s="26">
        <v>2400</v>
      </c>
      <c r="K34" s="10">
        <f t="shared" si="51"/>
        <v>171.42857142857142</v>
      </c>
      <c r="L34" s="355">
        <v>14</v>
      </c>
      <c r="M34" s="11">
        <f t="shared" si="52"/>
        <v>2295.9574468085102</v>
      </c>
      <c r="N34" s="10">
        <f t="shared" si="53"/>
        <v>163.99696048632217</v>
      </c>
      <c r="O34" s="12">
        <f t="shared" si="47"/>
        <v>0</v>
      </c>
      <c r="P34" s="13">
        <f t="shared" si="48"/>
        <v>-7.4316109422492502</v>
      </c>
      <c r="Q34" s="351">
        <f t="shared" si="49"/>
        <v>0.95664893617021274</v>
      </c>
      <c r="R34" s="442"/>
      <c r="S34" s="28">
        <v>0.39513888888888887</v>
      </c>
      <c r="T34" s="28">
        <v>0.52569444444444446</v>
      </c>
      <c r="U34" s="346">
        <f t="shared" si="55"/>
        <v>4.9999999999999822</v>
      </c>
      <c r="V34" s="356">
        <f t="shared" si="50"/>
        <v>188.00000000000006</v>
      </c>
      <c r="W34" s="16"/>
      <c r="X34" s="16"/>
      <c r="Y34" s="443"/>
      <c r="Z34" s="443"/>
      <c r="AA34" s="12">
        <f t="shared" si="2"/>
        <v>-104.04255319148979</v>
      </c>
      <c r="AB34" s="351">
        <f t="shared" si="54"/>
        <v>0.95664893617021263</v>
      </c>
      <c r="AC34" s="442"/>
    </row>
    <row r="35" spans="1:29">
      <c r="A35" s="462" t="s">
        <v>1676</v>
      </c>
      <c r="B35" s="33" t="s">
        <v>1681</v>
      </c>
      <c r="C35" s="446"/>
      <c r="D35" s="446"/>
      <c r="E35" s="345"/>
      <c r="F35" s="33"/>
      <c r="G35" s="10"/>
      <c r="H35" s="357"/>
      <c r="I35" s="19">
        <v>16.5</v>
      </c>
      <c r="J35" s="26">
        <v>2400</v>
      </c>
      <c r="K35" s="10">
        <f t="shared" si="51"/>
        <v>145.45454545454547</v>
      </c>
      <c r="L35" s="19">
        <v>16.5</v>
      </c>
      <c r="M35" s="11">
        <f>AVERAGE(M31:M34)</f>
        <v>2292.0053822772852</v>
      </c>
      <c r="N35" s="10">
        <f>M35/L35</f>
        <v>138.90941710771426</v>
      </c>
      <c r="O35" s="12">
        <f>L35-I35</f>
        <v>0</v>
      </c>
      <c r="P35" s="13">
        <f t="shared" si="48"/>
        <v>-6.5451283468312056</v>
      </c>
      <c r="Q35" s="351">
        <f t="shared" si="49"/>
        <v>0.95500224261553546</v>
      </c>
      <c r="R35" s="442"/>
      <c r="S35" s="28"/>
      <c r="T35" s="28"/>
      <c r="U35" s="10"/>
      <c r="V35" s="356"/>
      <c r="W35" s="10"/>
      <c r="X35" s="10"/>
      <c r="Y35" s="443"/>
      <c r="Z35" s="443"/>
      <c r="AA35" s="12">
        <f t="shared" si="2"/>
        <v>-107.99461772271479</v>
      </c>
      <c r="AB35" s="351">
        <f t="shared" si="54"/>
        <v>0.95500224261553546</v>
      </c>
      <c r="AC35" s="442"/>
    </row>
    <row r="36" spans="1:29" ht="15.75" customHeight="1">
      <c r="A36" s="453" t="s">
        <v>1680</v>
      </c>
      <c r="B36" s="31" t="s">
        <v>79</v>
      </c>
      <c r="C36" s="444" t="s">
        <v>80</v>
      </c>
      <c r="D36" s="445"/>
      <c r="E36" s="31">
        <v>21.13</v>
      </c>
      <c r="F36" s="357">
        <v>4113</v>
      </c>
      <c r="G36" s="346">
        <v>86907.69</v>
      </c>
      <c r="H36" s="359" t="s">
        <v>103</v>
      </c>
      <c r="I36" s="355">
        <v>10</v>
      </c>
      <c r="J36" s="26">
        <v>3000</v>
      </c>
      <c r="K36" s="10">
        <v>300</v>
      </c>
      <c r="L36" s="355">
        <v>10</v>
      </c>
      <c r="M36" s="11">
        <v>2869.5348837209308</v>
      </c>
      <c r="N36" s="11">
        <v>286.95348837209309</v>
      </c>
      <c r="O36" s="12">
        <v>0</v>
      </c>
      <c r="P36" s="13">
        <v>-13.046511627906909</v>
      </c>
      <c r="Q36" s="351">
        <v>0.95651162790697697</v>
      </c>
      <c r="R36" s="442">
        <f>Q42</f>
        <v>0.96322415219617086</v>
      </c>
      <c r="S36" s="28">
        <v>8.3333333333333329E-2</v>
      </c>
      <c r="T36" s="28">
        <v>0.14305555555555555</v>
      </c>
      <c r="U36" s="18"/>
      <c r="V36" s="356">
        <v>85.999999999999986</v>
      </c>
      <c r="W36" s="18">
        <f>T36</f>
        <v>0.14305555555555555</v>
      </c>
      <c r="X36" s="18">
        <f>S37</f>
        <v>0.16111111111111109</v>
      </c>
      <c r="Y36" s="447"/>
      <c r="Z36" s="448"/>
      <c r="AA36" s="12">
        <f t="shared" si="2"/>
        <v>-130.46511627906921</v>
      </c>
      <c r="AB36" s="351">
        <f t="shared" si="54"/>
        <v>0.95651162790697697</v>
      </c>
      <c r="AC36" s="456">
        <f>AB42</f>
        <v>0.96322415219617097</v>
      </c>
    </row>
    <row r="37" spans="1:29" ht="15.75" customHeight="1">
      <c r="A37" s="454" t="s">
        <v>1680</v>
      </c>
      <c r="B37" s="31" t="s">
        <v>79</v>
      </c>
      <c r="C37" s="444" t="s">
        <v>81</v>
      </c>
      <c r="D37" s="445"/>
      <c r="E37" s="31">
        <v>27.17</v>
      </c>
      <c r="F37" s="357">
        <v>5221</v>
      </c>
      <c r="G37" s="346">
        <v>141854.57</v>
      </c>
      <c r="H37" s="359" t="s">
        <v>103</v>
      </c>
      <c r="I37" s="355">
        <v>10</v>
      </c>
      <c r="J37" s="26">
        <v>3000</v>
      </c>
      <c r="K37" s="10">
        <v>300</v>
      </c>
      <c r="L37" s="355">
        <v>10</v>
      </c>
      <c r="M37" s="11">
        <v>2873.9449541284398</v>
      </c>
      <c r="N37" s="11">
        <v>287.39449541284398</v>
      </c>
      <c r="O37" s="12">
        <v>0</v>
      </c>
      <c r="P37" s="13">
        <v>-12.60550458715602</v>
      </c>
      <c r="Q37" s="351">
        <v>0.95798165137614655</v>
      </c>
      <c r="R37" s="442"/>
      <c r="S37" s="28">
        <v>0.16111111111111109</v>
      </c>
      <c r="T37" s="28">
        <v>0.23680555555555555</v>
      </c>
      <c r="U37" s="346">
        <v>25.999999999999986</v>
      </c>
      <c r="V37" s="356">
        <v>109.00000000000001</v>
      </c>
      <c r="W37" s="16"/>
      <c r="X37" s="16"/>
      <c r="Y37" s="447"/>
      <c r="Z37" s="448"/>
      <c r="AA37" s="12">
        <f t="shared" si="2"/>
        <v>-126.0550458715602</v>
      </c>
      <c r="AB37" s="351">
        <f t="shared" si="54"/>
        <v>0.95798165137614655</v>
      </c>
      <c r="AC37" s="457"/>
    </row>
    <row r="38" spans="1:29" ht="15.75" customHeight="1">
      <c r="A38" s="454" t="s">
        <v>1680</v>
      </c>
      <c r="B38" s="31" t="s">
        <v>79</v>
      </c>
      <c r="C38" s="444" t="s">
        <v>82</v>
      </c>
      <c r="D38" s="445"/>
      <c r="E38" s="31">
        <v>35.119999999999997</v>
      </c>
      <c r="F38" s="357">
        <v>3982</v>
      </c>
      <c r="G38" s="346">
        <v>139847.84</v>
      </c>
      <c r="H38" s="359" t="s">
        <v>103</v>
      </c>
      <c r="I38" s="355">
        <v>10</v>
      </c>
      <c r="J38" s="26">
        <v>3000</v>
      </c>
      <c r="K38" s="10">
        <v>300</v>
      </c>
      <c r="L38" s="355">
        <v>10</v>
      </c>
      <c r="M38" s="11">
        <v>2878.5542168674688</v>
      </c>
      <c r="N38" s="11">
        <v>287.85542168674687</v>
      </c>
      <c r="O38" s="12">
        <v>0</v>
      </c>
      <c r="P38" s="13">
        <v>-12.144578313253135</v>
      </c>
      <c r="Q38" s="351">
        <v>0.9595180722891562</v>
      </c>
      <c r="R38" s="442"/>
      <c r="S38" s="28">
        <v>0.24166666666666667</v>
      </c>
      <c r="T38" s="28">
        <v>0.29930555555555555</v>
      </c>
      <c r="U38" s="346">
        <v>7.0000000000000151</v>
      </c>
      <c r="V38" s="356">
        <v>82.999999999999986</v>
      </c>
      <c r="W38" s="16"/>
      <c r="X38" s="16"/>
      <c r="Y38" s="447"/>
      <c r="Z38" s="448"/>
      <c r="AA38" s="12">
        <f t="shared" si="2"/>
        <v>-121.44578313253123</v>
      </c>
      <c r="AB38" s="351">
        <f t="shared" si="54"/>
        <v>0.95951807228915631</v>
      </c>
      <c r="AC38" s="457"/>
    </row>
    <row r="39" spans="1:29" ht="15.75" customHeight="1">
      <c r="A39" s="454" t="s">
        <v>1680</v>
      </c>
      <c r="B39" s="31" t="s">
        <v>79</v>
      </c>
      <c r="C39" s="444" t="s">
        <v>85</v>
      </c>
      <c r="D39" s="445"/>
      <c r="E39" s="31">
        <v>35.869999999999997</v>
      </c>
      <c r="F39" s="357">
        <v>2838</v>
      </c>
      <c r="G39" s="346">
        <v>101799.06</v>
      </c>
      <c r="H39" s="359" t="s">
        <v>103</v>
      </c>
      <c r="I39" s="355">
        <v>10</v>
      </c>
      <c r="J39" s="26">
        <v>3000</v>
      </c>
      <c r="K39" s="10">
        <v>300</v>
      </c>
      <c r="L39" s="355">
        <v>10</v>
      </c>
      <c r="M39" s="11">
        <v>2886.1016949152527</v>
      </c>
      <c r="N39" s="11">
        <v>288.61016949152526</v>
      </c>
      <c r="O39" s="12">
        <v>0</v>
      </c>
      <c r="P39" s="13">
        <v>-11.389830508474745</v>
      </c>
      <c r="Q39" s="351">
        <v>0.96203389830508423</v>
      </c>
      <c r="R39" s="442"/>
      <c r="S39" s="28">
        <v>0.30416666666666664</v>
      </c>
      <c r="T39" s="28">
        <v>0.34513888888888888</v>
      </c>
      <c r="U39" s="346">
        <v>6.9999999999999751</v>
      </c>
      <c r="V39" s="356">
        <v>59.000000000000028</v>
      </c>
      <c r="W39" s="16"/>
      <c r="X39" s="16"/>
      <c r="Y39" s="447"/>
      <c r="Z39" s="448"/>
      <c r="AA39" s="12">
        <f t="shared" si="2"/>
        <v>-113.89830508474734</v>
      </c>
      <c r="AB39" s="351">
        <f t="shared" si="54"/>
        <v>0.96203389830508423</v>
      </c>
      <c r="AC39" s="457"/>
    </row>
    <row r="40" spans="1:29" ht="15.75" customHeight="1">
      <c r="A40" s="454" t="s">
        <v>1680</v>
      </c>
      <c r="B40" s="31" t="s">
        <v>79</v>
      </c>
      <c r="C40" s="444" t="s">
        <v>86</v>
      </c>
      <c r="D40" s="445"/>
      <c r="E40" s="31">
        <v>36.14</v>
      </c>
      <c r="F40" s="357">
        <v>1598</v>
      </c>
      <c r="G40" s="346">
        <v>57751.72</v>
      </c>
      <c r="H40" s="359" t="s">
        <v>103</v>
      </c>
      <c r="I40" s="355">
        <v>8</v>
      </c>
      <c r="J40" s="26">
        <v>3000</v>
      </c>
      <c r="K40" s="10">
        <v>375</v>
      </c>
      <c r="L40" s="355">
        <v>8</v>
      </c>
      <c r="M40" s="11">
        <v>2905.4545454545414</v>
      </c>
      <c r="N40" s="11">
        <v>363.18181818181768</v>
      </c>
      <c r="O40" s="12">
        <v>0</v>
      </c>
      <c r="P40" s="13">
        <v>-11.818181818182325</v>
      </c>
      <c r="Q40" s="351">
        <v>0.96848484848484717</v>
      </c>
      <c r="R40" s="442"/>
      <c r="S40" s="28">
        <v>0.35069444444444442</v>
      </c>
      <c r="T40" s="28">
        <v>0.37361111111111112</v>
      </c>
      <c r="U40" s="346">
        <v>7.9999999999999716</v>
      </c>
      <c r="V40" s="356">
        <v>33.000000000000043</v>
      </c>
      <c r="W40" s="16"/>
      <c r="X40" s="16"/>
      <c r="Y40" s="447"/>
      <c r="Z40" s="448"/>
      <c r="AA40" s="12">
        <f t="shared" si="2"/>
        <v>-94.545454545458597</v>
      </c>
      <c r="AB40" s="351">
        <f t="shared" si="54"/>
        <v>0.96848484848484717</v>
      </c>
      <c r="AC40" s="457"/>
    </row>
    <row r="41" spans="1:29" ht="15.75" customHeight="1">
      <c r="A41" s="454" t="s">
        <v>1680</v>
      </c>
      <c r="B41" s="31" t="s">
        <v>79</v>
      </c>
      <c r="C41" s="444" t="s">
        <v>95</v>
      </c>
      <c r="D41" s="445"/>
      <c r="E41" s="31">
        <v>35.369999999999997</v>
      </c>
      <c r="F41" s="357">
        <v>1316</v>
      </c>
      <c r="G41" s="346">
        <v>46546.92</v>
      </c>
      <c r="H41" s="359" t="s">
        <v>103</v>
      </c>
      <c r="I41" s="355">
        <v>10</v>
      </c>
      <c r="J41" s="26">
        <v>3000</v>
      </c>
      <c r="K41" s="10">
        <v>300</v>
      </c>
      <c r="L41" s="355">
        <v>10</v>
      </c>
      <c r="M41" s="11">
        <v>2924.4444444444462</v>
      </c>
      <c r="N41" s="11">
        <v>292.44444444444463</v>
      </c>
      <c r="O41" s="12">
        <v>0</v>
      </c>
      <c r="P41" s="13">
        <v>-7.5555555555553724</v>
      </c>
      <c r="Q41" s="351">
        <v>0.97481481481481547</v>
      </c>
      <c r="R41" s="442"/>
      <c r="S41" s="28">
        <v>0.37847222222222221</v>
      </c>
      <c r="T41" s="28">
        <v>0.3972222222222222</v>
      </c>
      <c r="U41" s="346">
        <v>6.9999999999999751</v>
      </c>
      <c r="V41" s="356">
        <v>26.999999999999986</v>
      </c>
      <c r="W41" s="16"/>
      <c r="X41" s="16"/>
      <c r="Y41" s="447"/>
      <c r="Z41" s="448"/>
      <c r="AA41" s="12">
        <f t="shared" si="2"/>
        <v>-75.555555555553838</v>
      </c>
      <c r="AB41" s="351">
        <f t="shared" si="54"/>
        <v>0.97481481481481536</v>
      </c>
      <c r="AC41" s="457"/>
    </row>
    <row r="42" spans="1:29" ht="15.75" customHeight="1">
      <c r="A42" s="455" t="s">
        <v>1680</v>
      </c>
      <c r="B42" s="31" t="s">
        <v>1681</v>
      </c>
      <c r="C42" s="459"/>
      <c r="D42" s="460"/>
      <c r="E42" s="352"/>
      <c r="F42" s="357"/>
      <c r="G42" s="346"/>
      <c r="H42" s="357"/>
      <c r="I42" s="19">
        <v>9.6666666666666661</v>
      </c>
      <c r="J42" s="26">
        <v>3000</v>
      </c>
      <c r="K42" s="10">
        <v>310.34482758620692</v>
      </c>
      <c r="L42" s="19">
        <v>9.6666666666666661</v>
      </c>
      <c r="M42" s="11">
        <v>2889.6724565885129</v>
      </c>
      <c r="N42" s="10">
        <v>298.93163344019098</v>
      </c>
      <c r="O42" s="12">
        <v>0</v>
      </c>
      <c r="P42" s="13">
        <v>-11.41319414601594</v>
      </c>
      <c r="Q42" s="351">
        <v>0.96322415219617086</v>
      </c>
      <c r="R42" s="442"/>
      <c r="S42" s="28"/>
      <c r="T42" s="28"/>
      <c r="U42" s="346"/>
      <c r="V42" s="356"/>
      <c r="W42" s="16"/>
      <c r="X42" s="16"/>
      <c r="Y42" s="447"/>
      <c r="Z42" s="448"/>
      <c r="AA42" s="12">
        <f t="shared" si="2"/>
        <v>-110.32754341148711</v>
      </c>
      <c r="AB42" s="351">
        <f t="shared" si="54"/>
        <v>0.96322415219617097</v>
      </c>
      <c r="AC42" s="458"/>
    </row>
    <row r="43" spans="1:29" ht="15.75" customHeight="1">
      <c r="A43" s="451" t="s">
        <v>1866</v>
      </c>
      <c r="B43" s="31" t="s">
        <v>53</v>
      </c>
      <c r="C43" s="441" t="s">
        <v>87</v>
      </c>
      <c r="D43" s="441"/>
      <c r="E43" s="31">
        <v>46</v>
      </c>
      <c r="F43" s="35">
        <v>2281</v>
      </c>
      <c r="G43" s="346">
        <f t="shared" ref="G43:G48" si="56">E43*F43</f>
        <v>104926</v>
      </c>
      <c r="H43" s="359" t="s">
        <v>103</v>
      </c>
      <c r="I43" s="355">
        <v>17</v>
      </c>
      <c r="J43" s="26">
        <v>2000</v>
      </c>
      <c r="K43" s="10">
        <f t="shared" ref="K43:K48" si="57">J43/I43</f>
        <v>117.64705882352941</v>
      </c>
      <c r="L43" s="355">
        <v>17</v>
      </c>
      <c r="M43" s="11">
        <f t="shared" ref="M43:M48" si="58">F43/V43*60</f>
        <v>1927.6056338028172</v>
      </c>
      <c r="N43" s="11">
        <f>M43/L43</f>
        <v>113.38856669428337</v>
      </c>
      <c r="O43" s="12">
        <f>L43-I43</f>
        <v>0</v>
      </c>
      <c r="P43" s="13">
        <f>N43-K43</f>
        <v>-4.2584921292460365</v>
      </c>
      <c r="Q43" s="351">
        <f>N43/K43</f>
        <v>0.96380281690140868</v>
      </c>
      <c r="R43" s="442">
        <f>Q49</f>
        <v>0.96304014170400909</v>
      </c>
      <c r="S43" s="28">
        <v>0.29166666666666669</v>
      </c>
      <c r="T43" s="28">
        <v>0.34097222222222223</v>
      </c>
      <c r="U43" s="18"/>
      <c r="V43" s="356">
        <f t="shared" ref="V43:V48" si="59">(T43-S43)*24*60</f>
        <v>70.999999999999986</v>
      </c>
      <c r="W43" s="18"/>
      <c r="X43" s="18"/>
      <c r="Y43" s="443"/>
      <c r="Z43" s="443"/>
      <c r="AA43" s="12">
        <f t="shared" si="2"/>
        <v>-72.394366197182762</v>
      </c>
      <c r="AB43" s="351">
        <f t="shared" si="54"/>
        <v>0.96380281690140857</v>
      </c>
      <c r="AC43" s="442">
        <f>AB49</f>
        <v>0.96304014170400898</v>
      </c>
    </row>
    <row r="44" spans="1:29" ht="15.75" customHeight="1">
      <c r="A44" s="451" t="s">
        <v>167</v>
      </c>
      <c r="B44" s="31" t="s">
        <v>53</v>
      </c>
      <c r="C44" s="441" t="s">
        <v>88</v>
      </c>
      <c r="D44" s="441"/>
      <c r="E44" s="31">
        <v>46</v>
      </c>
      <c r="F44" s="35">
        <v>2463</v>
      </c>
      <c r="G44" s="346">
        <f t="shared" si="56"/>
        <v>113298</v>
      </c>
      <c r="H44" s="359" t="s">
        <v>103</v>
      </c>
      <c r="I44" s="355">
        <v>17</v>
      </c>
      <c r="J44" s="26">
        <v>2000</v>
      </c>
      <c r="K44" s="10">
        <f t="shared" si="57"/>
        <v>117.64705882352941</v>
      </c>
      <c r="L44" s="355">
        <v>17</v>
      </c>
      <c r="M44" s="11">
        <f t="shared" si="58"/>
        <v>1919.2207792207782</v>
      </c>
      <c r="N44" s="11">
        <f t="shared" ref="N44:N48" si="60">M44/L44</f>
        <v>112.89533995416343</v>
      </c>
      <c r="O44" s="12">
        <f t="shared" ref="O44:O48" si="61">L44-I44</f>
        <v>0</v>
      </c>
      <c r="P44" s="13">
        <f t="shared" ref="P44:P48" si="62">N44-K44</f>
        <v>-4.7517188693659733</v>
      </c>
      <c r="Q44" s="351">
        <f t="shared" ref="Q44:Q48" si="63">N44/K44</f>
        <v>0.95961038961038925</v>
      </c>
      <c r="R44" s="442"/>
      <c r="S44" s="28">
        <v>0.34513888888888888</v>
      </c>
      <c r="T44" s="28">
        <v>0.39861111111111114</v>
      </c>
      <c r="U44" s="346">
        <f>IF(S44=TIME(17,0,0),"",(S44-T43)*24*60)</f>
        <v>5.9999999999999787</v>
      </c>
      <c r="V44" s="356">
        <f t="shared" si="59"/>
        <v>77.000000000000043</v>
      </c>
      <c r="W44" s="16"/>
      <c r="X44" s="16"/>
      <c r="Y44" s="443"/>
      <c r="Z44" s="443"/>
      <c r="AA44" s="12">
        <f t="shared" si="2"/>
        <v>-80.77922077922176</v>
      </c>
      <c r="AB44" s="351">
        <f t="shared" si="54"/>
        <v>0.95961038961038914</v>
      </c>
      <c r="AC44" s="442"/>
    </row>
    <row r="45" spans="1:29" ht="15.75" customHeight="1">
      <c r="A45" s="451" t="s">
        <v>167</v>
      </c>
      <c r="B45" s="31" t="s">
        <v>58</v>
      </c>
      <c r="C45" s="444" t="s">
        <v>168</v>
      </c>
      <c r="D45" s="445"/>
      <c r="E45" s="31">
        <v>54.09</v>
      </c>
      <c r="F45" s="35">
        <v>871</v>
      </c>
      <c r="G45" s="346">
        <f t="shared" si="56"/>
        <v>47112.39</v>
      </c>
      <c r="H45" s="359" t="s">
        <v>103</v>
      </c>
      <c r="I45" s="355">
        <v>16</v>
      </c>
      <c r="J45" s="26">
        <v>2000</v>
      </c>
      <c r="K45" s="10">
        <f t="shared" si="57"/>
        <v>125</v>
      </c>
      <c r="L45" s="355">
        <v>16</v>
      </c>
      <c r="M45" s="11">
        <f t="shared" si="58"/>
        <v>1935.5555555555563</v>
      </c>
      <c r="N45" s="11">
        <f t="shared" si="60"/>
        <v>120.97222222222227</v>
      </c>
      <c r="O45" s="12">
        <f t="shared" si="61"/>
        <v>0</v>
      </c>
      <c r="P45" s="13">
        <f t="shared" si="62"/>
        <v>-4.0277777777777288</v>
      </c>
      <c r="Q45" s="351">
        <f t="shared" si="63"/>
        <v>0.96777777777777818</v>
      </c>
      <c r="R45" s="442"/>
      <c r="S45" s="28">
        <v>0.40347222222222223</v>
      </c>
      <c r="T45" s="28">
        <v>0.42222222222222222</v>
      </c>
      <c r="U45" s="346">
        <f t="shared" ref="U45:U48" si="64">IF(S45=TIME(17,0,0),"",(S45-T44)*24*60)</f>
        <v>6.9999999999999751</v>
      </c>
      <c r="V45" s="356">
        <f t="shared" si="59"/>
        <v>26.999999999999986</v>
      </c>
      <c r="W45" s="16"/>
      <c r="X45" s="16"/>
      <c r="Y45" s="349"/>
      <c r="Z45" s="350"/>
      <c r="AA45" s="12">
        <f t="shared" si="2"/>
        <v>-64.444444444443661</v>
      </c>
      <c r="AB45" s="351">
        <f t="shared" si="54"/>
        <v>0.96777777777777818</v>
      </c>
      <c r="AC45" s="442"/>
    </row>
    <row r="46" spans="1:29" ht="15.75" customHeight="1">
      <c r="A46" s="451" t="s">
        <v>167</v>
      </c>
      <c r="B46" s="31" t="s">
        <v>58</v>
      </c>
      <c r="C46" s="347" t="s">
        <v>89</v>
      </c>
      <c r="D46" s="348"/>
      <c r="E46" s="31">
        <v>55.56</v>
      </c>
      <c r="F46" s="35">
        <v>1875</v>
      </c>
      <c r="G46" s="346">
        <f t="shared" si="56"/>
        <v>104175</v>
      </c>
      <c r="H46" s="359" t="s">
        <v>103</v>
      </c>
      <c r="I46" s="355">
        <v>17</v>
      </c>
      <c r="J46" s="26">
        <v>2000</v>
      </c>
      <c r="K46" s="10">
        <f t="shared" si="57"/>
        <v>117.64705882352941</v>
      </c>
      <c r="L46" s="355">
        <v>17</v>
      </c>
      <c r="M46" s="11">
        <f t="shared" si="58"/>
        <v>1906.7796610169507</v>
      </c>
      <c r="N46" s="11">
        <f t="shared" si="60"/>
        <v>112.16350947158534</v>
      </c>
      <c r="O46" s="12">
        <f t="shared" si="61"/>
        <v>0</v>
      </c>
      <c r="P46" s="13">
        <f t="shared" si="62"/>
        <v>-5.4835493519440632</v>
      </c>
      <c r="Q46" s="351">
        <f t="shared" si="63"/>
        <v>0.95338983050847548</v>
      </c>
      <c r="R46" s="442"/>
      <c r="S46" s="28">
        <v>0.70833333333333337</v>
      </c>
      <c r="T46" s="28">
        <v>0.74930555555555556</v>
      </c>
      <c r="U46" s="346" t="str">
        <f t="shared" si="64"/>
        <v/>
      </c>
      <c r="V46" s="356">
        <f t="shared" si="59"/>
        <v>58.99999999999995</v>
      </c>
      <c r="W46" s="16"/>
      <c r="X46" s="16"/>
      <c r="Y46" s="349"/>
      <c r="Z46" s="350"/>
      <c r="AA46" s="12">
        <f t="shared" si="2"/>
        <v>-93.22033898304926</v>
      </c>
      <c r="AB46" s="351">
        <f t="shared" si="54"/>
        <v>0.95338983050847537</v>
      </c>
      <c r="AC46" s="442"/>
    </row>
    <row r="47" spans="1:29" ht="15.75" customHeight="1">
      <c r="A47" s="451" t="s">
        <v>167</v>
      </c>
      <c r="B47" s="31" t="s">
        <v>58</v>
      </c>
      <c r="C47" s="347" t="s">
        <v>90</v>
      </c>
      <c r="D47" s="348"/>
      <c r="E47" s="31">
        <v>55.32</v>
      </c>
      <c r="F47" s="35">
        <v>1294</v>
      </c>
      <c r="G47" s="346">
        <f t="shared" si="56"/>
        <v>71584.08</v>
      </c>
      <c r="H47" s="359" t="s">
        <v>103</v>
      </c>
      <c r="I47" s="355">
        <v>15</v>
      </c>
      <c r="J47" s="26">
        <v>2000</v>
      </c>
      <c r="K47" s="10">
        <f t="shared" si="57"/>
        <v>133.33333333333334</v>
      </c>
      <c r="L47" s="355">
        <v>15</v>
      </c>
      <c r="M47" s="11">
        <f t="shared" si="58"/>
        <v>1940.9999999999993</v>
      </c>
      <c r="N47" s="11">
        <f t="shared" si="60"/>
        <v>129.39999999999995</v>
      </c>
      <c r="O47" s="12">
        <f t="shared" si="61"/>
        <v>0</v>
      </c>
      <c r="P47" s="13">
        <f t="shared" si="62"/>
        <v>-3.933333333333394</v>
      </c>
      <c r="Q47" s="351">
        <f t="shared" si="63"/>
        <v>0.97049999999999959</v>
      </c>
      <c r="R47" s="442"/>
      <c r="S47" s="28">
        <v>0.75486111111111109</v>
      </c>
      <c r="T47" s="28">
        <v>0.78263888888888888</v>
      </c>
      <c r="U47" s="346">
        <f t="shared" si="64"/>
        <v>7.9999999999999716</v>
      </c>
      <c r="V47" s="356">
        <f t="shared" si="59"/>
        <v>40.000000000000014</v>
      </c>
      <c r="W47" s="16"/>
      <c r="X47" s="16"/>
      <c r="Y47" s="349"/>
      <c r="Z47" s="350"/>
      <c r="AA47" s="12">
        <f t="shared" si="2"/>
        <v>-59.000000000000682</v>
      </c>
      <c r="AB47" s="351">
        <f t="shared" si="54"/>
        <v>0.9704999999999997</v>
      </c>
      <c r="AC47" s="442"/>
    </row>
    <row r="48" spans="1:29" ht="15.6" customHeight="1">
      <c r="A48" s="451" t="s">
        <v>167</v>
      </c>
      <c r="B48" s="31" t="s">
        <v>58</v>
      </c>
      <c r="C48" s="444" t="s">
        <v>91</v>
      </c>
      <c r="D48" s="445"/>
      <c r="E48" s="31">
        <v>57.73</v>
      </c>
      <c r="F48" s="35">
        <v>1204</v>
      </c>
      <c r="G48" s="346">
        <f t="shared" si="56"/>
        <v>69506.92</v>
      </c>
      <c r="H48" s="359" t="s">
        <v>103</v>
      </c>
      <c r="I48" s="355">
        <v>16</v>
      </c>
      <c r="J48" s="26">
        <v>1500</v>
      </c>
      <c r="K48" s="10">
        <f t="shared" si="57"/>
        <v>93.75</v>
      </c>
      <c r="L48" s="355">
        <v>16</v>
      </c>
      <c r="M48" s="11">
        <f t="shared" si="58"/>
        <v>1444.8000000000004</v>
      </c>
      <c r="N48" s="11">
        <f t="shared" si="60"/>
        <v>90.300000000000026</v>
      </c>
      <c r="O48" s="12">
        <f t="shared" si="61"/>
        <v>0</v>
      </c>
      <c r="P48" s="13">
        <f t="shared" si="62"/>
        <v>-3.4499999999999744</v>
      </c>
      <c r="Q48" s="351">
        <f t="shared" si="63"/>
        <v>0.96320000000000028</v>
      </c>
      <c r="R48" s="442"/>
      <c r="S48" s="28">
        <v>0.78680555555555554</v>
      </c>
      <c r="T48" s="28">
        <v>0.82152777777777775</v>
      </c>
      <c r="U48" s="346">
        <f t="shared" si="64"/>
        <v>5.9999999999999787</v>
      </c>
      <c r="V48" s="356">
        <f t="shared" si="59"/>
        <v>49.999999999999986</v>
      </c>
      <c r="W48" s="16"/>
      <c r="X48" s="16"/>
      <c r="Y48" s="447"/>
      <c r="Z48" s="448"/>
      <c r="AA48" s="12">
        <f t="shared" si="2"/>
        <v>-55.199999999999591</v>
      </c>
      <c r="AB48" s="351">
        <f t="shared" si="54"/>
        <v>0.96320000000000028</v>
      </c>
      <c r="AC48" s="442"/>
    </row>
    <row r="49" spans="1:29">
      <c r="A49" s="452" t="s">
        <v>167</v>
      </c>
      <c r="B49" s="31" t="s">
        <v>231</v>
      </c>
      <c r="C49" s="446"/>
      <c r="D49" s="446"/>
      <c r="E49" s="345"/>
      <c r="F49" s="33"/>
      <c r="G49" s="10"/>
      <c r="H49" s="357"/>
      <c r="I49" s="19">
        <v>16.333333333333332</v>
      </c>
      <c r="J49" s="26">
        <v>1916.6666666666667</v>
      </c>
      <c r="K49" s="10">
        <f>J49/I49</f>
        <v>117.34693877551021</v>
      </c>
      <c r="L49" s="19">
        <v>16.333333333333332</v>
      </c>
      <c r="M49" s="11">
        <f>AVERAGE(M43:M48)</f>
        <v>1845.8269382660174</v>
      </c>
      <c r="N49" s="10">
        <f>M49/L49</f>
        <v>113.00981254689903</v>
      </c>
      <c r="O49" s="12">
        <f>L49-I49</f>
        <v>0</v>
      </c>
      <c r="P49" s="13">
        <f>N49-K49</f>
        <v>-4.3371262286111829</v>
      </c>
      <c r="Q49" s="351">
        <f>N49/K49</f>
        <v>0.96304014170400909</v>
      </c>
      <c r="R49" s="442"/>
      <c r="S49" s="29"/>
      <c r="T49" s="28"/>
      <c r="U49" s="10"/>
      <c r="V49" s="356"/>
      <c r="W49" s="10"/>
      <c r="X49" s="10"/>
      <c r="Y49" s="443"/>
      <c r="Z49" s="443"/>
      <c r="AA49" s="12">
        <f t="shared" si="2"/>
        <v>-70.839728400649392</v>
      </c>
      <c r="AB49" s="351">
        <f t="shared" si="54"/>
        <v>0.96304014170400898</v>
      </c>
      <c r="AC49" s="442"/>
    </row>
    <row r="50" spans="1:29" ht="15.75" customHeight="1">
      <c r="A50" s="449" t="s">
        <v>254</v>
      </c>
      <c r="B50" s="357" t="s">
        <v>79</v>
      </c>
      <c r="C50" s="441" t="s">
        <v>94</v>
      </c>
      <c r="D50" s="441"/>
      <c r="E50" s="31">
        <v>26.78</v>
      </c>
      <c r="F50" s="35">
        <v>2377</v>
      </c>
      <c r="G50" s="346">
        <f t="shared" ref="G50:G53" si="65">E50*F50</f>
        <v>63656.060000000005</v>
      </c>
      <c r="H50" s="359" t="s">
        <v>103</v>
      </c>
      <c r="I50" s="355">
        <v>10</v>
      </c>
      <c r="J50" s="26">
        <v>3000</v>
      </c>
      <c r="K50" s="10">
        <f t="shared" ref="K50:K53" si="66">J50/I50</f>
        <v>300</v>
      </c>
      <c r="L50" s="19">
        <v>10</v>
      </c>
      <c r="M50" s="11">
        <f t="shared" ref="M50:M53" si="67">F50/V50*60</f>
        <v>2852.3999999999987</v>
      </c>
      <c r="N50" s="10">
        <f>M50/L50</f>
        <v>285.2399999999999</v>
      </c>
      <c r="O50" s="12">
        <f t="shared" ref="O50:O53" si="68">L50-I50</f>
        <v>0</v>
      </c>
      <c r="P50" s="13">
        <f t="shared" ref="P50:P53" si="69">N50-K50</f>
        <v>-14.760000000000105</v>
      </c>
      <c r="Q50" s="351">
        <f>N50/K50</f>
        <v>0.95079999999999965</v>
      </c>
      <c r="R50" s="442">
        <f>Q54</f>
        <v>0.95595511359042729</v>
      </c>
      <c r="S50" s="28">
        <v>0.20833333333333334</v>
      </c>
      <c r="T50" s="28">
        <v>0.24305555555555558</v>
      </c>
      <c r="U50" s="346"/>
      <c r="V50" s="356">
        <f t="shared" ref="V50:V53" si="70">(T50-S50)*24*60</f>
        <v>50.000000000000021</v>
      </c>
      <c r="W50" s="18"/>
      <c r="X50" s="18"/>
      <c r="Y50" s="443"/>
      <c r="Z50" s="443"/>
      <c r="AA50" s="12">
        <f t="shared" si="2"/>
        <v>-147.60000000000127</v>
      </c>
      <c r="AB50" s="351">
        <f t="shared" si="54"/>
        <v>0.95079999999999953</v>
      </c>
      <c r="AC50" s="442">
        <f>AB54</f>
        <v>0.95595511359042729</v>
      </c>
    </row>
    <row r="51" spans="1:29" ht="15.75" customHeight="1">
      <c r="A51" s="449" t="s">
        <v>254</v>
      </c>
      <c r="B51" s="357" t="s">
        <v>79</v>
      </c>
      <c r="C51" s="441" t="s">
        <v>97</v>
      </c>
      <c r="D51" s="441"/>
      <c r="E51" s="31">
        <v>35.119999999999997</v>
      </c>
      <c r="F51" s="35">
        <v>993</v>
      </c>
      <c r="G51" s="346">
        <f t="shared" si="65"/>
        <v>34874.159999999996</v>
      </c>
      <c r="H51" s="359" t="s">
        <v>103</v>
      </c>
      <c r="I51" s="355">
        <v>13</v>
      </c>
      <c r="J51" s="26">
        <v>2000</v>
      </c>
      <c r="K51" s="10">
        <f t="shared" si="66"/>
        <v>153.84615384615384</v>
      </c>
      <c r="L51" s="19">
        <v>13</v>
      </c>
      <c r="M51" s="11">
        <f t="shared" si="67"/>
        <v>1921.9354838709673</v>
      </c>
      <c r="N51" s="10">
        <f t="shared" ref="N51:N53" si="71">M51/L51</f>
        <v>147.84119106699748</v>
      </c>
      <c r="O51" s="12">
        <f t="shared" si="68"/>
        <v>0</v>
      </c>
      <c r="P51" s="13">
        <f t="shared" si="69"/>
        <v>-6.004962779156358</v>
      </c>
      <c r="Q51" s="351">
        <f t="shared" ref="Q51:Q53" si="72">N51/K51</f>
        <v>0.96096774193548362</v>
      </c>
      <c r="R51" s="442"/>
      <c r="S51" s="28">
        <v>0.24722222222222226</v>
      </c>
      <c r="T51" s="28">
        <v>0.26875000000000004</v>
      </c>
      <c r="U51" s="346">
        <f>(S51-T50)*24*60</f>
        <v>6.0000000000000187</v>
      </c>
      <c r="V51" s="356">
        <f t="shared" si="70"/>
        <v>31.000000000000011</v>
      </c>
      <c r="W51" s="346"/>
      <c r="X51" s="346"/>
      <c r="Y51" s="443"/>
      <c r="Z51" s="443"/>
      <c r="AA51" s="12">
        <f t="shared" si="2"/>
        <v>-78.064516129032654</v>
      </c>
      <c r="AB51" s="351">
        <f t="shared" si="54"/>
        <v>0.96096774193548362</v>
      </c>
      <c r="AC51" s="442"/>
    </row>
    <row r="52" spans="1:29" ht="15.75" customHeight="1">
      <c r="A52" s="449" t="s">
        <v>254</v>
      </c>
      <c r="B52" s="357" t="s">
        <v>79</v>
      </c>
      <c r="C52" s="441" t="s">
        <v>98</v>
      </c>
      <c r="D52" s="441"/>
      <c r="E52" s="31">
        <v>35.869999999999997</v>
      </c>
      <c r="F52" s="35">
        <v>2153</v>
      </c>
      <c r="G52" s="346">
        <f t="shared" si="65"/>
        <v>77228.11</v>
      </c>
      <c r="H52" s="359" t="s">
        <v>103</v>
      </c>
      <c r="I52" s="355">
        <v>10</v>
      </c>
      <c r="J52" s="26">
        <v>3000</v>
      </c>
      <c r="K52" s="10">
        <f t="shared" si="66"/>
        <v>300</v>
      </c>
      <c r="L52" s="19">
        <v>10</v>
      </c>
      <c r="M52" s="11">
        <f t="shared" si="67"/>
        <v>2870.6666666666665</v>
      </c>
      <c r="N52" s="10">
        <f t="shared" si="71"/>
        <v>287.06666666666666</v>
      </c>
      <c r="O52" s="12">
        <f t="shared" si="68"/>
        <v>0</v>
      </c>
      <c r="P52" s="13">
        <f t="shared" si="69"/>
        <v>-12.933333333333337</v>
      </c>
      <c r="Q52" s="351">
        <f t="shared" si="72"/>
        <v>0.9568888888888889</v>
      </c>
      <c r="R52" s="442"/>
      <c r="S52" s="28">
        <v>0.27222222222222225</v>
      </c>
      <c r="T52" s="28">
        <v>0.30347222222222225</v>
      </c>
      <c r="U52" s="346">
        <f t="shared" ref="U52:U53" si="73">(S52-T51)*24*60</f>
        <v>4.9999999999999822</v>
      </c>
      <c r="V52" s="356">
        <f t="shared" si="70"/>
        <v>45</v>
      </c>
      <c r="W52" s="16"/>
      <c r="X52" s="16"/>
      <c r="Y52" s="443"/>
      <c r="Z52" s="443"/>
      <c r="AA52" s="12">
        <f t="shared" si="2"/>
        <v>-129.33333333333348</v>
      </c>
      <c r="AB52" s="351">
        <f t="shared" si="54"/>
        <v>0.95688888888888879</v>
      </c>
      <c r="AC52" s="442"/>
    </row>
    <row r="53" spans="1:29" ht="15.75" customHeight="1">
      <c r="A53" s="449" t="s">
        <v>254</v>
      </c>
      <c r="B53" s="357" t="s">
        <v>53</v>
      </c>
      <c r="C53" s="441" t="s">
        <v>96</v>
      </c>
      <c r="D53" s="441"/>
      <c r="E53" s="31">
        <v>26.97</v>
      </c>
      <c r="F53" s="35">
        <v>2514</v>
      </c>
      <c r="G53" s="346">
        <f t="shared" si="65"/>
        <v>67802.58</v>
      </c>
      <c r="H53" s="359" t="s">
        <v>103</v>
      </c>
      <c r="I53" s="355">
        <v>8</v>
      </c>
      <c r="J53" s="26">
        <v>1500</v>
      </c>
      <c r="K53" s="10">
        <f t="shared" si="66"/>
        <v>187.5</v>
      </c>
      <c r="L53" s="19">
        <v>8</v>
      </c>
      <c r="M53" s="11">
        <f t="shared" si="67"/>
        <v>1436.5714285714282</v>
      </c>
      <c r="N53" s="10">
        <f t="shared" si="71"/>
        <v>179.57142857142853</v>
      </c>
      <c r="O53" s="12">
        <f t="shared" si="68"/>
        <v>0</v>
      </c>
      <c r="P53" s="13">
        <f t="shared" si="69"/>
        <v>-7.9285714285714732</v>
      </c>
      <c r="Q53" s="351">
        <f t="shared" si="72"/>
        <v>0.95771428571428552</v>
      </c>
      <c r="R53" s="442"/>
      <c r="S53" s="28">
        <v>0.30833333333333335</v>
      </c>
      <c r="T53" s="28">
        <v>0.38125000000000003</v>
      </c>
      <c r="U53" s="346">
        <f t="shared" si="73"/>
        <v>6.9999999999999751</v>
      </c>
      <c r="V53" s="356">
        <f t="shared" si="70"/>
        <v>105.00000000000003</v>
      </c>
      <c r="W53" s="346"/>
      <c r="X53" s="346"/>
      <c r="Y53" s="443"/>
      <c r="Z53" s="443"/>
      <c r="AA53" s="12">
        <f t="shared" si="2"/>
        <v>-63.428571428571786</v>
      </c>
      <c r="AB53" s="351">
        <f t="shared" si="54"/>
        <v>0.95771428571428552</v>
      </c>
      <c r="AC53" s="442"/>
    </row>
    <row r="54" spans="1:29">
      <c r="A54" s="450" t="s">
        <v>254</v>
      </c>
      <c r="B54" s="31" t="s">
        <v>231</v>
      </c>
      <c r="C54" s="446"/>
      <c r="D54" s="446"/>
      <c r="E54" s="345"/>
      <c r="F54" s="33"/>
      <c r="G54" s="10"/>
      <c r="H54" s="357"/>
      <c r="I54" s="19">
        <v>10.25</v>
      </c>
      <c r="J54" s="26">
        <v>2375</v>
      </c>
      <c r="K54" s="10">
        <f>J54/I54</f>
        <v>231.70731707317074</v>
      </c>
      <c r="L54" s="19">
        <v>10.25</v>
      </c>
      <c r="M54" s="11">
        <f>AVERAGE(M50:M53)</f>
        <v>2270.3933947772648</v>
      </c>
      <c r="N54" s="10">
        <f>M54/L54</f>
        <v>221.50179461241609</v>
      </c>
      <c r="O54" s="12">
        <f>L54-I54</f>
        <v>0</v>
      </c>
      <c r="P54" s="13">
        <f>N54-K54</f>
        <v>-10.205522460754651</v>
      </c>
      <c r="Q54" s="351">
        <f>N54/K54</f>
        <v>0.95595511359042729</v>
      </c>
      <c r="R54" s="442"/>
      <c r="S54" s="28"/>
      <c r="T54" s="28"/>
      <c r="U54" s="10"/>
      <c r="V54" s="356"/>
      <c r="W54" s="10"/>
      <c r="X54" s="10"/>
      <c r="Y54" s="443"/>
      <c r="Z54" s="443"/>
      <c r="AA54" s="12">
        <f t="shared" si="2"/>
        <v>-104.6066052227352</v>
      </c>
      <c r="AB54" s="351">
        <f t="shared" si="54"/>
        <v>0.95595511359042729</v>
      </c>
      <c r="AC54" s="442"/>
    </row>
    <row r="55" spans="1:29" ht="15.75" customHeight="1">
      <c r="A55" s="439" t="s">
        <v>169</v>
      </c>
      <c r="B55" s="357" t="s">
        <v>67</v>
      </c>
      <c r="C55" s="441" t="s">
        <v>99</v>
      </c>
      <c r="D55" s="441"/>
      <c r="E55" s="31">
        <v>20.2</v>
      </c>
      <c r="F55" s="357">
        <v>1646</v>
      </c>
      <c r="G55" s="346">
        <f t="shared" ref="G55:G61" si="74">E55*F55</f>
        <v>33249.199999999997</v>
      </c>
      <c r="H55" s="359" t="s">
        <v>103</v>
      </c>
      <c r="I55" s="355">
        <v>19</v>
      </c>
      <c r="J55" s="26">
        <v>2400</v>
      </c>
      <c r="K55" s="10">
        <f t="shared" ref="K55:K57" si="75">J55/I55</f>
        <v>126.31578947368421</v>
      </c>
      <c r="L55" s="19">
        <v>19</v>
      </c>
      <c r="M55" s="11">
        <f>F55/V55*60</f>
        <v>2296.7441860465115</v>
      </c>
      <c r="N55" s="10">
        <f t="shared" ref="N55:N61" si="76">M55/L55</f>
        <v>120.88127294981639</v>
      </c>
      <c r="O55" s="12">
        <f t="shared" ref="O55:O61" si="77">L55-I55</f>
        <v>0</v>
      </c>
      <c r="P55" s="13">
        <f t="shared" ref="P55:P61" si="78">N55-K55</f>
        <v>-5.4345165238678135</v>
      </c>
      <c r="Q55" s="351">
        <f>N55/K55</f>
        <v>0.9569767441860465</v>
      </c>
      <c r="R55" s="442">
        <f>Q62</f>
        <v>0.95711205739323801</v>
      </c>
      <c r="S55" s="28">
        <v>8.3333333333333329E-2</v>
      </c>
      <c r="T55" s="28">
        <v>0.11319444444444444</v>
      </c>
      <c r="U55" s="18"/>
      <c r="V55" s="356">
        <f t="shared" ref="V55:V61" si="79">(T55-S55)*24*60</f>
        <v>43.000000000000007</v>
      </c>
      <c r="W55" s="16">
        <f>T55</f>
        <v>0.11319444444444444</v>
      </c>
      <c r="X55" s="16">
        <f>S56</f>
        <v>0.13333333333333333</v>
      </c>
      <c r="Y55" s="443"/>
      <c r="Z55" s="443"/>
      <c r="AA55" s="12">
        <f t="shared" si="2"/>
        <v>-103.25581395348854</v>
      </c>
      <c r="AB55" s="351">
        <f>M55/J55</f>
        <v>0.95697674418604639</v>
      </c>
      <c r="AC55" s="442">
        <f>AB62</f>
        <v>0.95711205739323801</v>
      </c>
    </row>
    <row r="56" spans="1:29" ht="15.75" customHeight="1">
      <c r="A56" s="439" t="s">
        <v>169</v>
      </c>
      <c r="B56" s="357" t="s">
        <v>67</v>
      </c>
      <c r="C56" s="441" t="s">
        <v>100</v>
      </c>
      <c r="D56" s="441"/>
      <c r="E56" s="31">
        <v>19.02</v>
      </c>
      <c r="F56" s="357">
        <v>6818</v>
      </c>
      <c r="G56" s="346">
        <f t="shared" si="74"/>
        <v>129678.36</v>
      </c>
      <c r="H56" s="359" t="s">
        <v>103</v>
      </c>
      <c r="I56" s="355">
        <v>15</v>
      </c>
      <c r="J56" s="26">
        <v>2400</v>
      </c>
      <c r="K56" s="10">
        <f t="shared" si="75"/>
        <v>160</v>
      </c>
      <c r="L56" s="19">
        <v>15</v>
      </c>
      <c r="M56" s="11">
        <f t="shared" ref="M56:M61" si="80">F56/V56*60</f>
        <v>2285.363128491621</v>
      </c>
      <c r="N56" s="10">
        <f t="shared" si="76"/>
        <v>152.3575418994414</v>
      </c>
      <c r="O56" s="12">
        <f t="shared" si="77"/>
        <v>0</v>
      </c>
      <c r="P56" s="13">
        <f t="shared" si="78"/>
        <v>-7.6424581005585992</v>
      </c>
      <c r="Q56" s="351">
        <f t="shared" ref="Q56:Q62" si="81">N56/K56</f>
        <v>0.95223463687150878</v>
      </c>
      <c r="R56" s="442"/>
      <c r="S56" s="28">
        <v>0.13333333333333333</v>
      </c>
      <c r="T56" s="28">
        <v>0.25763888888888886</v>
      </c>
      <c r="U56" s="346">
        <f>(S56-T55)*24*60</f>
        <v>28.999999999999996</v>
      </c>
      <c r="V56" s="356">
        <f t="shared" si="79"/>
        <v>178.99999999999994</v>
      </c>
      <c r="W56" s="16"/>
      <c r="X56" s="16"/>
      <c r="Y56" s="443"/>
      <c r="Z56" s="443"/>
      <c r="AA56" s="12">
        <f t="shared" si="2"/>
        <v>-114.63687150837904</v>
      </c>
      <c r="AB56" s="351">
        <f t="shared" ref="AB56:AB62" si="82">M56/J56</f>
        <v>0.95223463687150878</v>
      </c>
      <c r="AC56" s="442"/>
    </row>
    <row r="57" spans="1:29" ht="15.75" customHeight="1">
      <c r="A57" s="439" t="s">
        <v>169</v>
      </c>
      <c r="B57" s="357" t="s">
        <v>67</v>
      </c>
      <c r="C57" s="441" t="s">
        <v>70</v>
      </c>
      <c r="D57" s="441"/>
      <c r="E57" s="31">
        <v>24.25</v>
      </c>
      <c r="F57" s="357">
        <v>2415</v>
      </c>
      <c r="G57" s="346">
        <f t="shared" si="74"/>
        <v>58563.75</v>
      </c>
      <c r="H57" s="359" t="s">
        <v>103</v>
      </c>
      <c r="I57" s="355">
        <v>18</v>
      </c>
      <c r="J57" s="26">
        <v>2400</v>
      </c>
      <c r="K57" s="10">
        <f t="shared" si="75"/>
        <v>133.33333333333334</v>
      </c>
      <c r="L57" s="19">
        <v>18</v>
      </c>
      <c r="M57" s="11">
        <f t="shared" si="80"/>
        <v>2299.9999999999991</v>
      </c>
      <c r="N57" s="10">
        <f t="shared" si="76"/>
        <v>127.77777777777773</v>
      </c>
      <c r="O57" s="12">
        <f t="shared" si="77"/>
        <v>0</v>
      </c>
      <c r="P57" s="13">
        <f t="shared" si="78"/>
        <v>-5.555555555555614</v>
      </c>
      <c r="Q57" s="351">
        <f t="shared" si="81"/>
        <v>0.95833333333333293</v>
      </c>
      <c r="R57" s="442"/>
      <c r="S57" s="28">
        <v>0.2631944444444444</v>
      </c>
      <c r="T57" s="28">
        <v>0.30694444444444441</v>
      </c>
      <c r="U57" s="346">
        <f t="shared" ref="U57:U61" si="83">(S57-T56)*24*60</f>
        <v>7.9999999999999716</v>
      </c>
      <c r="V57" s="356">
        <f t="shared" si="79"/>
        <v>63.000000000000014</v>
      </c>
      <c r="W57" s="16"/>
      <c r="X57" s="16"/>
      <c r="Y57" s="443"/>
      <c r="Z57" s="443"/>
      <c r="AA57" s="12">
        <f t="shared" si="2"/>
        <v>-100.00000000000091</v>
      </c>
      <c r="AB57" s="351">
        <f t="shared" si="82"/>
        <v>0.95833333333333293</v>
      </c>
      <c r="AC57" s="442"/>
    </row>
    <row r="58" spans="1:29" ht="15.75" customHeight="1">
      <c r="A58" s="439" t="s">
        <v>169</v>
      </c>
      <c r="B58" s="357" t="s">
        <v>67</v>
      </c>
      <c r="C58" s="441" t="s">
        <v>102</v>
      </c>
      <c r="D58" s="441"/>
      <c r="E58" s="31">
        <v>20.52</v>
      </c>
      <c r="F58" s="357">
        <v>3090</v>
      </c>
      <c r="G58" s="346">
        <f t="shared" si="74"/>
        <v>63406.799999999996</v>
      </c>
      <c r="H58" s="359" t="s">
        <v>103</v>
      </c>
      <c r="I58" s="355">
        <v>18</v>
      </c>
      <c r="J58" s="26">
        <v>2400</v>
      </c>
      <c r="K58" s="10">
        <f>J58/I58</f>
        <v>133.33333333333334</v>
      </c>
      <c r="L58" s="19">
        <v>18</v>
      </c>
      <c r="M58" s="11">
        <f t="shared" si="80"/>
        <v>2288.8888888888882</v>
      </c>
      <c r="N58" s="10">
        <f t="shared" si="76"/>
        <v>127.16049382716045</v>
      </c>
      <c r="O58" s="12">
        <f t="shared" si="77"/>
        <v>0</v>
      </c>
      <c r="P58" s="13">
        <f t="shared" si="78"/>
        <v>-6.1728395061728918</v>
      </c>
      <c r="Q58" s="351">
        <f t="shared" si="81"/>
        <v>0.95370370370370328</v>
      </c>
      <c r="R58" s="442"/>
      <c r="S58" s="28">
        <v>0.31041666666666662</v>
      </c>
      <c r="T58" s="28">
        <v>0.36666666666666664</v>
      </c>
      <c r="U58" s="346">
        <f t="shared" si="83"/>
        <v>4.9999999999999822</v>
      </c>
      <c r="V58" s="356">
        <f t="shared" si="79"/>
        <v>81.000000000000028</v>
      </c>
      <c r="W58" s="16"/>
      <c r="X58" s="16"/>
      <c r="Y58" s="443"/>
      <c r="Z58" s="443"/>
      <c r="AA58" s="12">
        <f t="shared" si="2"/>
        <v>-111.11111111111177</v>
      </c>
      <c r="AB58" s="351">
        <f t="shared" si="82"/>
        <v>0.95370370370370339</v>
      </c>
      <c r="AC58" s="442"/>
    </row>
    <row r="59" spans="1:29" ht="15.75" customHeight="1">
      <c r="A59" s="439" t="s">
        <v>169</v>
      </c>
      <c r="B59" s="357" t="s">
        <v>67</v>
      </c>
      <c r="C59" s="441" t="s">
        <v>1161</v>
      </c>
      <c r="D59" s="441"/>
      <c r="E59" s="31">
        <v>24.25</v>
      </c>
      <c r="F59" s="357">
        <v>3833</v>
      </c>
      <c r="G59" s="346">
        <f t="shared" si="74"/>
        <v>92950.25</v>
      </c>
      <c r="H59" s="359" t="s">
        <v>103</v>
      </c>
      <c r="I59" s="355">
        <v>17</v>
      </c>
      <c r="J59" s="26">
        <v>2400</v>
      </c>
      <c r="K59" s="10">
        <f t="shared" ref="K59:K62" si="84">J59/I59</f>
        <v>141.1764705882353</v>
      </c>
      <c r="L59" s="19">
        <v>17</v>
      </c>
      <c r="M59" s="11">
        <f t="shared" si="80"/>
        <v>2299.7999999999993</v>
      </c>
      <c r="N59" s="10">
        <f t="shared" si="76"/>
        <v>135.28235294117644</v>
      </c>
      <c r="O59" s="12">
        <f t="shared" si="77"/>
        <v>0</v>
      </c>
      <c r="P59" s="13">
        <f t="shared" si="78"/>
        <v>-5.894117647058863</v>
      </c>
      <c r="Q59" s="351">
        <f t="shared" si="81"/>
        <v>0.95824999999999971</v>
      </c>
      <c r="R59" s="442"/>
      <c r="S59" s="28">
        <v>0.37222222222222218</v>
      </c>
      <c r="T59" s="28">
        <v>0.44166666666666665</v>
      </c>
      <c r="U59" s="346">
        <f t="shared" si="83"/>
        <v>7.9999999999999716</v>
      </c>
      <c r="V59" s="356">
        <f t="shared" si="79"/>
        <v>100.00000000000004</v>
      </c>
      <c r="W59" s="16"/>
      <c r="X59" s="16"/>
      <c r="Y59" s="443"/>
      <c r="Z59" s="443"/>
      <c r="AA59" s="12">
        <f t="shared" si="2"/>
        <v>-100.20000000000073</v>
      </c>
      <c r="AB59" s="351">
        <f t="shared" si="82"/>
        <v>0.95824999999999971</v>
      </c>
      <c r="AC59" s="442"/>
    </row>
    <row r="60" spans="1:29" ht="15.75" customHeight="1">
      <c r="A60" s="439" t="s">
        <v>169</v>
      </c>
      <c r="B60" s="357" t="s">
        <v>67</v>
      </c>
      <c r="C60" s="441" t="s">
        <v>71</v>
      </c>
      <c r="D60" s="441"/>
      <c r="E60" s="31">
        <v>22.35</v>
      </c>
      <c r="F60" s="357">
        <v>1430</v>
      </c>
      <c r="G60" s="346">
        <f t="shared" si="74"/>
        <v>31960.500000000004</v>
      </c>
      <c r="H60" s="359" t="s">
        <v>103</v>
      </c>
      <c r="I60" s="355">
        <v>16</v>
      </c>
      <c r="J60" s="26">
        <v>2400</v>
      </c>
      <c r="K60" s="10">
        <f t="shared" si="84"/>
        <v>150</v>
      </c>
      <c r="L60" s="19">
        <v>16</v>
      </c>
      <c r="M60" s="11">
        <f t="shared" si="80"/>
        <v>2318.9189189189169</v>
      </c>
      <c r="N60" s="10">
        <f t="shared" si="76"/>
        <v>144.93243243243231</v>
      </c>
      <c r="O60" s="12">
        <f t="shared" si="77"/>
        <v>0</v>
      </c>
      <c r="P60" s="13">
        <f t="shared" si="78"/>
        <v>-5.0675675675676928</v>
      </c>
      <c r="Q60" s="351">
        <f t="shared" si="81"/>
        <v>0.96621621621621534</v>
      </c>
      <c r="R60" s="442"/>
      <c r="S60" s="28">
        <v>0.44722222222222219</v>
      </c>
      <c r="T60" s="28">
        <v>0.47291666666666665</v>
      </c>
      <c r="U60" s="346">
        <f t="shared" si="83"/>
        <v>7.9999999999999716</v>
      </c>
      <c r="V60" s="356">
        <f t="shared" si="79"/>
        <v>37.000000000000028</v>
      </c>
      <c r="W60" s="16"/>
      <c r="X60" s="16"/>
      <c r="Y60" s="443"/>
      <c r="Z60" s="443"/>
      <c r="AA60" s="12">
        <f t="shared" si="2"/>
        <v>-81.081081081083084</v>
      </c>
      <c r="AB60" s="351">
        <f t="shared" si="82"/>
        <v>0.96621621621621534</v>
      </c>
      <c r="AC60" s="442"/>
    </row>
    <row r="61" spans="1:29" ht="15.75" customHeight="1">
      <c r="A61" s="439" t="s">
        <v>169</v>
      </c>
      <c r="B61" s="357" t="s">
        <v>67</v>
      </c>
      <c r="C61" s="444" t="s">
        <v>74</v>
      </c>
      <c r="D61" s="445"/>
      <c r="E61" s="31">
        <v>24.45</v>
      </c>
      <c r="F61" s="357">
        <v>1641</v>
      </c>
      <c r="G61" s="346">
        <f t="shared" si="74"/>
        <v>40122.449999999997</v>
      </c>
      <c r="H61" s="359" t="s">
        <v>103</v>
      </c>
      <c r="I61" s="355">
        <v>20</v>
      </c>
      <c r="J61" s="26">
        <v>2400</v>
      </c>
      <c r="K61" s="10">
        <f t="shared" si="84"/>
        <v>120</v>
      </c>
      <c r="L61" s="19">
        <v>20</v>
      </c>
      <c r="M61" s="11">
        <f t="shared" si="80"/>
        <v>2289.7674418604647</v>
      </c>
      <c r="N61" s="10">
        <f t="shared" si="76"/>
        <v>114.48837209302323</v>
      </c>
      <c r="O61" s="12">
        <f t="shared" si="77"/>
        <v>0</v>
      </c>
      <c r="P61" s="13">
        <f t="shared" si="78"/>
        <v>-5.51162790697677</v>
      </c>
      <c r="Q61" s="351">
        <f t="shared" si="81"/>
        <v>0.95406976744186023</v>
      </c>
      <c r="R61" s="442"/>
      <c r="S61" s="28">
        <v>0.47638888888888886</v>
      </c>
      <c r="T61" s="28">
        <v>0.50624999999999998</v>
      </c>
      <c r="U61" s="346">
        <f t="shared" si="83"/>
        <v>4.9999999999999822</v>
      </c>
      <c r="V61" s="356">
        <f t="shared" si="79"/>
        <v>43.000000000000007</v>
      </c>
      <c r="W61" s="16"/>
      <c r="X61" s="16"/>
      <c r="Y61" s="447"/>
      <c r="Z61" s="448"/>
      <c r="AA61" s="12">
        <f t="shared" si="2"/>
        <v>-110.23255813953529</v>
      </c>
      <c r="AB61" s="351">
        <f t="shared" si="82"/>
        <v>0.95406976744186034</v>
      </c>
      <c r="AC61" s="442"/>
    </row>
    <row r="62" spans="1:29" ht="16.5" customHeight="1">
      <c r="A62" s="440" t="s">
        <v>169</v>
      </c>
      <c r="B62" s="31" t="s">
        <v>231</v>
      </c>
      <c r="C62" s="446"/>
      <c r="D62" s="446"/>
      <c r="E62" s="345"/>
      <c r="F62" s="33"/>
      <c r="G62" s="10"/>
      <c r="H62" s="357"/>
      <c r="I62" s="19">
        <v>17.571428571428573</v>
      </c>
      <c r="J62" s="26">
        <v>2400</v>
      </c>
      <c r="K62" s="10">
        <f t="shared" si="84"/>
        <v>136.58536585365852</v>
      </c>
      <c r="L62" s="19">
        <v>17.571428571428573</v>
      </c>
      <c r="M62" s="11">
        <f>AVERAGE(M55:M61)</f>
        <v>2297.0689377437711</v>
      </c>
      <c r="N62" s="10">
        <f>M62/L62</f>
        <v>130.72750052200323</v>
      </c>
      <c r="O62" s="12">
        <f>L62-I62</f>
        <v>0</v>
      </c>
      <c r="P62" s="13">
        <f>N62-K62</f>
        <v>-5.8578653316552902</v>
      </c>
      <c r="Q62" s="351">
        <f t="shared" si="81"/>
        <v>0.95711205739323801</v>
      </c>
      <c r="R62" s="442"/>
      <c r="S62" s="28"/>
      <c r="T62" s="28"/>
      <c r="U62" s="10"/>
      <c r="V62" s="356"/>
      <c r="W62" s="10"/>
      <c r="X62" s="10"/>
      <c r="Y62" s="443"/>
      <c r="Z62" s="443"/>
      <c r="AA62" s="12">
        <f t="shared" si="2"/>
        <v>-102.93106225622887</v>
      </c>
      <c r="AB62" s="351">
        <f t="shared" si="82"/>
        <v>0.95711205739323801</v>
      </c>
      <c r="AC62" s="442"/>
    </row>
    <row r="63" spans="1:29">
      <c r="D63" s="22"/>
      <c r="E63" s="22"/>
    </row>
  </sheetData>
  <mergeCells count="172">
    <mergeCell ref="Y61:Z61"/>
    <mergeCell ref="AC43:AC49"/>
    <mergeCell ref="C44:D44"/>
    <mergeCell ref="Y44:Z44"/>
    <mergeCell ref="C45:D45"/>
    <mergeCell ref="C48:D48"/>
    <mergeCell ref="Y48:Z48"/>
    <mergeCell ref="A55:A62"/>
    <mergeCell ref="C55:D55"/>
    <mergeCell ref="R55:R62"/>
    <mergeCell ref="Y55:Z55"/>
    <mergeCell ref="AC55:AC62"/>
    <mergeCell ref="C56:D56"/>
    <mergeCell ref="Y56:Z56"/>
    <mergeCell ref="C57:D57"/>
    <mergeCell ref="Y57:Z57"/>
    <mergeCell ref="C58:D58"/>
    <mergeCell ref="C62:D62"/>
    <mergeCell ref="Y62:Z62"/>
    <mergeCell ref="Y58:Z58"/>
    <mergeCell ref="C59:D59"/>
    <mergeCell ref="Y59:Z59"/>
    <mergeCell ref="C60:D60"/>
    <mergeCell ref="Y60:Z60"/>
    <mergeCell ref="C61:D61"/>
    <mergeCell ref="AC50:AC54"/>
    <mergeCell ref="C51:D51"/>
    <mergeCell ref="Y51:Z51"/>
    <mergeCell ref="C52:D52"/>
    <mergeCell ref="Y52:Z52"/>
    <mergeCell ref="C53:D53"/>
    <mergeCell ref="Y53:Z53"/>
    <mergeCell ref="C54:D54"/>
    <mergeCell ref="Y54:Z54"/>
    <mergeCell ref="C49:D49"/>
    <mergeCell ref="Y49:Z49"/>
    <mergeCell ref="A50:A54"/>
    <mergeCell ref="C50:D50"/>
    <mergeCell ref="R50:R54"/>
    <mergeCell ref="Y50:Z50"/>
    <mergeCell ref="A43:A49"/>
    <mergeCell ref="C43:D43"/>
    <mergeCell ref="R43:R49"/>
    <mergeCell ref="Y43:Z43"/>
    <mergeCell ref="A36:A42"/>
    <mergeCell ref="C36:D36"/>
    <mergeCell ref="R36:R42"/>
    <mergeCell ref="Y36:Z36"/>
    <mergeCell ref="AC36:AC42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Y42:Z42"/>
    <mergeCell ref="AC31:AC35"/>
    <mergeCell ref="C32:D32"/>
    <mergeCell ref="Y32:Z32"/>
    <mergeCell ref="C33:D33"/>
    <mergeCell ref="Y33:Z33"/>
    <mergeCell ref="C34:D34"/>
    <mergeCell ref="Y34:Z34"/>
    <mergeCell ref="C35:D35"/>
    <mergeCell ref="Y35:Z35"/>
    <mergeCell ref="A31:A35"/>
    <mergeCell ref="C31:D31"/>
    <mergeCell ref="R31:R35"/>
    <mergeCell ref="Y31:Z31"/>
    <mergeCell ref="Y26:Z26"/>
    <mergeCell ref="C27:D27"/>
    <mergeCell ref="Y27:Z27"/>
    <mergeCell ref="C28:D28"/>
    <mergeCell ref="Y28:Z28"/>
    <mergeCell ref="C29:D29"/>
    <mergeCell ref="Y29:Z29"/>
    <mergeCell ref="A23:A30"/>
    <mergeCell ref="C23:D23"/>
    <mergeCell ref="R23:R30"/>
    <mergeCell ref="Y23:Z23"/>
    <mergeCell ref="AC23:AC30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C30:D30"/>
    <mergeCell ref="Y30:Z30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3:O60 O62 O5:O12 O16:O50">
    <cfRule type="cellIs" dxfId="1526" priority="37" operator="greaterThan">
      <formula>0</formula>
    </cfRule>
  </conditionalFormatting>
  <conditionalFormatting sqref="P5:P7 P53 AA53 P55:P60 P23:P29 P50 P9:P12 P17:P21 P43:P48 P31:P41 AA5:AA50 AA55:AA62">
    <cfRule type="cellIs" dxfId="1525" priority="41" operator="lessThan">
      <formula>0</formula>
    </cfRule>
  </conditionalFormatting>
  <conditionalFormatting sqref="AB53 Q53:Q60 Q62 Q5:Q12 Q16:Q50 AB5:AB50 AB55:AB62">
    <cfRule type="cellIs" dxfId="1524" priority="38" operator="greaterThan">
      <formula>1</formula>
    </cfRule>
    <cfRule type="cellIs" dxfId="1523" priority="39" operator="lessThan">
      <formula>0.8</formula>
    </cfRule>
  </conditionalFormatting>
  <conditionalFormatting sqref="AC11:AC12 R11:R12 AC53 R53:R60 R62 AC5:AC9 R5:R9 AC16:AC50 R16:R50">
    <cfRule type="cellIs" dxfId="1522" priority="43" operator="lessThan">
      <formula>0.8</formula>
    </cfRule>
  </conditionalFormatting>
  <conditionalFormatting sqref="AC36">
    <cfRule type="cellIs" dxfId="1521" priority="45" operator="lessThan">
      <formula>0.8</formula>
    </cfRule>
  </conditionalFormatting>
  <conditionalFormatting sqref="AC17:AC21">
    <cfRule type="cellIs" dxfId="1520" priority="42" operator="lessThan">
      <formula>0.8</formula>
    </cfRule>
  </conditionalFormatting>
  <conditionalFormatting sqref="AC23">
    <cfRule type="cellIs" dxfId="1519" priority="44" operator="lessThan">
      <formula>0.8</formula>
    </cfRule>
  </conditionalFormatting>
  <conditionalFormatting sqref="AC31:AC34">
    <cfRule type="cellIs" dxfId="1518" priority="40" operator="lessThan">
      <formula>0.8</formula>
    </cfRule>
  </conditionalFormatting>
  <conditionalFormatting sqref="AA54">
    <cfRule type="cellIs" dxfId="1517" priority="36" operator="lessThan">
      <formula>0</formula>
    </cfRule>
  </conditionalFormatting>
  <conditionalFormatting sqref="AB54">
    <cfRule type="cellIs" dxfId="1516" priority="34" operator="greaterThan">
      <formula>1</formula>
    </cfRule>
    <cfRule type="cellIs" dxfId="1515" priority="35" operator="lessThan">
      <formula>0.8</formula>
    </cfRule>
  </conditionalFormatting>
  <conditionalFormatting sqref="O13:O14">
    <cfRule type="cellIs" dxfId="1514" priority="29" operator="greaterThan">
      <formula>0</formula>
    </cfRule>
  </conditionalFormatting>
  <conditionalFormatting sqref="P13:P14">
    <cfRule type="cellIs" dxfId="1513" priority="32" operator="lessThan">
      <formula>0</formula>
    </cfRule>
  </conditionalFormatting>
  <conditionalFormatting sqref="Q13:Q14">
    <cfRule type="cellIs" dxfId="1512" priority="30" operator="greaterThan">
      <formula>1</formula>
    </cfRule>
    <cfRule type="cellIs" dxfId="1511" priority="31" operator="lessThan">
      <formula>0.8</formula>
    </cfRule>
  </conditionalFormatting>
  <conditionalFormatting sqref="R13:R14 AC13:AC14">
    <cfRule type="cellIs" dxfId="1510" priority="33" operator="lessThan">
      <formula>0.8</formula>
    </cfRule>
  </conditionalFormatting>
  <conditionalFormatting sqref="O52">
    <cfRule type="cellIs" dxfId="1509" priority="24" operator="greaterThan">
      <formula>0</formula>
    </cfRule>
  </conditionalFormatting>
  <conditionalFormatting sqref="P52 AA52">
    <cfRule type="cellIs" dxfId="1508" priority="27" operator="lessThan">
      <formula>0</formula>
    </cfRule>
  </conditionalFormatting>
  <conditionalFormatting sqref="Q52 AB52">
    <cfRule type="cellIs" dxfId="1507" priority="25" operator="greaterThan">
      <formula>1</formula>
    </cfRule>
    <cfRule type="cellIs" dxfId="1506" priority="26" operator="lessThan">
      <formula>0.8</formula>
    </cfRule>
  </conditionalFormatting>
  <conditionalFormatting sqref="R52 AC52">
    <cfRule type="cellIs" dxfId="1505" priority="28" operator="lessThan">
      <formula>0.8</formula>
    </cfRule>
  </conditionalFormatting>
  <conditionalFormatting sqref="O61">
    <cfRule type="cellIs" dxfId="1504" priority="19" operator="greaterThan">
      <formula>0</formula>
    </cfRule>
  </conditionalFormatting>
  <conditionalFormatting sqref="P61">
    <cfRule type="cellIs" dxfId="1503" priority="22" operator="lessThan">
      <formula>0</formula>
    </cfRule>
  </conditionalFormatting>
  <conditionalFormatting sqref="Q61">
    <cfRule type="cellIs" dxfId="1502" priority="20" operator="greaterThan">
      <formula>1</formula>
    </cfRule>
    <cfRule type="cellIs" dxfId="1501" priority="21" operator="lessThan">
      <formula>0.8</formula>
    </cfRule>
  </conditionalFormatting>
  <conditionalFormatting sqref="R61">
    <cfRule type="cellIs" dxfId="1500" priority="23" operator="lessThan">
      <formula>0.8</formula>
    </cfRule>
  </conditionalFormatting>
  <conditionalFormatting sqref="O15">
    <cfRule type="cellIs" dxfId="1499" priority="14" operator="greaterThan">
      <formula>0</formula>
    </cfRule>
  </conditionalFormatting>
  <conditionalFormatting sqref="P15">
    <cfRule type="cellIs" dxfId="1498" priority="17" operator="lessThan">
      <formula>0</formula>
    </cfRule>
  </conditionalFormatting>
  <conditionalFormatting sqref="Q15">
    <cfRule type="cellIs" dxfId="1497" priority="15" operator="greaterThan">
      <formula>1</formula>
    </cfRule>
    <cfRule type="cellIs" dxfId="1496" priority="16" operator="lessThan">
      <formula>0.8</formula>
    </cfRule>
  </conditionalFormatting>
  <conditionalFormatting sqref="R15 AC15">
    <cfRule type="cellIs" dxfId="1495" priority="18" operator="lessThan">
      <formula>0.8</formula>
    </cfRule>
  </conditionalFormatting>
  <conditionalFormatting sqref="O51">
    <cfRule type="cellIs" dxfId="1494" priority="9" operator="greaterThan">
      <formula>0</formula>
    </cfRule>
  </conditionalFormatting>
  <conditionalFormatting sqref="P51 AA51">
    <cfRule type="cellIs" dxfId="1493" priority="12" operator="lessThan">
      <formula>0</formula>
    </cfRule>
  </conditionalFormatting>
  <conditionalFormatting sqref="Q51 AB51">
    <cfRule type="cellIs" dxfId="1492" priority="10" operator="greaterThan">
      <formula>1</formula>
    </cfRule>
    <cfRule type="cellIs" dxfId="1491" priority="11" operator="lessThan">
      <formula>0.8</formula>
    </cfRule>
  </conditionalFormatting>
  <conditionalFormatting sqref="R51 AC51">
    <cfRule type="cellIs" dxfId="1490" priority="13" operator="lessThan">
      <formula>0.8</formula>
    </cfRule>
  </conditionalFormatting>
  <conditionalFormatting sqref="P8">
    <cfRule type="cellIs" dxfId="1489" priority="8" operator="lessThan">
      <formula>0</formula>
    </cfRule>
  </conditionalFormatting>
  <conditionalFormatting sqref="P16">
    <cfRule type="cellIs" dxfId="1488" priority="7" operator="lessThan">
      <formula>0</formula>
    </cfRule>
  </conditionalFormatting>
  <conditionalFormatting sqref="P22">
    <cfRule type="cellIs" dxfId="1487" priority="6" operator="lessThan">
      <formula>0</formula>
    </cfRule>
  </conditionalFormatting>
  <conditionalFormatting sqref="P30">
    <cfRule type="cellIs" dxfId="1486" priority="5" operator="lessThan">
      <formula>0</formula>
    </cfRule>
  </conditionalFormatting>
  <conditionalFormatting sqref="P42">
    <cfRule type="cellIs" dxfId="1485" priority="4" operator="lessThan">
      <formula>0</formula>
    </cfRule>
  </conditionalFormatting>
  <conditionalFormatting sqref="P49">
    <cfRule type="cellIs" dxfId="1484" priority="3" operator="lessThan">
      <formula>0</formula>
    </cfRule>
  </conditionalFormatting>
  <conditionalFormatting sqref="P54">
    <cfRule type="cellIs" dxfId="1483" priority="2" operator="lessThan">
      <formula>0</formula>
    </cfRule>
  </conditionalFormatting>
  <conditionalFormatting sqref="P62">
    <cfRule type="cellIs" dxfId="1482" priority="1" operator="lessThan">
      <formula>0</formula>
    </cfRule>
  </conditionalFormatting>
  <dataValidations count="1">
    <dataValidation type="list" allowBlank="1" showInputMessage="1" showErrorMessage="1" sqref="Z8 Y5:Z7 Y8:Y53 Z10:Z50 Y54:Z6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10" zoomScale="70" zoomScaleNormal="70" workbookViewId="0">
      <selection activeCell="H14" sqref="H14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1752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61" t="s">
        <v>1753</v>
      </c>
      <c r="C3" s="420" t="str">
        <f>TEXT('0925 4度C'!A2,"yyyy.mm.ddaaaa")</f>
        <v>2025.09.25星期四</v>
      </c>
      <c r="D3" s="421"/>
      <c r="E3" s="361" t="s">
        <v>1754</v>
      </c>
      <c r="F3" s="422">
        <f>'0925 4度C'!D1</f>
        <v>172323</v>
      </c>
      <c r="G3" s="423"/>
      <c r="H3" s="361" t="s">
        <v>1755</v>
      </c>
      <c r="I3" s="424">
        <f>'0925 4度C'!F1</f>
        <v>5547161.1899999995</v>
      </c>
      <c r="J3" s="425"/>
      <c r="K3" s="45"/>
      <c r="L3" s="46"/>
      <c r="M3" s="47"/>
      <c r="N3" s="47"/>
    </row>
    <row r="4" spans="2:17" ht="28.5" customHeight="1">
      <c r="B4" s="426" t="s">
        <v>1690</v>
      </c>
      <c r="C4" s="429" t="s">
        <v>1691</v>
      </c>
      <c r="D4" s="430"/>
      <c r="E4" s="431" t="s">
        <v>1692</v>
      </c>
      <c r="F4" s="432"/>
      <c r="G4" s="431" t="s">
        <v>1693</v>
      </c>
      <c r="H4" s="432"/>
      <c r="I4" s="431" t="s">
        <v>1694</v>
      </c>
      <c r="J4" s="432"/>
      <c r="L4" s="47"/>
      <c r="M4" s="47"/>
      <c r="N4" s="47"/>
    </row>
    <row r="5" spans="2:17" ht="28.5" customHeight="1">
      <c r="B5" s="427"/>
      <c r="C5" s="429" t="s">
        <v>1695</v>
      </c>
      <c r="D5" s="430"/>
      <c r="E5" s="429" t="s">
        <v>1756</v>
      </c>
      <c r="F5" s="430"/>
      <c r="G5" s="433" t="s">
        <v>1697</v>
      </c>
      <c r="H5" s="434"/>
      <c r="I5" s="435" t="s">
        <v>1698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149.46276626419186</v>
      </c>
      <c r="F6" s="438">
        <f>AVERAGE(D27:O27,D13:J13)</f>
        <v>154.31766618097438</v>
      </c>
      <c r="G6" s="399">
        <f>AVERAGE(D13:J13)</f>
        <v>154.31766618097438</v>
      </c>
      <c r="H6" s="400"/>
      <c r="I6" s="399">
        <f>AVERAGE(K13:M13)</f>
        <v>138.1346664583659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143.12525140424216</v>
      </c>
      <c r="F7" s="406">
        <f>AVERAGE(D28:O28,D14:J14)</f>
        <v>147.82347958466647</v>
      </c>
      <c r="G7" s="407">
        <f>AVERAGE(D14:J14)</f>
        <v>147.82347958466647</v>
      </c>
      <c r="H7" s="408"/>
      <c r="I7" s="407">
        <f>AVERAGE(K14:M14)</f>
        <v>132.16271898325206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0.95742562882844418</v>
      </c>
      <c r="F8" s="410">
        <f>AVERAGE(D15:J15,D29:O29)</f>
        <v>0.95770728449480858</v>
      </c>
      <c r="G8" s="411">
        <f>AVERAGE(D15:J15)</f>
        <v>0.95770728449480858</v>
      </c>
      <c r="H8" s="412"/>
      <c r="I8" s="411">
        <f>AVERAGE(K15:M15)</f>
        <v>0.95676843227359354</v>
      </c>
      <c r="J8" s="412"/>
      <c r="K8" s="48" t="s">
        <v>1757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1700</v>
      </c>
      <c r="C10" s="414"/>
      <c r="D10" s="415" t="s">
        <v>1758</v>
      </c>
      <c r="E10" s="416"/>
      <c r="F10" s="416"/>
      <c r="G10" s="416"/>
      <c r="H10" s="416"/>
      <c r="I10" s="416"/>
      <c r="J10" s="417"/>
      <c r="K10" s="389" t="s">
        <v>1759</v>
      </c>
      <c r="L10" s="390"/>
      <c r="M10" s="391"/>
      <c r="P10" s="51"/>
      <c r="Q10" s="51"/>
    </row>
    <row r="11" spans="2:17" ht="17.25" customHeight="1">
      <c r="B11" s="392" t="s">
        <v>1760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1729</v>
      </c>
      <c r="C13" s="58" t="s">
        <v>1761</v>
      </c>
      <c r="D13" s="59">
        <f>SUMIFS('0925 4度C'!$K:$K,'0925 4度C'!$A:$A,"新豐6線",'0925 4度C'!$B:$B,"平均")</f>
        <v>125</v>
      </c>
      <c r="E13" s="60">
        <f>SUMIFS('0925 4度C'!$K:$K,'0925 4度C'!$A:$A,"新豐2線",'0925 4度C'!$B:$B,"平均")</f>
        <v>88.235294117647058</v>
      </c>
      <c r="F13" s="61">
        <f>SUMIFS('0925 4度C'!$K:$K,'0925 4度C'!$A:$A,"新豐5線",'0925 4度C'!$B:$B,"平均")</f>
        <v>88.541666666666671</v>
      </c>
      <c r="G13" s="61">
        <f>SUMIFS('0925 4度C'!$K:$K,'0925 4度C'!$A:$A,"新豐7線",'0925 4度C'!$B:$B,"平均")</f>
        <v>119.04761904761904</v>
      </c>
      <c r="H13" s="61">
        <f>SUMIFS('0925 4度C'!$K:$K,'0925 4度C'!$A:$A,"新豐3線",'0925 4度C'!$B:$B,"平均")</f>
        <v>310.34482758620692</v>
      </c>
      <c r="I13" s="61">
        <f>SUMIFS('0925 4度C'!$K:$K,'0925 4度C'!$A:$A,"新豐1線",'0925 4度C'!$B:$B,"平均")</f>
        <v>117.34693877551021</v>
      </c>
      <c r="J13" s="62">
        <f>SUMIFS('0925 4度C'!$K:$K,'0925 4度C'!$A:$A,"新豐10線",'0925 4度C'!$B:$B,"平均")</f>
        <v>231.70731707317074</v>
      </c>
      <c r="K13" s="63">
        <f>SUMIFS('0925 4度C'!$K:$K,'0925 4度C'!$A:$A,"新豐8線",'0925 4度C'!$B:$B,"平均")</f>
        <v>129.72972972972974</v>
      </c>
      <c r="L13" s="64">
        <f>SUMIFS('0925 4度C'!$K:$K,'0925 4度C'!$A:$A,"新豐9線",'0925 4度C'!$B:$B,"平均")</f>
        <v>145.94594594594597</v>
      </c>
      <c r="M13" s="62">
        <f>SUMIFS('0925 4度C'!$K:$K,'0925 4度C'!$A:$A,"新豐4線",'0925 4度C'!$B:$B,"平均")</f>
        <v>138.72832369942196</v>
      </c>
    </row>
    <row r="14" spans="2:17" ht="39.6" customHeight="1">
      <c r="B14" s="397"/>
      <c r="C14" s="65" t="s">
        <v>1762</v>
      </c>
      <c r="D14" s="66">
        <f>SUMIFS('0925 4度C'!$N:$N,'0925 4度C'!$A:$A,"新豐6線",'0925 4度C'!$B:$B,"平均")</f>
        <v>120.27865947611706</v>
      </c>
      <c r="E14" s="67">
        <f>SUMIFS('0925 4度C'!$N:$N,'0925 4度C'!$A:$A,"新豐2線",'0925 4度C'!$B:$B,"平均")</f>
        <v>84.322538003965619</v>
      </c>
      <c r="F14" s="67">
        <f>SUMIFS('0925 4度C'!$N:$N,'0925 4度C'!$A:$A,"新豐5線",'0925 4度C'!$B:$B,"平均")</f>
        <v>84.738098253848648</v>
      </c>
      <c r="G14" s="67">
        <f>SUMIFS('0925 4度C'!$N:$N,'0925 4度C'!$A:$A,"新豐7線",'0925 4度C'!$B:$B,"平均")</f>
        <v>113.55945758705705</v>
      </c>
      <c r="H14" s="67">
        <f>SUMIFS('0925 4度C'!$N:$N,'0925 4度C'!$A:$A,"新豐3線",'0925 4度C'!$B:$B,"平均")</f>
        <v>296.81464089522586</v>
      </c>
      <c r="I14" s="67">
        <f>SUMIFS('0925 4度C'!$N:$N,'0925 4度C'!$A:$A,"新豐1線",'0925 4度C'!$B:$B,"平均")</f>
        <v>112.39141654553107</v>
      </c>
      <c r="J14" s="68">
        <f>SUMIFS('0925 4度C'!$N:$N,'0925 4度C'!$A:$A,"新豐10線",'0925 4度C'!$B:$B,"平均")</f>
        <v>222.65954633091985</v>
      </c>
      <c r="K14" s="69">
        <f>SUMIFS('0925 4度C'!$N:$N,'0925 4度C'!$A:$A,"新豐8線",'0925 4度C'!$B:$B,"平均")</f>
        <v>124.05017736921754</v>
      </c>
      <c r="L14" s="70">
        <f>SUMIFS('0925 4度C'!$N:$N,'0925 4度C'!$A:$A,"新豐9線",'0925 4度C'!$B:$B,"平均")</f>
        <v>139.52643393970479</v>
      </c>
      <c r="M14" s="68">
        <f>SUMIFS('0925 4度C'!$N:$N,'0925 4度C'!$A:$A,"新豐4線",'0925 4度C'!$B:$B,"平均")</f>
        <v>132.91154564083391</v>
      </c>
    </row>
    <row r="15" spans="2:17" ht="40.15" customHeight="1">
      <c r="B15" s="398"/>
      <c r="C15" s="71" t="s">
        <v>1763</v>
      </c>
      <c r="D15" s="72">
        <f t="shared" ref="D15:M15" si="0">D14/D13</f>
        <v>0.96222927580893647</v>
      </c>
      <c r="E15" s="73">
        <f t="shared" si="0"/>
        <v>0.95565543071161041</v>
      </c>
      <c r="F15" s="73">
        <f t="shared" si="0"/>
        <v>0.95704205086699645</v>
      </c>
      <c r="G15" s="73">
        <f t="shared" si="0"/>
        <v>0.95389944373127933</v>
      </c>
      <c r="H15" s="73">
        <f t="shared" si="0"/>
        <v>0.95640273177350554</v>
      </c>
      <c r="I15" s="73">
        <f t="shared" si="0"/>
        <v>0.95777033230104736</v>
      </c>
      <c r="J15" s="74">
        <f t="shared" si="0"/>
        <v>0.96095172627028569</v>
      </c>
      <c r="K15" s="72">
        <f t="shared" si="0"/>
        <v>0.95622011722105171</v>
      </c>
      <c r="L15" s="73">
        <f t="shared" si="0"/>
        <v>0.95601445477205116</v>
      </c>
      <c r="M15" s="74">
        <f t="shared" si="0"/>
        <v>0.95807072482767774</v>
      </c>
    </row>
    <row r="16" spans="2:17" ht="17.25" customHeight="1">
      <c r="B16" s="401" t="s">
        <v>1764</v>
      </c>
      <c r="C16" s="360" t="s">
        <v>1765</v>
      </c>
      <c r="D16" s="76">
        <f>VLOOKUP("新豐6線",'0925 4度C'!$A:$T,19,0)</f>
        <v>0.70833333333333337</v>
      </c>
      <c r="E16" s="28">
        <f>VLOOKUP("新豐2線",'0925 4度C'!$A:$T,19,0)</f>
        <v>0.20833333333333334</v>
      </c>
      <c r="F16" s="28">
        <f>VLOOKUP("新豐5線",'0925 4度C'!$A:$T,19,0)</f>
        <v>0.20833333333333334</v>
      </c>
      <c r="G16" s="28">
        <f>VLOOKUP("新豐7線",'0925 4度C'!$A:$T,19,0)</f>
        <v>0.20833333333333334</v>
      </c>
      <c r="H16" s="28">
        <f>VLOOKUP("新豐3線",'0925 4度C'!$A:$T,19,0)</f>
        <v>8.3333333333333329E-2</v>
      </c>
      <c r="I16" s="28">
        <f>VLOOKUP("新豐1線",'0925 4度C'!$A:$T,19,0)</f>
        <v>0.29166666666666669</v>
      </c>
      <c r="J16" s="77">
        <f>VLOOKUP("新豐10線",'0925 4度C'!$A:$T,19,0)</f>
        <v>0.20833333333333334</v>
      </c>
      <c r="K16" s="78">
        <f>VLOOKUP("新豐8線",'0925 4度C'!$A:$T,19,0)</f>
        <v>8.3333333333333329E-2</v>
      </c>
      <c r="L16" s="79">
        <f>VLOOKUP("新豐9線",'0925 4度C'!$A:$T,19,0)</f>
        <v>8.3333333333333329E-2</v>
      </c>
      <c r="M16" s="80">
        <f>VLOOKUP("新豐4線",'0925 4度C'!$A:$T,19,0)</f>
        <v>8.3333333333333329E-2</v>
      </c>
    </row>
    <row r="17" spans="2:13" ht="17.25" customHeight="1">
      <c r="B17" s="402"/>
      <c r="C17" s="360" t="s">
        <v>1766</v>
      </c>
      <c r="D17" s="78">
        <f>LOOKUP(2,1/(('0925 4度C'!$A:$A="新豐6線")*('0925 4度C'!$T:$T&lt;&gt;"")),'0925 4度C'!$T:$T)</f>
        <v>0.8125</v>
      </c>
      <c r="E17" s="28">
        <f>LOOKUP(2,1/(('0925 4度C'!$A:$A="新豐2線")*('0925 4度C'!$T:$T&lt;&gt;"")),'0925 4度C'!$T:$T)</f>
        <v>0.39375000000000004</v>
      </c>
      <c r="F17" s="28">
        <f>LOOKUP(2,1/(('0925 4度C'!$A:$A="新豐5線")*('0925 4度C'!$T:$T&lt;&gt;"")),'0925 4度C'!$T:$T)</f>
        <v>0.83888888888888891</v>
      </c>
      <c r="G17" s="28">
        <f>LOOKUP(2,1/(('0925 4度C'!$A:$A="新豐7線")*('0925 4度C'!$T:$T&lt;&gt;"")),'0925 4度C'!$T:$T)</f>
        <v>0.76527777777777783</v>
      </c>
      <c r="H17" s="28">
        <f>LOOKUP(2,1/(('0925 4度C'!$A:$A="新豐3線")*('0925 4度C'!$T:$T&lt;&gt;"")),'0925 4度C'!$T:$T)</f>
        <v>0.45208333333333328</v>
      </c>
      <c r="I17" s="28">
        <f>LOOKUP(2,1/(('0925 4度C'!$A:$A="新豐1線")*('0925 4度C'!$T:$T&lt;&gt;"")),'0925 4度C'!$T:$T)</f>
        <v>0.82847222222222217</v>
      </c>
      <c r="J17" s="77">
        <f>LOOKUP(2,1/(('0925 4度C'!$A:$A="新豐10線")*('0925 4度C'!$T:$T&lt;&gt;"")),'0925 4度C'!$T:$T)</f>
        <v>0.41111111111111109</v>
      </c>
      <c r="K17" s="76">
        <f>LOOKUP(2,1/(('0925 4度C'!$A:$A="新豐8線")*('0925 4度C'!$T:$T&lt;&gt;"")),'0925 4度C'!$T:$T)</f>
        <v>0.7041666666666665</v>
      </c>
      <c r="L17" s="28">
        <f>LOOKUP(2,1/(('0925 4度C'!$A:$A="新豐9線")*('0925 4度C'!$T:$T&lt;&gt;"")),'0925 4度C'!$T:$T)</f>
        <v>0.74236111111111103</v>
      </c>
      <c r="M17" s="77">
        <f>LOOKUP(2,1/(('0925 4度C'!$A:$A="新豐4線")*('0925 4度C'!$T:$T&lt;&gt;"")),'0925 4度C'!$T:$T)</f>
        <v>0.70763888888888882</v>
      </c>
    </row>
    <row r="18" spans="2:13" ht="17.25" customHeight="1">
      <c r="B18" s="383" t="s">
        <v>1767</v>
      </c>
      <c r="C18" s="384"/>
      <c r="D18" s="81">
        <f>SUMIFS('0925 4度C'!$I:$I,'0925 4度C'!$A:$A,"新豐6線",'0925 4度C'!$B:$B,"平均")</f>
        <v>16</v>
      </c>
      <c r="E18" s="82">
        <f>SUMIFS('0925 4度C'!$I:$I,'0925 4度C'!$A:$A,"新豐2線",'0925 4度C'!$B:$B,"平均")</f>
        <v>17</v>
      </c>
      <c r="F18" s="82">
        <f>SUMIFS('0925 4度C'!$I:$I,'0925 4度C'!$A:$A,"新豐5線",'0925 4度C'!$B:$B,"平均")</f>
        <v>19.2</v>
      </c>
      <c r="G18" s="82">
        <f>SUMIFS('0925 4度C'!$I:$I,'0925 4度C'!$A:$A,"新豐7線",'0925 4度C'!$B:$B,"平均")</f>
        <v>16.8</v>
      </c>
      <c r="H18" s="82">
        <f>SUMIFS('0925 4度C'!$I:$I,'0925 4度C'!$A:$A,"新豐3線",'0925 4度C'!$B:$B,"平均")</f>
        <v>9.6666666666666661</v>
      </c>
      <c r="I18" s="82">
        <f>SUMIFS('0925 4度C'!$I:$I,'0925 4度C'!$A:$A,"新豐1線",'0925 4度C'!$B:$B,"平均")</f>
        <v>16.333333333333332</v>
      </c>
      <c r="J18" s="83">
        <f>SUMIFS('0925 4度C'!$I:$I,'0925 4度C'!$A:$A,"新豐10線",'0925 4度C'!$B:$B,"平均")</f>
        <v>10.25</v>
      </c>
      <c r="K18" s="81">
        <f>SUMIFS('0925 4度C'!$I:$I,'0925 4度C'!$A:$A,"新豐8線",'0925 4度C'!$B:$B,"平均")</f>
        <v>18.5</v>
      </c>
      <c r="L18" s="82">
        <f>SUMIFS('0925 4度C'!$I:$I,'0925 4度C'!$A:$A,"新豐9線",'0925 4度C'!$B:$B,"平均")</f>
        <v>16.444444444444443</v>
      </c>
      <c r="M18" s="83">
        <f>SUMIFS('0925 4度C'!$I:$I,'0925 4度C'!$A:$A,"新豐4線",'0925 4度C'!$B:$B,"平均")</f>
        <v>17.3</v>
      </c>
    </row>
    <row r="19" spans="2:13" ht="17.25" customHeight="1">
      <c r="B19" s="383" t="s">
        <v>1768</v>
      </c>
      <c r="C19" s="384"/>
      <c r="D19" s="84" t="s">
        <v>148</v>
      </c>
      <c r="E19" s="85" t="s">
        <v>149</v>
      </c>
      <c r="F19" s="85" t="s">
        <v>1769</v>
      </c>
      <c r="G19" s="85" t="s">
        <v>1769</v>
      </c>
      <c r="H19" s="85" t="s">
        <v>151</v>
      </c>
      <c r="I19" s="85" t="s">
        <v>148</v>
      </c>
      <c r="J19" s="86" t="s">
        <v>151</v>
      </c>
      <c r="K19" s="84" t="s">
        <v>198</v>
      </c>
      <c r="L19" s="85" t="s">
        <v>1713</v>
      </c>
      <c r="M19" s="86" t="s">
        <v>1713</v>
      </c>
    </row>
    <row r="20" spans="2:13" ht="17.25" customHeight="1">
      <c r="B20" s="383" t="s">
        <v>1770</v>
      </c>
      <c r="C20" s="384"/>
      <c r="D20" s="84"/>
      <c r="E20" s="85"/>
      <c r="F20" s="85" t="s">
        <v>1771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1772</v>
      </c>
      <c r="C21" s="386"/>
      <c r="D21" s="87"/>
      <c r="E21" s="88" t="s">
        <v>1773</v>
      </c>
      <c r="F21" s="387" t="s">
        <v>1774</v>
      </c>
      <c r="G21" s="388"/>
      <c r="H21" s="88" t="s">
        <v>1775</v>
      </c>
      <c r="I21" s="88" t="s">
        <v>1776</v>
      </c>
      <c r="J21" s="89" t="s">
        <v>1717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48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zoomScale="80" zoomScaleNormal="80" workbookViewId="0">
      <pane ySplit="4" topLeftCell="A32" activePane="bottomLeft" state="frozen"/>
      <selection activeCell="H14" sqref="H14"/>
      <selection pane="bottomLeft" sqref="A1:N104857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1777</v>
      </c>
      <c r="B1" s="1"/>
      <c r="C1" s="2" t="s">
        <v>1778</v>
      </c>
      <c r="D1" s="3">
        <f>SUM(F5:F71)</f>
        <v>172323</v>
      </c>
      <c r="E1" s="346" t="s">
        <v>1779</v>
      </c>
      <c r="F1" s="1">
        <f>SUM(G5:G71)</f>
        <v>5547161.1899999995</v>
      </c>
      <c r="G1" s="1" t="s">
        <v>1722</v>
      </c>
      <c r="H1" s="38">
        <v>157.49444444444447</v>
      </c>
      <c r="I1" s="482" t="s">
        <v>1780</v>
      </c>
      <c r="J1" s="482"/>
      <c r="K1" s="482"/>
      <c r="L1" s="482" t="s">
        <v>5</v>
      </c>
      <c r="M1" s="482"/>
      <c r="N1" s="482"/>
      <c r="O1" s="482" t="s">
        <v>1781</v>
      </c>
      <c r="P1" s="482"/>
      <c r="Q1" s="482"/>
      <c r="R1" s="482"/>
      <c r="S1" s="482" t="s">
        <v>1726</v>
      </c>
      <c r="T1" s="482"/>
      <c r="U1" s="482"/>
      <c r="V1" s="482"/>
      <c r="W1" s="482"/>
      <c r="X1" s="482"/>
      <c r="Y1" s="482" t="s">
        <v>1782</v>
      </c>
      <c r="Z1" s="482"/>
      <c r="AA1" s="482" t="s">
        <v>1783</v>
      </c>
      <c r="AB1" s="483"/>
      <c r="AC1" s="483"/>
    </row>
    <row r="2" spans="1:29" ht="26.25" customHeight="1">
      <c r="A2" s="24">
        <v>45925</v>
      </c>
      <c r="B2" s="25" t="s">
        <v>319</v>
      </c>
      <c r="C2" s="2" t="s">
        <v>1729</v>
      </c>
      <c r="D2" s="6">
        <f>AVERAGE(N8,N10,N48,N55,N16,N60,N22,N31,N41,N71)</f>
        <v>143.12525140424216</v>
      </c>
      <c r="E2" s="7" t="s">
        <v>11</v>
      </c>
      <c r="F2" s="8">
        <f>F1/D1</f>
        <v>32.190486412144629</v>
      </c>
      <c r="G2" s="1" t="s">
        <v>1784</v>
      </c>
      <c r="H2" s="39">
        <v>9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1785</v>
      </c>
      <c r="B3" s="443" t="s">
        <v>1786</v>
      </c>
      <c r="C3" s="443" t="s">
        <v>214</v>
      </c>
      <c r="D3" s="443"/>
      <c r="E3" s="484" t="s">
        <v>1787</v>
      </c>
      <c r="F3" s="443" t="s">
        <v>1788</v>
      </c>
      <c r="G3" s="484" t="s">
        <v>1736</v>
      </c>
      <c r="H3" s="487" t="s">
        <v>1789</v>
      </c>
      <c r="I3" s="474" t="s">
        <v>1790</v>
      </c>
      <c r="J3" s="479" t="s">
        <v>1739</v>
      </c>
      <c r="K3" s="481" t="s">
        <v>1704</v>
      </c>
      <c r="L3" s="474" t="s">
        <v>1790</v>
      </c>
      <c r="M3" s="479" t="s">
        <v>1739</v>
      </c>
      <c r="N3" s="481" t="s">
        <v>1729</v>
      </c>
      <c r="O3" s="474" t="s">
        <v>1790</v>
      </c>
      <c r="P3" s="481" t="s">
        <v>1729</v>
      </c>
      <c r="Q3" s="480" t="s">
        <v>1740</v>
      </c>
      <c r="R3" s="451" t="s">
        <v>1791</v>
      </c>
      <c r="S3" s="486" t="s">
        <v>25</v>
      </c>
      <c r="T3" s="486"/>
      <c r="U3" s="476" t="s">
        <v>26</v>
      </c>
      <c r="V3" s="476" t="s">
        <v>1792</v>
      </c>
      <c r="W3" s="443" t="s">
        <v>1793</v>
      </c>
      <c r="X3" s="443"/>
      <c r="Y3" s="477" t="s">
        <v>1794</v>
      </c>
      <c r="Z3" s="478"/>
      <c r="AA3" s="479" t="s">
        <v>1739</v>
      </c>
      <c r="AB3" s="480" t="s">
        <v>1740</v>
      </c>
      <c r="AC3" s="451" t="s">
        <v>1791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57" t="s">
        <v>31</v>
      </c>
      <c r="T4" s="357" t="s">
        <v>32</v>
      </c>
      <c r="U4" s="476"/>
      <c r="V4" s="476"/>
      <c r="W4" s="346" t="s">
        <v>1795</v>
      </c>
      <c r="X4" s="346" t="s">
        <v>1796</v>
      </c>
      <c r="Y4" s="478"/>
      <c r="Z4" s="478"/>
      <c r="AA4" s="479"/>
      <c r="AB4" s="480"/>
      <c r="AC4" s="451"/>
    </row>
    <row r="5" spans="1:29">
      <c r="A5" s="473" t="s">
        <v>1747</v>
      </c>
      <c r="B5" s="31" t="s">
        <v>58</v>
      </c>
      <c r="C5" s="475" t="s">
        <v>104</v>
      </c>
      <c r="D5" s="475"/>
      <c r="E5" s="31">
        <v>46.93</v>
      </c>
      <c r="F5" s="357">
        <v>798</v>
      </c>
      <c r="G5" s="346">
        <f>E5*F5</f>
        <v>37450.14</v>
      </c>
      <c r="H5" s="359" t="s">
        <v>103</v>
      </c>
      <c r="I5" s="355">
        <v>16</v>
      </c>
      <c r="J5" s="26">
        <v>2000</v>
      </c>
      <c r="K5" s="10">
        <f>J5/I5</f>
        <v>125</v>
      </c>
      <c r="L5" s="355">
        <v>16</v>
      </c>
      <c r="M5" s="11">
        <f>F5/V5*60</f>
        <v>1915.1999999999946</v>
      </c>
      <c r="N5" s="10">
        <f>M5/L5</f>
        <v>119.69999999999966</v>
      </c>
      <c r="O5" s="12">
        <f t="shared" ref="O5:O7" si="0">L5-I5</f>
        <v>0</v>
      </c>
      <c r="P5" s="13">
        <f t="shared" ref="P5:P7" si="1">N5-K5</f>
        <v>-5.3000000000003382</v>
      </c>
      <c r="Q5" s="351">
        <f>N5/K5</f>
        <v>0.95759999999999734</v>
      </c>
      <c r="R5" s="442">
        <f>Q8</f>
        <v>0.96222927580893647</v>
      </c>
      <c r="S5" s="28">
        <v>0.70833333333333337</v>
      </c>
      <c r="T5" s="28">
        <v>0.72569444444444453</v>
      </c>
      <c r="U5" s="346"/>
      <c r="V5" s="356">
        <f>(T5-S5)*24*60</f>
        <v>25.000000000000071</v>
      </c>
      <c r="W5" s="16"/>
      <c r="X5" s="17"/>
      <c r="Y5" s="443"/>
      <c r="Z5" s="443"/>
      <c r="AA5" s="12">
        <f t="shared" ref="AA5:AA68" si="2">M5-J5</f>
        <v>-84.800000000005411</v>
      </c>
      <c r="AB5" s="351">
        <f t="shared" ref="AB5:AB7" si="3">M5/J5</f>
        <v>0.95759999999999734</v>
      </c>
      <c r="AC5" s="442">
        <f>AB8</f>
        <v>0.96222927580893647</v>
      </c>
    </row>
    <row r="6" spans="1:29">
      <c r="A6" s="474" t="s">
        <v>1747</v>
      </c>
      <c r="B6" s="31" t="s">
        <v>58</v>
      </c>
      <c r="C6" s="475" t="s">
        <v>105</v>
      </c>
      <c r="D6" s="475"/>
      <c r="E6" s="31">
        <v>50.49</v>
      </c>
      <c r="F6" s="357">
        <v>1893</v>
      </c>
      <c r="G6" s="346">
        <f t="shared" ref="G6:G7" si="4">E6*F6</f>
        <v>95577.57</v>
      </c>
      <c r="H6" s="359" t="s">
        <v>103</v>
      </c>
      <c r="I6" s="355">
        <v>15</v>
      </c>
      <c r="J6" s="26">
        <v>2000</v>
      </c>
      <c r="K6" s="10">
        <f t="shared" ref="K6:K7" si="5">J6/I6</f>
        <v>133.33333333333334</v>
      </c>
      <c r="L6" s="355">
        <v>15</v>
      </c>
      <c r="M6" s="11">
        <f>F6/V6*60</f>
        <v>1925.0847457627133</v>
      </c>
      <c r="N6" s="10">
        <f t="shared" ref="N6:N7" si="6">M6/L6</f>
        <v>128.33898305084756</v>
      </c>
      <c r="O6" s="12">
        <f t="shared" si="0"/>
        <v>0</v>
      </c>
      <c r="P6" s="13">
        <f t="shared" si="1"/>
        <v>-4.9943502824857831</v>
      </c>
      <c r="Q6" s="351">
        <f t="shared" ref="Q6:Q7" si="7">N6/K6</f>
        <v>0.96254237288135658</v>
      </c>
      <c r="R6" s="442"/>
      <c r="S6" s="28">
        <v>0.72916666666666674</v>
      </c>
      <c r="T6" s="28">
        <v>0.77013888888888893</v>
      </c>
      <c r="U6" s="346">
        <f>(S6-T5)*24*60</f>
        <v>4.9999999999999822</v>
      </c>
      <c r="V6" s="356">
        <f>(T6-S6)*24*60</f>
        <v>58.99999999999995</v>
      </c>
      <c r="W6" s="16"/>
      <c r="X6" s="16"/>
      <c r="Y6" s="443"/>
      <c r="Z6" s="443"/>
      <c r="AA6" s="12">
        <f t="shared" si="2"/>
        <v>-74.915254237286717</v>
      </c>
      <c r="AB6" s="351">
        <f t="shared" si="3"/>
        <v>0.96254237288135669</v>
      </c>
      <c r="AC6" s="442"/>
    </row>
    <row r="7" spans="1:29">
      <c r="A7" s="474" t="s">
        <v>1747</v>
      </c>
      <c r="B7" s="31" t="s">
        <v>58</v>
      </c>
      <c r="C7" s="471" t="s">
        <v>106</v>
      </c>
      <c r="D7" s="472"/>
      <c r="E7" s="31">
        <v>50.67</v>
      </c>
      <c r="F7" s="357">
        <v>1772</v>
      </c>
      <c r="G7" s="346">
        <f t="shared" si="4"/>
        <v>89787.24</v>
      </c>
      <c r="H7" s="359" t="s">
        <v>103</v>
      </c>
      <c r="I7" s="355">
        <v>17</v>
      </c>
      <c r="J7" s="26">
        <v>2000</v>
      </c>
      <c r="K7" s="10">
        <f t="shared" si="5"/>
        <v>117.64705882352941</v>
      </c>
      <c r="L7" s="355">
        <v>17</v>
      </c>
      <c r="M7" s="11">
        <f t="shared" ref="M7" si="8">F7/V7*60</f>
        <v>1933.0909090909104</v>
      </c>
      <c r="N7" s="10">
        <f t="shared" si="6"/>
        <v>113.71122994652414</v>
      </c>
      <c r="O7" s="12">
        <f t="shared" si="0"/>
        <v>0</v>
      </c>
      <c r="P7" s="13">
        <f t="shared" si="1"/>
        <v>-3.9358288770052638</v>
      </c>
      <c r="Q7" s="351">
        <f t="shared" si="7"/>
        <v>0.96654545454545526</v>
      </c>
      <c r="R7" s="442"/>
      <c r="S7" s="28">
        <v>0.77430555555555558</v>
      </c>
      <c r="T7" s="28">
        <v>0.8125</v>
      </c>
      <c r="U7" s="346">
        <f t="shared" ref="U7" si="9">(S7-T6)*24*60</f>
        <v>5.9999999999999787</v>
      </c>
      <c r="V7" s="356">
        <f t="shared" ref="V7" si="10">(T7-S7)*24*60</f>
        <v>54.999999999999964</v>
      </c>
      <c r="W7" s="16"/>
      <c r="X7" s="16"/>
      <c r="Y7" s="447"/>
      <c r="Z7" s="448"/>
      <c r="AA7" s="12">
        <f t="shared" si="2"/>
        <v>-66.909090909089628</v>
      </c>
      <c r="AB7" s="351">
        <f t="shared" si="3"/>
        <v>0.96654545454545515</v>
      </c>
      <c r="AC7" s="442"/>
    </row>
    <row r="8" spans="1:29">
      <c r="A8" s="474" t="s">
        <v>1747</v>
      </c>
      <c r="B8" s="31" t="s">
        <v>1678</v>
      </c>
      <c r="C8" s="446"/>
      <c r="D8" s="446"/>
      <c r="E8" s="345"/>
      <c r="F8" s="33"/>
      <c r="G8" s="10"/>
      <c r="H8" s="357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1924.4585516178729</v>
      </c>
      <c r="N8" s="10">
        <f>M8/L8</f>
        <v>120.27865947611706</v>
      </c>
      <c r="O8" s="12">
        <f>L8-I8</f>
        <v>0</v>
      </c>
      <c r="P8" s="13">
        <f>N8-K8</f>
        <v>-4.7213405238829438</v>
      </c>
      <c r="Q8" s="351">
        <f>N8/K8</f>
        <v>0.96222927580893647</v>
      </c>
      <c r="R8" s="442"/>
      <c r="S8" s="28"/>
      <c r="T8" s="28"/>
      <c r="U8" s="346"/>
      <c r="V8" s="356"/>
      <c r="W8" s="10"/>
      <c r="X8" s="10"/>
      <c r="Y8" s="443"/>
      <c r="Z8" s="443"/>
      <c r="AA8" s="12">
        <f t="shared" si="2"/>
        <v>-75.541448382127101</v>
      </c>
      <c r="AB8" s="351">
        <f>M8/J8</f>
        <v>0.96222927580893647</v>
      </c>
      <c r="AC8" s="442"/>
    </row>
    <row r="9" spans="1:29" ht="15.75" customHeight="1">
      <c r="A9" s="439" t="s">
        <v>232</v>
      </c>
      <c r="B9" s="31" t="s">
        <v>53</v>
      </c>
      <c r="C9" s="471" t="s">
        <v>54</v>
      </c>
      <c r="D9" s="472"/>
      <c r="E9" s="31">
        <v>39.799999999999997</v>
      </c>
      <c r="F9" s="357">
        <v>6379</v>
      </c>
      <c r="G9" s="346">
        <f t="shared" ref="G9" si="11">E9*F9</f>
        <v>253884.19999999998</v>
      </c>
      <c r="H9" s="359" t="s">
        <v>103</v>
      </c>
      <c r="I9" s="355">
        <v>17</v>
      </c>
      <c r="J9" s="26">
        <v>1500</v>
      </c>
      <c r="K9" s="10">
        <f t="shared" ref="K9" si="12">J9/I9</f>
        <v>88.235294117647058</v>
      </c>
      <c r="L9" s="355">
        <v>17</v>
      </c>
      <c r="M9" s="11">
        <f t="shared" ref="M9" si="13">F9/V9*60</f>
        <v>1433.4831460674154</v>
      </c>
      <c r="N9" s="10">
        <f t="shared" ref="N9" si="14">M9/L9</f>
        <v>84.322538003965619</v>
      </c>
      <c r="O9" s="12">
        <f t="shared" ref="O9" si="15">L9-I9</f>
        <v>0</v>
      </c>
      <c r="P9" s="13">
        <f>N9-K9</f>
        <v>-3.9127561136814393</v>
      </c>
      <c r="Q9" s="351">
        <f>N9/K9</f>
        <v>0.95565543071161041</v>
      </c>
      <c r="R9" s="442">
        <f>Q10</f>
        <v>0.95565543071161041</v>
      </c>
      <c r="S9" s="28">
        <v>0.20833333333333334</v>
      </c>
      <c r="T9" s="28">
        <v>0.39375000000000004</v>
      </c>
      <c r="U9" s="346"/>
      <c r="V9" s="356">
        <f t="shared" ref="V9" si="16">(T9-S9)*24*60</f>
        <v>267.00000000000006</v>
      </c>
      <c r="W9" s="16"/>
      <c r="X9" s="16"/>
      <c r="Y9" s="443"/>
      <c r="Z9" s="443"/>
      <c r="AA9" s="12">
        <f t="shared" si="2"/>
        <v>-66.516853932584581</v>
      </c>
      <c r="AB9" s="351">
        <f>M9/J9</f>
        <v>0.9556554307116103</v>
      </c>
      <c r="AC9" s="442">
        <f>AB10</f>
        <v>0.9556554307116103</v>
      </c>
    </row>
    <row r="10" spans="1:29" ht="16.5" customHeight="1">
      <c r="A10" s="439" t="s">
        <v>1797</v>
      </c>
      <c r="B10" s="31" t="s">
        <v>1798</v>
      </c>
      <c r="C10" s="446"/>
      <c r="D10" s="446"/>
      <c r="E10" s="345"/>
      <c r="F10" s="26"/>
      <c r="G10" s="11"/>
      <c r="H10" s="357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1433.4831460674154</v>
      </c>
      <c r="N10" s="10">
        <f>M10/L10</f>
        <v>84.322538003965619</v>
      </c>
      <c r="O10" s="12">
        <f>L10-I10</f>
        <v>0</v>
      </c>
      <c r="P10" s="13">
        <f>N10-K10</f>
        <v>-3.9127561136814393</v>
      </c>
      <c r="Q10" s="351">
        <f>N10/K10</f>
        <v>0.95565543071161041</v>
      </c>
      <c r="R10" s="442"/>
      <c r="S10" s="28"/>
      <c r="T10" s="28"/>
      <c r="U10" s="10"/>
      <c r="V10" s="356"/>
      <c r="W10" s="10"/>
      <c r="X10" s="10"/>
      <c r="Y10" s="443"/>
      <c r="Z10" s="443"/>
      <c r="AA10" s="12">
        <f t="shared" si="2"/>
        <v>-66.516853932584581</v>
      </c>
      <c r="AB10" s="351">
        <f t="shared" ref="AB10:AB22" si="17">M10/J10</f>
        <v>0.9556554307116103</v>
      </c>
      <c r="AC10" s="442"/>
    </row>
    <row r="11" spans="1:29" ht="16.5" customHeight="1">
      <c r="A11" s="469" t="s">
        <v>1799</v>
      </c>
      <c r="B11" s="357" t="s">
        <v>56</v>
      </c>
      <c r="C11" s="464" t="s">
        <v>57</v>
      </c>
      <c r="D11" s="464"/>
      <c r="E11" s="31">
        <v>41</v>
      </c>
      <c r="F11" s="357">
        <v>1995</v>
      </c>
      <c r="G11" s="346">
        <f t="shared" ref="G11:G15" si="18">E11*F11</f>
        <v>81795</v>
      </c>
      <c r="H11" s="359" t="s">
        <v>103</v>
      </c>
      <c r="I11" s="355">
        <v>26</v>
      </c>
      <c r="J11" s="26">
        <v>1500</v>
      </c>
      <c r="K11" s="10">
        <f>J11/I11</f>
        <v>57.692307692307693</v>
      </c>
      <c r="L11" s="355">
        <v>26</v>
      </c>
      <c r="M11" s="11">
        <f>F11/V11*60</f>
        <v>1442.1686746987955</v>
      </c>
      <c r="N11" s="10">
        <f t="shared" ref="N11:N21" si="19">M11/L11</f>
        <v>55.46802594995367</v>
      </c>
      <c r="O11" s="12">
        <f t="shared" ref="O11" si="20">L11-I11</f>
        <v>0</v>
      </c>
      <c r="P11" s="13">
        <f t="shared" ref="P11" si="21">N11-K11</f>
        <v>-2.2242817423540231</v>
      </c>
      <c r="Q11" s="351">
        <f>N11/K11</f>
        <v>0.96144578313253026</v>
      </c>
      <c r="R11" s="442">
        <f>Q16</f>
        <v>0.95704205086699645</v>
      </c>
      <c r="S11" s="28">
        <v>0.20833333333333334</v>
      </c>
      <c r="T11" s="28">
        <v>0.26597222222222222</v>
      </c>
      <c r="U11" s="346"/>
      <c r="V11" s="356">
        <f>(T11-S11)*24*60</f>
        <v>82.999999999999986</v>
      </c>
      <c r="W11" s="18"/>
      <c r="X11" s="18"/>
      <c r="Y11" s="443"/>
      <c r="Z11" s="443"/>
      <c r="AA11" s="12">
        <f t="shared" si="2"/>
        <v>-57.831325301204515</v>
      </c>
      <c r="AB11" s="351">
        <f t="shared" si="17"/>
        <v>0.96144578313253037</v>
      </c>
      <c r="AC11" s="442">
        <f>AB16</f>
        <v>0.95704205086699645</v>
      </c>
    </row>
    <row r="12" spans="1:29" ht="16.5" customHeight="1">
      <c r="A12" s="470" t="s">
        <v>1749</v>
      </c>
      <c r="B12" s="357" t="s">
        <v>53</v>
      </c>
      <c r="C12" s="464" t="s">
        <v>107</v>
      </c>
      <c r="D12" s="464"/>
      <c r="E12" s="31">
        <v>39.619999999999997</v>
      </c>
      <c r="F12" s="357">
        <v>4523</v>
      </c>
      <c r="G12" s="346">
        <f t="shared" si="18"/>
        <v>179201.25999999998</v>
      </c>
      <c r="H12" s="359" t="s">
        <v>103</v>
      </c>
      <c r="I12" s="355">
        <v>19</v>
      </c>
      <c r="J12" s="26">
        <v>1500</v>
      </c>
      <c r="K12" s="10">
        <f>J12/I12</f>
        <v>78.94736842105263</v>
      </c>
      <c r="L12" s="355">
        <v>19</v>
      </c>
      <c r="M12" s="11">
        <f>F12/V12*60</f>
        <v>1428.3157894736837</v>
      </c>
      <c r="N12" s="10">
        <f t="shared" si="19"/>
        <v>75.174515235457037</v>
      </c>
      <c r="O12" s="12">
        <f>L12-I12</f>
        <v>0</v>
      </c>
      <c r="P12" s="13">
        <f>N12-K12</f>
        <v>-3.7728531855955936</v>
      </c>
      <c r="Q12" s="351">
        <f>N12/K12</f>
        <v>0.95221052631578917</v>
      </c>
      <c r="R12" s="442"/>
      <c r="S12" s="28">
        <v>0.26944444444444443</v>
      </c>
      <c r="T12" s="28">
        <v>0.40138888888888891</v>
      </c>
      <c r="U12" s="346">
        <f>IF(S12=TIME(17,0,0),"",(S12-T11)*24*60)</f>
        <v>4.9999999999999822</v>
      </c>
      <c r="V12" s="356">
        <f>(T12-S12)*24*60</f>
        <v>190.00000000000006</v>
      </c>
      <c r="W12" s="16"/>
      <c r="X12" s="16"/>
      <c r="Y12" s="443"/>
      <c r="Z12" s="443"/>
      <c r="AA12" s="12">
        <f t="shared" si="2"/>
        <v>-71.684210526316292</v>
      </c>
      <c r="AB12" s="351">
        <f t="shared" si="17"/>
        <v>0.95221052631578917</v>
      </c>
      <c r="AC12" s="442"/>
    </row>
    <row r="13" spans="1:29" ht="16.5" customHeight="1">
      <c r="A13" s="470" t="s">
        <v>1749</v>
      </c>
      <c r="B13" s="357" t="s">
        <v>53</v>
      </c>
      <c r="C13" s="464" t="s">
        <v>163</v>
      </c>
      <c r="D13" s="464"/>
      <c r="E13" s="31">
        <v>39.36</v>
      </c>
      <c r="F13" s="357">
        <v>3427</v>
      </c>
      <c r="G13" s="346">
        <f t="shared" si="18"/>
        <v>134886.72</v>
      </c>
      <c r="H13" s="359" t="s">
        <v>103</v>
      </c>
      <c r="I13" s="355">
        <v>20</v>
      </c>
      <c r="J13" s="26">
        <v>1500</v>
      </c>
      <c r="K13" s="10">
        <f t="shared" ref="K13:K15" si="22">J13/I13</f>
        <v>75</v>
      </c>
      <c r="L13" s="355">
        <v>20</v>
      </c>
      <c r="M13" s="11">
        <f t="shared" ref="M13:M15" si="23">F13/V13*60</f>
        <v>1437.9020979020981</v>
      </c>
      <c r="N13" s="10">
        <f t="shared" si="19"/>
        <v>71.895104895104907</v>
      </c>
      <c r="O13" s="12">
        <f t="shared" ref="O13:O15" si="24">L13-I13</f>
        <v>0</v>
      </c>
      <c r="P13" s="13">
        <f t="shared" ref="P13:P15" si="25">N13-K13</f>
        <v>-3.1048951048950926</v>
      </c>
      <c r="Q13" s="351">
        <f t="shared" ref="Q13:Q21" si="26">N13/K13</f>
        <v>0.95860139860139881</v>
      </c>
      <c r="R13" s="442"/>
      <c r="S13" s="28">
        <v>0.40486111111111112</v>
      </c>
      <c r="T13" s="28">
        <v>0.50416666666666665</v>
      </c>
      <c r="U13" s="346">
        <f t="shared" ref="U13:U15" si="27">IF(S13=TIME(17,0,0),"",(S13-T12)*24*60)</f>
        <v>4.9999999999999822</v>
      </c>
      <c r="V13" s="356">
        <f t="shared" ref="V13:V15" si="28">(T13-S13)*24*60</f>
        <v>142.99999999999997</v>
      </c>
      <c r="W13" s="16"/>
      <c r="X13" s="16"/>
      <c r="Y13" s="443"/>
      <c r="Z13" s="443"/>
      <c r="AA13" s="12">
        <f t="shared" si="2"/>
        <v>-62.097902097901851</v>
      </c>
      <c r="AB13" s="351">
        <f t="shared" si="17"/>
        <v>0.95860139860139881</v>
      </c>
      <c r="AC13" s="442"/>
    </row>
    <row r="14" spans="1:29" ht="16.5" customHeight="1">
      <c r="A14" s="470" t="s">
        <v>1749</v>
      </c>
      <c r="B14" s="357" t="s">
        <v>58</v>
      </c>
      <c r="C14" s="464" t="s">
        <v>59</v>
      </c>
      <c r="D14" s="464"/>
      <c r="E14" s="31">
        <v>50.98</v>
      </c>
      <c r="F14" s="357">
        <v>2753</v>
      </c>
      <c r="G14" s="346">
        <f t="shared" si="18"/>
        <v>140347.94</v>
      </c>
      <c r="H14" s="359" t="s">
        <v>103</v>
      </c>
      <c r="I14" s="355">
        <v>16</v>
      </c>
      <c r="J14" s="26">
        <v>2000</v>
      </c>
      <c r="K14" s="10">
        <f t="shared" si="22"/>
        <v>125</v>
      </c>
      <c r="L14" s="355">
        <v>16</v>
      </c>
      <c r="M14" s="11">
        <f t="shared" si="23"/>
        <v>1920.6976744186045</v>
      </c>
      <c r="N14" s="10">
        <f t="shared" si="19"/>
        <v>120.04360465116278</v>
      </c>
      <c r="O14" s="12">
        <f t="shared" si="24"/>
        <v>0</v>
      </c>
      <c r="P14" s="13">
        <f t="shared" si="25"/>
        <v>-4.9563953488372192</v>
      </c>
      <c r="Q14" s="351">
        <f t="shared" si="26"/>
        <v>0.9603488372093022</v>
      </c>
      <c r="R14" s="442"/>
      <c r="S14" s="28">
        <v>0.70833333333333337</v>
      </c>
      <c r="T14" s="28">
        <v>0.7680555555555556</v>
      </c>
      <c r="U14" s="346" t="str">
        <f t="shared" si="27"/>
        <v/>
      </c>
      <c r="V14" s="356">
        <f t="shared" si="28"/>
        <v>86.000000000000014</v>
      </c>
      <c r="W14" s="16"/>
      <c r="X14" s="16"/>
      <c r="Y14" s="443"/>
      <c r="Z14" s="443"/>
      <c r="AA14" s="12">
        <f t="shared" si="2"/>
        <v>-79.302325581395507</v>
      </c>
      <c r="AB14" s="351">
        <f t="shared" si="17"/>
        <v>0.9603488372093022</v>
      </c>
      <c r="AC14" s="442"/>
    </row>
    <row r="15" spans="1:29" ht="16.5" customHeight="1">
      <c r="A15" s="470" t="s">
        <v>1749</v>
      </c>
      <c r="B15" s="357" t="s">
        <v>58</v>
      </c>
      <c r="C15" s="464" t="s">
        <v>60</v>
      </c>
      <c r="D15" s="464"/>
      <c r="E15" s="31">
        <v>50.92</v>
      </c>
      <c r="F15" s="357">
        <v>3081</v>
      </c>
      <c r="G15" s="346">
        <f t="shared" si="18"/>
        <v>156884.52000000002</v>
      </c>
      <c r="H15" s="359" t="s">
        <v>103</v>
      </c>
      <c r="I15" s="355">
        <v>15</v>
      </c>
      <c r="J15" s="26">
        <v>2000</v>
      </c>
      <c r="K15" s="10">
        <f t="shared" si="22"/>
        <v>133.33333333333334</v>
      </c>
      <c r="L15" s="355">
        <v>15</v>
      </c>
      <c r="M15" s="11">
        <f t="shared" si="23"/>
        <v>1905.773195876289</v>
      </c>
      <c r="N15" s="10">
        <f t="shared" si="19"/>
        <v>127.05154639175261</v>
      </c>
      <c r="O15" s="12">
        <f t="shared" si="24"/>
        <v>0</v>
      </c>
      <c r="P15" s="13">
        <f t="shared" si="25"/>
        <v>-6.2817869415807337</v>
      </c>
      <c r="Q15" s="351">
        <f t="shared" si="26"/>
        <v>0.95288659793814445</v>
      </c>
      <c r="R15" s="442"/>
      <c r="S15" s="28">
        <v>0.77152777777777781</v>
      </c>
      <c r="T15" s="28">
        <v>0.83888888888888891</v>
      </c>
      <c r="U15" s="346">
        <f t="shared" si="27"/>
        <v>4.9999999999999822</v>
      </c>
      <c r="V15" s="356">
        <f t="shared" si="28"/>
        <v>96.999999999999972</v>
      </c>
      <c r="W15" s="16"/>
      <c r="X15" s="16"/>
      <c r="Y15" s="443"/>
      <c r="Z15" s="443"/>
      <c r="AA15" s="12">
        <f t="shared" si="2"/>
        <v>-94.226804123710963</v>
      </c>
      <c r="AB15" s="351">
        <f t="shared" si="17"/>
        <v>0.95288659793814456</v>
      </c>
      <c r="AC15" s="442"/>
    </row>
    <row r="16" spans="1:29" ht="16.5" customHeight="1">
      <c r="A16" s="470" t="s">
        <v>1749</v>
      </c>
      <c r="B16" s="31" t="s">
        <v>1678</v>
      </c>
      <c r="C16" s="446"/>
      <c r="D16" s="446"/>
      <c r="E16" s="345"/>
      <c r="F16" s="33"/>
      <c r="G16" s="10"/>
      <c r="H16" s="357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1626.9714864738939</v>
      </c>
      <c r="N16" s="10">
        <f t="shared" si="19"/>
        <v>84.738098253848648</v>
      </c>
      <c r="O16" s="12">
        <f>L16-I16</f>
        <v>0</v>
      </c>
      <c r="P16" s="13">
        <f>N16-K16</f>
        <v>-3.8035684128180236</v>
      </c>
      <c r="Q16" s="351">
        <f t="shared" si="26"/>
        <v>0.95704205086699645</v>
      </c>
      <c r="R16" s="442"/>
      <c r="S16" s="28"/>
      <c r="T16" s="28"/>
      <c r="U16" s="346"/>
      <c r="V16" s="356"/>
      <c r="W16" s="10"/>
      <c r="X16" s="10"/>
      <c r="Y16" s="443"/>
      <c r="Z16" s="443"/>
      <c r="AA16" s="12">
        <f t="shared" si="2"/>
        <v>-73.028513526106053</v>
      </c>
      <c r="AB16" s="351">
        <f t="shared" si="17"/>
        <v>0.95704205086699645</v>
      </c>
      <c r="AC16" s="442"/>
    </row>
    <row r="17" spans="1:29" ht="15.75" customHeight="1">
      <c r="A17" s="467" t="s">
        <v>1750</v>
      </c>
      <c r="B17" s="31" t="s">
        <v>56</v>
      </c>
      <c r="C17" s="464" t="s">
        <v>61</v>
      </c>
      <c r="D17" s="464"/>
      <c r="E17" s="31">
        <v>43.14</v>
      </c>
      <c r="F17" s="357">
        <v>1270</v>
      </c>
      <c r="G17" s="346">
        <f t="shared" ref="G17:G21" si="29">E17*F17</f>
        <v>54787.8</v>
      </c>
      <c r="H17" s="359" t="s">
        <v>103</v>
      </c>
      <c r="I17" s="355">
        <v>17</v>
      </c>
      <c r="J17" s="26">
        <v>2000</v>
      </c>
      <c r="K17" s="10">
        <f t="shared" ref="K17:K22" si="30">J17/I17</f>
        <v>117.64705882352941</v>
      </c>
      <c r="L17" s="355">
        <v>17</v>
      </c>
      <c r="M17" s="11">
        <f t="shared" ref="M17:M21" si="31">F17/V17*60</f>
        <v>1905.0000000000011</v>
      </c>
      <c r="N17" s="10">
        <f t="shared" si="19"/>
        <v>112.05882352941182</v>
      </c>
      <c r="O17" s="12">
        <f t="shared" ref="O17:O21" si="32">L17-I17</f>
        <v>0</v>
      </c>
      <c r="P17" s="13">
        <f t="shared" ref="P17:P21" si="33">N17-K17</f>
        <v>-5.588235294117581</v>
      </c>
      <c r="Q17" s="351">
        <f t="shared" si="26"/>
        <v>0.95250000000000057</v>
      </c>
      <c r="R17" s="442">
        <f>Q22</f>
        <v>0.95389944373127933</v>
      </c>
      <c r="S17" s="28">
        <v>0.20833333333333334</v>
      </c>
      <c r="T17" s="28">
        <v>0.2361111111111111</v>
      </c>
      <c r="U17" s="346"/>
      <c r="V17" s="356">
        <f>(T17-S17)*24*60</f>
        <v>39.999999999999979</v>
      </c>
      <c r="W17" s="18"/>
      <c r="X17" s="18"/>
      <c r="Y17" s="443"/>
      <c r="Z17" s="443"/>
      <c r="AA17" s="12">
        <f t="shared" si="2"/>
        <v>-94.999999999998863</v>
      </c>
      <c r="AB17" s="351">
        <f t="shared" si="17"/>
        <v>0.95250000000000057</v>
      </c>
      <c r="AC17" s="442">
        <f>AB22</f>
        <v>0.95389944373127922</v>
      </c>
    </row>
    <row r="18" spans="1:29" ht="15.75" customHeight="1">
      <c r="A18" s="468" t="s">
        <v>1750</v>
      </c>
      <c r="B18" s="31" t="s">
        <v>58</v>
      </c>
      <c r="C18" s="464" t="s">
        <v>62</v>
      </c>
      <c r="D18" s="464"/>
      <c r="E18" s="31">
        <v>57.73</v>
      </c>
      <c r="F18" s="357">
        <v>2674</v>
      </c>
      <c r="G18" s="346">
        <f t="shared" si="29"/>
        <v>154370.01999999999</v>
      </c>
      <c r="H18" s="359" t="s">
        <v>103</v>
      </c>
      <c r="I18" s="355">
        <v>15</v>
      </c>
      <c r="J18" s="26">
        <v>2000</v>
      </c>
      <c r="K18" s="10">
        <f t="shared" si="30"/>
        <v>133.33333333333334</v>
      </c>
      <c r="L18" s="355">
        <v>15</v>
      </c>
      <c r="M18" s="11">
        <f t="shared" si="31"/>
        <v>1909.9999999999993</v>
      </c>
      <c r="N18" s="10">
        <f t="shared" si="19"/>
        <v>127.33333333333329</v>
      </c>
      <c r="O18" s="12">
        <f t="shared" si="32"/>
        <v>0</v>
      </c>
      <c r="P18" s="13">
        <f t="shared" si="33"/>
        <v>-6.0000000000000568</v>
      </c>
      <c r="Q18" s="351">
        <f t="shared" si="26"/>
        <v>0.95499999999999963</v>
      </c>
      <c r="R18" s="442"/>
      <c r="S18" s="28">
        <v>0.23958333333333331</v>
      </c>
      <c r="T18" s="28">
        <v>0.29791666666666666</v>
      </c>
      <c r="U18" s="346">
        <f>IF(S18=TIME(17,0,0),"",(S18-T17)*24*60)</f>
        <v>4.9999999999999822</v>
      </c>
      <c r="V18" s="356">
        <f t="shared" ref="V18:V21" si="34">(T18-S18)*24*60</f>
        <v>84.000000000000028</v>
      </c>
      <c r="W18" s="16"/>
      <c r="X18" s="346"/>
      <c r="Y18" s="443"/>
      <c r="Z18" s="443"/>
      <c r="AA18" s="12">
        <f t="shared" si="2"/>
        <v>-90.000000000000682</v>
      </c>
      <c r="AB18" s="351">
        <f t="shared" si="17"/>
        <v>0.95499999999999963</v>
      </c>
      <c r="AC18" s="442"/>
    </row>
    <row r="19" spans="1:29" ht="15.75" customHeight="1">
      <c r="A19" s="468" t="s">
        <v>1750</v>
      </c>
      <c r="B19" s="31" t="s">
        <v>58</v>
      </c>
      <c r="C19" s="464" t="s">
        <v>63</v>
      </c>
      <c r="D19" s="464"/>
      <c r="E19" s="31">
        <v>53.68</v>
      </c>
      <c r="F19" s="357">
        <v>1812</v>
      </c>
      <c r="G19" s="346">
        <f t="shared" si="29"/>
        <v>97268.160000000003</v>
      </c>
      <c r="H19" s="359" t="s">
        <v>103</v>
      </c>
      <c r="I19" s="355">
        <v>16</v>
      </c>
      <c r="J19" s="26">
        <v>2000</v>
      </c>
      <c r="K19" s="10">
        <f t="shared" si="30"/>
        <v>125</v>
      </c>
      <c r="L19" s="355">
        <v>16</v>
      </c>
      <c r="M19" s="11">
        <f t="shared" si="31"/>
        <v>1907.3684210526303</v>
      </c>
      <c r="N19" s="10">
        <f t="shared" si="19"/>
        <v>119.21052631578939</v>
      </c>
      <c r="O19" s="12">
        <f t="shared" si="32"/>
        <v>0</v>
      </c>
      <c r="P19" s="13">
        <f t="shared" si="33"/>
        <v>-5.7894736842106056</v>
      </c>
      <c r="Q19" s="351">
        <f t="shared" si="26"/>
        <v>0.95368421052631513</v>
      </c>
      <c r="R19" s="442"/>
      <c r="S19" s="28">
        <v>0.30208333333333331</v>
      </c>
      <c r="T19" s="28">
        <v>0.34166666666666667</v>
      </c>
      <c r="U19" s="346">
        <f t="shared" ref="U19:U21" si="35">IF(S19=TIME(17,0,0),"",(S19-T18)*24*60)</f>
        <v>5.9999999999999787</v>
      </c>
      <c r="V19" s="356">
        <f t="shared" si="34"/>
        <v>57.000000000000036</v>
      </c>
      <c r="W19" s="16"/>
      <c r="X19" s="346"/>
      <c r="Y19" s="443"/>
      <c r="Z19" s="443"/>
      <c r="AA19" s="12">
        <f t="shared" si="2"/>
        <v>-92.63157894736969</v>
      </c>
      <c r="AB19" s="351">
        <f t="shared" si="17"/>
        <v>0.95368421052631513</v>
      </c>
      <c r="AC19" s="442"/>
    </row>
    <row r="20" spans="1:29" ht="15.75" customHeight="1">
      <c r="A20" s="468" t="s">
        <v>1750</v>
      </c>
      <c r="B20" s="31" t="s">
        <v>58</v>
      </c>
      <c r="C20" s="464" t="s">
        <v>1170</v>
      </c>
      <c r="D20" s="464"/>
      <c r="E20" s="31">
        <v>53.27</v>
      </c>
      <c r="F20" s="357">
        <v>2290</v>
      </c>
      <c r="G20" s="346">
        <f t="shared" si="29"/>
        <v>121988.3</v>
      </c>
      <c r="H20" s="359" t="s">
        <v>103</v>
      </c>
      <c r="I20" s="355">
        <v>17</v>
      </c>
      <c r="J20" s="26">
        <v>2000</v>
      </c>
      <c r="K20" s="10">
        <f t="shared" si="30"/>
        <v>117.64705882352941</v>
      </c>
      <c r="L20" s="355">
        <v>17</v>
      </c>
      <c r="M20" s="11">
        <f t="shared" si="31"/>
        <v>1908.3333333333337</v>
      </c>
      <c r="N20" s="10">
        <f t="shared" si="19"/>
        <v>112.25490196078434</v>
      </c>
      <c r="O20" s="12">
        <f t="shared" si="32"/>
        <v>0</v>
      </c>
      <c r="P20" s="13">
        <f t="shared" si="33"/>
        <v>-5.3921568627450682</v>
      </c>
      <c r="Q20" s="351">
        <f t="shared" si="26"/>
        <v>0.95416666666666694</v>
      </c>
      <c r="R20" s="442"/>
      <c r="S20" s="28">
        <v>0.34513888888888888</v>
      </c>
      <c r="T20" s="28">
        <v>0.39513888888888887</v>
      </c>
      <c r="U20" s="346">
        <f t="shared" si="35"/>
        <v>4.9999999999999822</v>
      </c>
      <c r="V20" s="356">
        <f t="shared" si="34"/>
        <v>71.999999999999986</v>
      </c>
      <c r="W20" s="16"/>
      <c r="X20" s="346"/>
      <c r="Y20" s="443"/>
      <c r="Z20" s="443"/>
      <c r="AA20" s="12">
        <f t="shared" si="2"/>
        <v>-91.666666666666288</v>
      </c>
      <c r="AB20" s="351">
        <f t="shared" si="17"/>
        <v>0.95416666666666683</v>
      </c>
      <c r="AC20" s="442"/>
    </row>
    <row r="21" spans="1:29" ht="15.75" customHeight="1">
      <c r="A21" s="468" t="s">
        <v>1750</v>
      </c>
      <c r="B21" s="31" t="s">
        <v>58</v>
      </c>
      <c r="C21" s="464" t="s">
        <v>65</v>
      </c>
      <c r="D21" s="464"/>
      <c r="E21" s="31">
        <v>54.09</v>
      </c>
      <c r="F21" s="357">
        <v>2608</v>
      </c>
      <c r="G21" s="346">
        <f t="shared" si="29"/>
        <v>141066.72</v>
      </c>
      <c r="H21" s="359" t="s">
        <v>103</v>
      </c>
      <c r="I21" s="355">
        <v>19</v>
      </c>
      <c r="J21" s="26">
        <v>2000</v>
      </c>
      <c r="K21" s="10">
        <f t="shared" si="30"/>
        <v>105.26315789473684</v>
      </c>
      <c r="L21" s="355">
        <v>19</v>
      </c>
      <c r="M21" s="11">
        <f t="shared" si="31"/>
        <v>1908.2926829268285</v>
      </c>
      <c r="N21" s="10">
        <f t="shared" si="19"/>
        <v>100.43645699614888</v>
      </c>
      <c r="O21" s="12">
        <f t="shared" si="32"/>
        <v>0</v>
      </c>
      <c r="P21" s="13">
        <f t="shared" si="33"/>
        <v>-4.8267008985879585</v>
      </c>
      <c r="Q21" s="351">
        <f t="shared" si="26"/>
        <v>0.95414634146341437</v>
      </c>
      <c r="R21" s="442"/>
      <c r="S21" s="28">
        <v>0.70833333333333337</v>
      </c>
      <c r="T21" s="28">
        <v>0.76527777777777783</v>
      </c>
      <c r="U21" s="346" t="str">
        <f t="shared" si="35"/>
        <v/>
      </c>
      <c r="V21" s="356">
        <f t="shared" si="34"/>
        <v>82.000000000000028</v>
      </c>
      <c r="W21" s="16"/>
      <c r="X21" s="346"/>
      <c r="Y21" s="443"/>
      <c r="Z21" s="443"/>
      <c r="AA21" s="12">
        <f t="shared" si="2"/>
        <v>-91.707317073171453</v>
      </c>
      <c r="AB21" s="351">
        <f t="shared" si="17"/>
        <v>0.95414634146341426</v>
      </c>
      <c r="AC21" s="442"/>
    </row>
    <row r="22" spans="1:29" ht="15.75" customHeight="1">
      <c r="A22" s="468" t="s">
        <v>1750</v>
      </c>
      <c r="B22" s="31" t="s">
        <v>1678</v>
      </c>
      <c r="C22" s="446"/>
      <c r="D22" s="446"/>
      <c r="E22" s="345"/>
      <c r="F22" s="357"/>
      <c r="G22" s="346"/>
      <c r="H22" s="357"/>
      <c r="I22" s="19">
        <v>16.8</v>
      </c>
      <c r="J22" s="26">
        <v>2000</v>
      </c>
      <c r="K22" s="10">
        <f t="shared" si="30"/>
        <v>119.04761904761904</v>
      </c>
      <c r="L22" s="19">
        <v>16.8</v>
      </c>
      <c r="M22" s="11">
        <f>AVERAGE(M17:M21)</f>
        <v>1907.7988874625585</v>
      </c>
      <c r="N22" s="10">
        <f>M22/L22</f>
        <v>113.55945758705705</v>
      </c>
      <c r="O22" s="12">
        <f>L22-I22</f>
        <v>0</v>
      </c>
      <c r="P22" s="13">
        <f>N22-K22</f>
        <v>-5.4881614605619831</v>
      </c>
      <c r="Q22" s="351">
        <f>N22/K22</f>
        <v>0.95389944373127933</v>
      </c>
      <c r="R22" s="442"/>
      <c r="S22" s="28"/>
      <c r="T22" s="28"/>
      <c r="U22" s="10"/>
      <c r="V22" s="356"/>
      <c r="W22" s="10"/>
      <c r="X22" s="10"/>
      <c r="Y22" s="443"/>
      <c r="Z22" s="443"/>
      <c r="AA22" s="12">
        <f t="shared" si="2"/>
        <v>-92.201112537441531</v>
      </c>
      <c r="AB22" s="351">
        <f t="shared" si="17"/>
        <v>0.95389944373127922</v>
      </c>
      <c r="AC22" s="442"/>
    </row>
    <row r="23" spans="1:29" ht="15.75" customHeight="1">
      <c r="A23" s="463" t="s">
        <v>1751</v>
      </c>
      <c r="B23" s="31" t="s">
        <v>67</v>
      </c>
      <c r="C23" s="464" t="s">
        <v>68</v>
      </c>
      <c r="D23" s="464"/>
      <c r="E23" s="31">
        <v>26.2</v>
      </c>
      <c r="F23" s="357">
        <v>2600</v>
      </c>
      <c r="G23" s="346">
        <f t="shared" ref="G23:G30" si="36">E23*F23</f>
        <v>68120</v>
      </c>
      <c r="H23" s="359">
        <v>2</v>
      </c>
      <c r="I23" s="355">
        <v>20</v>
      </c>
      <c r="J23" s="26">
        <v>2400</v>
      </c>
      <c r="K23" s="10">
        <f>J23/I23</f>
        <v>120</v>
      </c>
      <c r="L23" s="355">
        <v>20</v>
      </c>
      <c r="M23" s="11">
        <f t="shared" ref="M23:M30" si="37">F23/V23*60</f>
        <v>2294.1176470588243</v>
      </c>
      <c r="N23" s="10">
        <f t="shared" ref="N23:N30" si="38">M23/L23</f>
        <v>114.70588235294122</v>
      </c>
      <c r="O23" s="12">
        <f t="shared" ref="O23:O30" si="39">L23-I23</f>
        <v>0</v>
      </c>
      <c r="P23" s="13">
        <f t="shared" ref="P23:P30" si="40">N23-K23</f>
        <v>-5.2941176470587834</v>
      </c>
      <c r="Q23" s="351">
        <f t="shared" ref="Q23:Q28" si="41">N23/K23</f>
        <v>0.95588235294117685</v>
      </c>
      <c r="R23" s="442">
        <f>Q31</f>
        <v>0.95622011722105171</v>
      </c>
      <c r="S23" s="28">
        <v>8.3333333333333329E-2</v>
      </c>
      <c r="T23" s="28">
        <v>0.13055555555555554</v>
      </c>
      <c r="U23" s="346"/>
      <c r="V23" s="356">
        <f t="shared" ref="V23:V30" si="42">(T23-S23)*24*60</f>
        <v>67.999999999999972</v>
      </c>
      <c r="W23" s="16">
        <f>T23</f>
        <v>0.13055555555555554</v>
      </c>
      <c r="X23" s="16">
        <f>S24</f>
        <v>0.15069444444444444</v>
      </c>
      <c r="Y23" s="443"/>
      <c r="Z23" s="443"/>
      <c r="AA23" s="12">
        <f t="shared" si="2"/>
        <v>-105.88235294117567</v>
      </c>
      <c r="AB23" s="351">
        <f>M23/J23</f>
        <v>0.95588235294117685</v>
      </c>
      <c r="AC23" s="442">
        <f>AB31</f>
        <v>0.95622011722105182</v>
      </c>
    </row>
    <row r="24" spans="1:29" ht="15.75" customHeight="1">
      <c r="A24" s="463" t="s">
        <v>1751</v>
      </c>
      <c r="B24" s="31" t="s">
        <v>67</v>
      </c>
      <c r="C24" s="464" t="s">
        <v>69</v>
      </c>
      <c r="D24" s="464"/>
      <c r="E24" s="31">
        <v>31.29</v>
      </c>
      <c r="F24" s="357">
        <v>5500</v>
      </c>
      <c r="G24" s="346">
        <f t="shared" si="36"/>
        <v>172095</v>
      </c>
      <c r="H24" s="359">
        <v>2</v>
      </c>
      <c r="I24" s="355">
        <v>18</v>
      </c>
      <c r="J24" s="26">
        <v>2400</v>
      </c>
      <c r="K24" s="10">
        <f t="shared" ref="K24:K31" si="43">J24/I24</f>
        <v>133.33333333333334</v>
      </c>
      <c r="L24" s="355">
        <v>18</v>
      </c>
      <c r="M24" s="11">
        <f t="shared" si="37"/>
        <v>2291.6666666666661</v>
      </c>
      <c r="N24" s="10">
        <f t="shared" si="38"/>
        <v>127.31481481481478</v>
      </c>
      <c r="O24" s="12">
        <f t="shared" si="39"/>
        <v>0</v>
      </c>
      <c r="P24" s="13">
        <f t="shared" si="40"/>
        <v>-6.0185185185185617</v>
      </c>
      <c r="Q24" s="351">
        <f t="shared" si="41"/>
        <v>0.95486111111111083</v>
      </c>
      <c r="R24" s="442"/>
      <c r="S24" s="28">
        <v>0.15069444444444444</v>
      </c>
      <c r="T24" s="28">
        <v>0.25069444444444444</v>
      </c>
      <c r="U24" s="346">
        <f>(S24-T23)*24*60</f>
        <v>29.000000000000018</v>
      </c>
      <c r="V24" s="356">
        <f t="shared" si="42"/>
        <v>144.00000000000003</v>
      </c>
      <c r="W24" s="16"/>
      <c r="X24" s="16"/>
      <c r="Y24" s="443"/>
      <c r="Z24" s="443"/>
      <c r="AA24" s="12">
        <f t="shared" si="2"/>
        <v>-108.33333333333394</v>
      </c>
      <c r="AB24" s="351">
        <f t="shared" ref="AB24:AB30" si="44">M24/J24</f>
        <v>0.95486111111111083</v>
      </c>
      <c r="AC24" s="442"/>
    </row>
    <row r="25" spans="1:29" ht="15.75" customHeight="1">
      <c r="A25" s="463" t="s">
        <v>1751</v>
      </c>
      <c r="B25" s="31" t="s">
        <v>67</v>
      </c>
      <c r="C25" s="464" t="s">
        <v>101</v>
      </c>
      <c r="D25" s="464"/>
      <c r="E25" s="31">
        <v>25</v>
      </c>
      <c r="F25" s="357">
        <v>4189</v>
      </c>
      <c r="G25" s="346">
        <f t="shared" si="36"/>
        <v>104725</v>
      </c>
      <c r="H25" s="359" t="s">
        <v>103</v>
      </c>
      <c r="I25" s="355">
        <v>15</v>
      </c>
      <c r="J25" s="26">
        <v>2400</v>
      </c>
      <c r="K25" s="10">
        <f t="shared" si="43"/>
        <v>160</v>
      </c>
      <c r="L25" s="355">
        <v>15</v>
      </c>
      <c r="M25" s="11">
        <f t="shared" si="37"/>
        <v>2284.9090909090905</v>
      </c>
      <c r="N25" s="10">
        <f t="shared" si="38"/>
        <v>152.32727272727271</v>
      </c>
      <c r="O25" s="12">
        <f t="shared" si="39"/>
        <v>0</v>
      </c>
      <c r="P25" s="13">
        <f t="shared" si="40"/>
        <v>-7.6727272727272862</v>
      </c>
      <c r="Q25" s="351">
        <f t="shared" si="41"/>
        <v>0.95204545454545442</v>
      </c>
      <c r="R25" s="442"/>
      <c r="S25" s="28">
        <v>0.25624999999999998</v>
      </c>
      <c r="T25" s="28">
        <v>0.33263888888888887</v>
      </c>
      <c r="U25" s="346">
        <f t="shared" ref="U25:U30" si="45">(S25-T24)*24*60</f>
        <v>7.9999999999999716</v>
      </c>
      <c r="V25" s="356">
        <f t="shared" si="42"/>
        <v>110.00000000000001</v>
      </c>
      <c r="W25" s="16"/>
      <c r="X25" s="16"/>
      <c r="Y25" s="443"/>
      <c r="Z25" s="443"/>
      <c r="AA25" s="12">
        <f t="shared" si="2"/>
        <v>-115.09090909090946</v>
      </c>
      <c r="AB25" s="351">
        <f t="shared" si="44"/>
        <v>0.95204545454545442</v>
      </c>
      <c r="AC25" s="442"/>
    </row>
    <row r="26" spans="1:29" ht="15.75" customHeight="1">
      <c r="A26" s="463" t="s">
        <v>1751</v>
      </c>
      <c r="B26" s="31" t="s">
        <v>67</v>
      </c>
      <c r="C26" s="464" t="s">
        <v>165</v>
      </c>
      <c r="D26" s="464"/>
      <c r="E26" s="31">
        <v>26.18</v>
      </c>
      <c r="F26" s="357">
        <v>4397</v>
      </c>
      <c r="G26" s="346">
        <f t="shared" si="36"/>
        <v>115113.45999999999</v>
      </c>
      <c r="H26" s="359" t="s">
        <v>103</v>
      </c>
      <c r="I26" s="355">
        <v>19</v>
      </c>
      <c r="J26" s="26">
        <v>2400</v>
      </c>
      <c r="K26" s="10">
        <f t="shared" si="43"/>
        <v>126.31578947368421</v>
      </c>
      <c r="L26" s="355">
        <v>19</v>
      </c>
      <c r="M26" s="11">
        <f t="shared" si="37"/>
        <v>2294.0869565217395</v>
      </c>
      <c r="N26" s="10">
        <f t="shared" si="38"/>
        <v>120.74141876430208</v>
      </c>
      <c r="O26" s="12">
        <f t="shared" si="39"/>
        <v>0</v>
      </c>
      <c r="P26" s="13">
        <f t="shared" si="40"/>
        <v>-5.5743707093821229</v>
      </c>
      <c r="Q26" s="351">
        <f t="shared" si="41"/>
        <v>0.95586956521739153</v>
      </c>
      <c r="R26" s="442"/>
      <c r="S26" s="28">
        <v>0.33819444444444441</v>
      </c>
      <c r="T26" s="28">
        <v>0.41805555555555551</v>
      </c>
      <c r="U26" s="346">
        <f t="shared" si="45"/>
        <v>7.9999999999999716</v>
      </c>
      <c r="V26" s="356">
        <f t="shared" si="42"/>
        <v>114.99999999999999</v>
      </c>
      <c r="W26" s="16"/>
      <c r="X26" s="16"/>
      <c r="Y26" s="443"/>
      <c r="Z26" s="443"/>
      <c r="AA26" s="12">
        <f t="shared" si="2"/>
        <v>-105.91304347826053</v>
      </c>
      <c r="AB26" s="351">
        <f t="shared" si="44"/>
        <v>0.95586956521739141</v>
      </c>
      <c r="AC26" s="442"/>
    </row>
    <row r="27" spans="1:29" ht="15.75" customHeight="1">
      <c r="A27" s="463" t="s">
        <v>1751</v>
      </c>
      <c r="B27" s="31" t="s">
        <v>67</v>
      </c>
      <c r="C27" s="464" t="s">
        <v>77</v>
      </c>
      <c r="D27" s="464"/>
      <c r="E27" s="31">
        <v>26.2</v>
      </c>
      <c r="F27" s="357">
        <v>4295</v>
      </c>
      <c r="G27" s="346">
        <f t="shared" si="36"/>
        <v>112529</v>
      </c>
      <c r="H27" s="359" t="s">
        <v>103</v>
      </c>
      <c r="I27" s="355">
        <v>19</v>
      </c>
      <c r="J27" s="26">
        <v>2400</v>
      </c>
      <c r="K27" s="10">
        <f t="shared" si="43"/>
        <v>126.31578947368421</v>
      </c>
      <c r="L27" s="355">
        <v>19</v>
      </c>
      <c r="M27" s="11">
        <f t="shared" si="37"/>
        <v>2300.8928571428555</v>
      </c>
      <c r="N27" s="10">
        <f t="shared" si="38"/>
        <v>121.09962406015029</v>
      </c>
      <c r="O27" s="12">
        <f t="shared" si="39"/>
        <v>0</v>
      </c>
      <c r="P27" s="13">
        <f t="shared" si="40"/>
        <v>-5.2161654135339148</v>
      </c>
      <c r="Q27" s="351">
        <f t="shared" si="41"/>
        <v>0.95870535714285654</v>
      </c>
      <c r="R27" s="442"/>
      <c r="S27" s="28">
        <v>0.42361111111111105</v>
      </c>
      <c r="T27" s="28">
        <v>0.50138888888888888</v>
      </c>
      <c r="U27" s="346">
        <f t="shared" si="45"/>
        <v>7.9999999999999716</v>
      </c>
      <c r="V27" s="356">
        <f t="shared" si="42"/>
        <v>112.00000000000009</v>
      </c>
      <c r="W27" s="16">
        <f>T27</f>
        <v>0.50138888888888888</v>
      </c>
      <c r="X27" s="16">
        <f>S28</f>
        <v>0.54236111111111107</v>
      </c>
      <c r="Y27" s="443"/>
      <c r="Z27" s="443"/>
      <c r="AA27" s="12">
        <f t="shared" si="2"/>
        <v>-99.107142857144481</v>
      </c>
      <c r="AB27" s="351">
        <f t="shared" si="44"/>
        <v>0.95870535714285643</v>
      </c>
      <c r="AC27" s="442"/>
    </row>
    <row r="28" spans="1:29" ht="15.75" customHeight="1">
      <c r="A28" s="463" t="s">
        <v>1751</v>
      </c>
      <c r="B28" s="31" t="s">
        <v>67</v>
      </c>
      <c r="C28" s="464" t="s">
        <v>69</v>
      </c>
      <c r="D28" s="464"/>
      <c r="E28" s="31">
        <v>31.29</v>
      </c>
      <c r="F28" s="357">
        <v>4019</v>
      </c>
      <c r="G28" s="346">
        <f t="shared" si="36"/>
        <v>125754.51</v>
      </c>
      <c r="H28" s="359" t="s">
        <v>103</v>
      </c>
      <c r="I28" s="355">
        <v>18</v>
      </c>
      <c r="J28" s="26">
        <v>2400</v>
      </c>
      <c r="K28" s="10">
        <f t="shared" si="43"/>
        <v>133.33333333333334</v>
      </c>
      <c r="L28" s="355">
        <v>18</v>
      </c>
      <c r="M28" s="11">
        <f t="shared" si="37"/>
        <v>2296.5714285714298</v>
      </c>
      <c r="N28" s="10">
        <f t="shared" si="38"/>
        <v>127.58730158730165</v>
      </c>
      <c r="O28" s="12">
        <f t="shared" si="39"/>
        <v>0</v>
      </c>
      <c r="P28" s="13">
        <f t="shared" si="40"/>
        <v>-5.7460317460316901</v>
      </c>
      <c r="Q28" s="351">
        <f t="shared" si="41"/>
        <v>0.95690476190476237</v>
      </c>
      <c r="R28" s="442"/>
      <c r="S28" s="28">
        <v>0.54236111111111107</v>
      </c>
      <c r="T28" s="28">
        <v>0.6152777777777777</v>
      </c>
      <c r="U28" s="346">
        <f t="shared" si="45"/>
        <v>58.99999999999995</v>
      </c>
      <c r="V28" s="356">
        <f t="shared" si="42"/>
        <v>104.99999999999994</v>
      </c>
      <c r="W28" s="16"/>
      <c r="X28" s="16"/>
      <c r="Y28" s="443"/>
      <c r="Z28" s="443"/>
      <c r="AA28" s="12">
        <f t="shared" si="2"/>
        <v>-103.42857142857019</v>
      </c>
      <c r="AB28" s="351">
        <f t="shared" si="44"/>
        <v>0.95690476190476237</v>
      </c>
      <c r="AC28" s="442"/>
    </row>
    <row r="29" spans="1:29" ht="15.75" customHeight="1">
      <c r="A29" s="463" t="s">
        <v>1751</v>
      </c>
      <c r="B29" s="31" t="s">
        <v>67</v>
      </c>
      <c r="C29" s="464" t="s">
        <v>68</v>
      </c>
      <c r="D29" s="464"/>
      <c r="E29" s="31">
        <v>26.2</v>
      </c>
      <c r="F29" s="357">
        <v>2022</v>
      </c>
      <c r="G29" s="346">
        <f t="shared" si="36"/>
        <v>52976.4</v>
      </c>
      <c r="H29" s="359" t="s">
        <v>103</v>
      </c>
      <c r="I29" s="355">
        <v>20</v>
      </c>
      <c r="J29" s="26">
        <v>2400</v>
      </c>
      <c r="K29" s="10">
        <f t="shared" si="43"/>
        <v>120</v>
      </c>
      <c r="L29" s="355">
        <v>20</v>
      </c>
      <c r="M29" s="11">
        <f t="shared" si="37"/>
        <v>2289.0566037735862</v>
      </c>
      <c r="N29" s="10">
        <f t="shared" si="38"/>
        <v>114.45283018867931</v>
      </c>
      <c r="O29" s="12">
        <f t="shared" si="39"/>
        <v>0</v>
      </c>
      <c r="P29" s="13">
        <f t="shared" si="40"/>
        <v>-5.5471698113206855</v>
      </c>
      <c r="Q29" s="351">
        <f>N29/K29</f>
        <v>0.953773584905661</v>
      </c>
      <c r="R29" s="442"/>
      <c r="S29" s="28">
        <v>0.61874999999999991</v>
      </c>
      <c r="T29" s="28">
        <v>0.65555555555555545</v>
      </c>
      <c r="U29" s="346">
        <f t="shared" si="45"/>
        <v>4.9999999999999822</v>
      </c>
      <c r="V29" s="356">
        <f t="shared" si="42"/>
        <v>52.999999999999972</v>
      </c>
      <c r="W29" s="16"/>
      <c r="X29" s="16"/>
      <c r="Y29" s="443"/>
      <c r="Z29" s="443"/>
      <c r="AA29" s="12">
        <f t="shared" si="2"/>
        <v>-110.94339622641382</v>
      </c>
      <c r="AB29" s="351">
        <f t="shared" si="44"/>
        <v>0.95377358490566089</v>
      </c>
      <c r="AC29" s="442"/>
    </row>
    <row r="30" spans="1:29" ht="15.75" customHeight="1">
      <c r="A30" s="463" t="s">
        <v>1751</v>
      </c>
      <c r="B30" s="31" t="s">
        <v>67</v>
      </c>
      <c r="C30" s="464" t="s">
        <v>75</v>
      </c>
      <c r="D30" s="464"/>
      <c r="E30" s="31">
        <v>26.39</v>
      </c>
      <c r="F30" s="357">
        <v>2462</v>
      </c>
      <c r="G30" s="346">
        <f t="shared" si="36"/>
        <v>64972.18</v>
      </c>
      <c r="H30" s="359" t="s">
        <v>103</v>
      </c>
      <c r="I30" s="355">
        <v>19</v>
      </c>
      <c r="J30" s="26">
        <v>2400</v>
      </c>
      <c r="K30" s="10">
        <f t="shared" si="43"/>
        <v>126.31578947368421</v>
      </c>
      <c r="L30" s="355">
        <v>19</v>
      </c>
      <c r="M30" s="11">
        <f t="shared" si="37"/>
        <v>2308.1250000000027</v>
      </c>
      <c r="N30" s="10">
        <f t="shared" si="38"/>
        <v>121.48026315789488</v>
      </c>
      <c r="O30" s="12">
        <f t="shared" si="39"/>
        <v>0</v>
      </c>
      <c r="P30" s="13">
        <f t="shared" si="40"/>
        <v>-4.8355263157893233</v>
      </c>
      <c r="Q30" s="351">
        <f>N30/K30</f>
        <v>0.96171875000000118</v>
      </c>
      <c r="R30" s="442"/>
      <c r="S30" s="28">
        <v>0.6597222222222221</v>
      </c>
      <c r="T30" s="28">
        <v>0.7041666666666665</v>
      </c>
      <c r="U30" s="346">
        <f t="shared" si="45"/>
        <v>5.9999999999999787</v>
      </c>
      <c r="V30" s="356">
        <f t="shared" si="42"/>
        <v>63.999999999999929</v>
      </c>
      <c r="W30" s="16"/>
      <c r="X30" s="16"/>
      <c r="Y30" s="443"/>
      <c r="Z30" s="443"/>
      <c r="AA30" s="12">
        <f t="shared" si="2"/>
        <v>-91.874999999997272</v>
      </c>
      <c r="AB30" s="351">
        <f t="shared" si="44"/>
        <v>0.96171875000000118</v>
      </c>
      <c r="AC30" s="442"/>
    </row>
    <row r="31" spans="1:29" ht="15.75" customHeight="1">
      <c r="A31" s="463" t="s">
        <v>1751</v>
      </c>
      <c r="B31" s="31" t="s">
        <v>1678</v>
      </c>
      <c r="C31" s="446"/>
      <c r="D31" s="446"/>
      <c r="E31" s="345"/>
      <c r="F31" s="357"/>
      <c r="G31" s="346"/>
      <c r="H31" s="357"/>
      <c r="I31" s="19">
        <v>18.5</v>
      </c>
      <c r="J31" s="26">
        <v>2400</v>
      </c>
      <c r="K31" s="10">
        <f t="shared" si="43"/>
        <v>129.72972972972974</v>
      </c>
      <c r="L31" s="19">
        <v>18.5</v>
      </c>
      <c r="M31" s="11">
        <f>AVERAGE(M23:M30)</f>
        <v>2294.9282813305244</v>
      </c>
      <c r="N31" s="10">
        <f>M31/L31</f>
        <v>124.05017736921754</v>
      </c>
      <c r="O31" s="12">
        <f>L31-I31</f>
        <v>0</v>
      </c>
      <c r="P31" s="13">
        <f>N31-K31</f>
        <v>-5.6795523605122042</v>
      </c>
      <c r="Q31" s="351">
        <f>N31/K31</f>
        <v>0.95622011722105171</v>
      </c>
      <c r="R31" s="442"/>
      <c r="S31" s="28"/>
      <c r="T31" s="28"/>
      <c r="U31" s="346"/>
      <c r="V31" s="356"/>
      <c r="W31" s="346"/>
      <c r="X31" s="346"/>
      <c r="Y31" s="443"/>
      <c r="Z31" s="443"/>
      <c r="AA31" s="12">
        <f t="shared" si="2"/>
        <v>-105.07171866947556</v>
      </c>
      <c r="AB31" s="351">
        <f>M31/J31</f>
        <v>0.95622011722105182</v>
      </c>
      <c r="AC31" s="442"/>
    </row>
    <row r="32" spans="1:29" ht="15.75" customHeight="1">
      <c r="A32" s="461" t="s">
        <v>1675</v>
      </c>
      <c r="B32" s="31" t="s">
        <v>67</v>
      </c>
      <c r="C32" s="441" t="s">
        <v>73</v>
      </c>
      <c r="D32" s="441"/>
      <c r="E32" s="31">
        <v>26.2</v>
      </c>
      <c r="F32" s="357">
        <v>3800</v>
      </c>
      <c r="G32" s="346">
        <f t="shared" ref="G32:G40" si="46">E32*F32</f>
        <v>99560</v>
      </c>
      <c r="H32" s="359">
        <v>2</v>
      </c>
      <c r="I32" s="355">
        <v>18</v>
      </c>
      <c r="J32" s="26">
        <v>2400</v>
      </c>
      <c r="K32" s="10">
        <f>J32/I32</f>
        <v>133.33333333333334</v>
      </c>
      <c r="L32" s="355">
        <v>18</v>
      </c>
      <c r="M32" s="11">
        <f>F32/V32*60</f>
        <v>2279.9999999999995</v>
      </c>
      <c r="N32" s="10">
        <f>M32/L32</f>
        <v>126.66666666666664</v>
      </c>
      <c r="O32" s="12">
        <f t="shared" ref="O32:O40" si="47">L32-I32</f>
        <v>0</v>
      </c>
      <c r="P32" s="13">
        <f t="shared" ref="P32:P48" si="48">N32-K32</f>
        <v>-6.6666666666666998</v>
      </c>
      <c r="Q32" s="351">
        <f t="shared" ref="Q32:Q48" si="49">N32/K32</f>
        <v>0.94999999999999973</v>
      </c>
      <c r="R32" s="442">
        <f>Q41</f>
        <v>0.95601445477205116</v>
      </c>
      <c r="S32" s="28">
        <v>8.3333333333333329E-2</v>
      </c>
      <c r="T32" s="28">
        <v>0.15277777777777779</v>
      </c>
      <c r="U32" s="346"/>
      <c r="V32" s="356">
        <f t="shared" ref="V32:V40" si="50">(T32-S32)*24*60</f>
        <v>100.00000000000001</v>
      </c>
      <c r="W32" s="18">
        <f>T32</f>
        <v>0.15277777777777779</v>
      </c>
      <c r="X32" s="18">
        <f>S33</f>
        <v>0.17083333333333334</v>
      </c>
      <c r="Y32" s="443"/>
      <c r="Z32" s="443"/>
      <c r="AA32" s="12">
        <f t="shared" si="2"/>
        <v>-120.00000000000045</v>
      </c>
      <c r="AB32" s="351">
        <f>M32/J32</f>
        <v>0.94999999999999984</v>
      </c>
      <c r="AC32" s="442">
        <f>AB41</f>
        <v>0.95601445477205116</v>
      </c>
    </row>
    <row r="33" spans="1:29" ht="15.75" customHeight="1">
      <c r="A33" s="461" t="s">
        <v>1675</v>
      </c>
      <c r="B33" s="31" t="s">
        <v>67</v>
      </c>
      <c r="C33" s="441" t="s">
        <v>75</v>
      </c>
      <c r="D33" s="441"/>
      <c r="E33" s="31">
        <v>26.39</v>
      </c>
      <c r="F33" s="357">
        <v>3500</v>
      </c>
      <c r="G33" s="346">
        <f t="shared" si="46"/>
        <v>92365</v>
      </c>
      <c r="H33" s="359">
        <v>2</v>
      </c>
      <c r="I33" s="355">
        <v>19</v>
      </c>
      <c r="J33" s="26">
        <v>2400</v>
      </c>
      <c r="K33" s="10">
        <f t="shared" ref="K33:K47" si="51">J33/I33</f>
        <v>126.31578947368421</v>
      </c>
      <c r="L33" s="355">
        <v>19</v>
      </c>
      <c r="M33" s="11">
        <f t="shared" ref="M33:M40" si="52">F33/V33*60</f>
        <v>2307.6923076923076</v>
      </c>
      <c r="N33" s="10">
        <f t="shared" ref="N33:N40" si="53">M33/L33</f>
        <v>121.4574898785425</v>
      </c>
      <c r="O33" s="12">
        <f t="shared" si="47"/>
        <v>0</v>
      </c>
      <c r="P33" s="13">
        <f t="shared" si="48"/>
        <v>-4.8582995951417018</v>
      </c>
      <c r="Q33" s="351">
        <f t="shared" si="49"/>
        <v>0.96153846153846156</v>
      </c>
      <c r="R33" s="442"/>
      <c r="S33" s="28">
        <v>0.17083333333333334</v>
      </c>
      <c r="T33" s="28">
        <v>0.23402777777777778</v>
      </c>
      <c r="U33" s="346">
        <f>(S33-T32)*24*60</f>
        <v>25.999999999999986</v>
      </c>
      <c r="V33" s="356">
        <f t="shared" si="50"/>
        <v>91</v>
      </c>
      <c r="W33" s="346"/>
      <c r="X33" s="346"/>
      <c r="Y33" s="443"/>
      <c r="Z33" s="443"/>
      <c r="AA33" s="12">
        <f t="shared" si="2"/>
        <v>-92.307692307692378</v>
      </c>
      <c r="AB33" s="351">
        <f t="shared" ref="AB33:AB60" si="54">M33/J33</f>
        <v>0.96153846153846156</v>
      </c>
      <c r="AC33" s="442"/>
    </row>
    <row r="34" spans="1:29">
      <c r="A34" s="462" t="s">
        <v>1675</v>
      </c>
      <c r="B34" s="31" t="s">
        <v>67</v>
      </c>
      <c r="C34" s="441" t="s">
        <v>76</v>
      </c>
      <c r="D34" s="441"/>
      <c r="E34" s="31">
        <v>20.52</v>
      </c>
      <c r="F34" s="357">
        <v>3324</v>
      </c>
      <c r="G34" s="346">
        <f t="shared" si="46"/>
        <v>68208.479999999996</v>
      </c>
      <c r="H34" s="359" t="s">
        <v>103</v>
      </c>
      <c r="I34" s="355">
        <v>18</v>
      </c>
      <c r="J34" s="26">
        <v>2400</v>
      </c>
      <c r="K34" s="10">
        <f t="shared" si="51"/>
        <v>133.33333333333334</v>
      </c>
      <c r="L34" s="355">
        <v>18</v>
      </c>
      <c r="M34" s="11">
        <f t="shared" si="52"/>
        <v>2292.4137931034488</v>
      </c>
      <c r="N34" s="10">
        <f t="shared" si="53"/>
        <v>127.35632183908049</v>
      </c>
      <c r="O34" s="12">
        <f t="shared" si="47"/>
        <v>0</v>
      </c>
      <c r="P34" s="13">
        <f t="shared" si="48"/>
        <v>-5.9770114942528494</v>
      </c>
      <c r="Q34" s="351">
        <f t="shared" si="49"/>
        <v>0.95517241379310358</v>
      </c>
      <c r="R34" s="442"/>
      <c r="S34" s="28">
        <v>0.23958333333333334</v>
      </c>
      <c r="T34" s="28">
        <v>0.3</v>
      </c>
      <c r="U34" s="346">
        <f t="shared" ref="U34:U40" si="55">(S34-T33)*24*60</f>
        <v>8.0000000000000107</v>
      </c>
      <c r="V34" s="356">
        <f t="shared" si="50"/>
        <v>86.999999999999972</v>
      </c>
      <c r="W34" s="346"/>
      <c r="X34" s="346"/>
      <c r="Y34" s="443"/>
      <c r="Z34" s="443"/>
      <c r="AA34" s="12">
        <f t="shared" si="2"/>
        <v>-107.58620689655118</v>
      </c>
      <c r="AB34" s="351">
        <f t="shared" si="54"/>
        <v>0.95517241379310369</v>
      </c>
      <c r="AC34" s="442"/>
    </row>
    <row r="35" spans="1:29">
      <c r="A35" s="462" t="s">
        <v>1675</v>
      </c>
      <c r="B35" s="31" t="s">
        <v>67</v>
      </c>
      <c r="C35" s="441" t="s">
        <v>1167</v>
      </c>
      <c r="D35" s="441"/>
      <c r="E35" s="31">
        <v>24.43</v>
      </c>
      <c r="F35" s="357">
        <v>4800</v>
      </c>
      <c r="G35" s="346">
        <f t="shared" si="46"/>
        <v>117264</v>
      </c>
      <c r="H35" s="359">
        <v>2</v>
      </c>
      <c r="I35" s="355">
        <v>15</v>
      </c>
      <c r="J35" s="26">
        <v>2400</v>
      </c>
      <c r="K35" s="10">
        <f t="shared" si="51"/>
        <v>160</v>
      </c>
      <c r="L35" s="355">
        <v>15</v>
      </c>
      <c r="M35" s="11">
        <f t="shared" si="52"/>
        <v>2285.7142857142853</v>
      </c>
      <c r="N35" s="10">
        <f t="shared" si="53"/>
        <v>152.38095238095235</v>
      </c>
      <c r="O35" s="12">
        <f t="shared" si="47"/>
        <v>0</v>
      </c>
      <c r="P35" s="13">
        <f t="shared" si="48"/>
        <v>-7.6190476190476488</v>
      </c>
      <c r="Q35" s="351">
        <f t="shared" si="49"/>
        <v>0.95238095238095222</v>
      </c>
      <c r="R35" s="442"/>
      <c r="S35" s="28">
        <v>0.3034722222222222</v>
      </c>
      <c r="T35" s="28">
        <v>0.39097222222222222</v>
      </c>
      <c r="U35" s="346">
        <f t="shared" si="55"/>
        <v>4.9999999999999822</v>
      </c>
      <c r="V35" s="356">
        <f t="shared" si="50"/>
        <v>126.00000000000003</v>
      </c>
      <c r="W35" s="16"/>
      <c r="X35" s="16"/>
      <c r="Y35" s="443"/>
      <c r="Z35" s="443"/>
      <c r="AA35" s="12">
        <f t="shared" si="2"/>
        <v>-114.28571428571468</v>
      </c>
      <c r="AB35" s="351">
        <f t="shared" si="54"/>
        <v>0.95238095238095222</v>
      </c>
      <c r="AC35" s="442"/>
    </row>
    <row r="36" spans="1:29">
      <c r="A36" s="462" t="s">
        <v>1675</v>
      </c>
      <c r="B36" s="31" t="s">
        <v>67</v>
      </c>
      <c r="C36" s="441" t="s">
        <v>1616</v>
      </c>
      <c r="D36" s="441"/>
      <c r="E36" s="31">
        <v>23.16</v>
      </c>
      <c r="F36" s="357">
        <v>4300</v>
      </c>
      <c r="G36" s="346">
        <f t="shared" si="46"/>
        <v>99588</v>
      </c>
      <c r="H36" s="359">
        <v>2</v>
      </c>
      <c r="I36" s="355">
        <v>14</v>
      </c>
      <c r="J36" s="26">
        <v>2400</v>
      </c>
      <c r="K36" s="10">
        <f t="shared" si="51"/>
        <v>171.42857142857142</v>
      </c>
      <c r="L36" s="355">
        <v>14</v>
      </c>
      <c r="M36" s="11">
        <f t="shared" si="52"/>
        <v>2303.5714285714289</v>
      </c>
      <c r="N36" s="10">
        <f t="shared" si="53"/>
        <v>164.54081632653063</v>
      </c>
      <c r="O36" s="12">
        <f t="shared" si="47"/>
        <v>0</v>
      </c>
      <c r="P36" s="13">
        <f t="shared" si="48"/>
        <v>-6.887755102040785</v>
      </c>
      <c r="Q36" s="351">
        <f t="shared" si="49"/>
        <v>0.95982142857142871</v>
      </c>
      <c r="R36" s="442"/>
      <c r="S36" s="28">
        <v>0.39444444444444443</v>
      </c>
      <c r="T36" s="28">
        <v>0.47222222222222221</v>
      </c>
      <c r="U36" s="346">
        <f t="shared" si="55"/>
        <v>4.9999999999999822</v>
      </c>
      <c r="V36" s="356">
        <f t="shared" si="50"/>
        <v>112</v>
      </c>
      <c r="W36" s="16"/>
      <c r="X36" s="16"/>
      <c r="Y36" s="443"/>
      <c r="Z36" s="443"/>
      <c r="AA36" s="12">
        <f t="shared" si="2"/>
        <v>-96.428571428571104</v>
      </c>
      <c r="AB36" s="351">
        <f t="shared" si="54"/>
        <v>0.95982142857142871</v>
      </c>
      <c r="AC36" s="442"/>
    </row>
    <row r="37" spans="1:29">
      <c r="A37" s="462" t="s">
        <v>1675</v>
      </c>
      <c r="B37" s="31" t="s">
        <v>67</v>
      </c>
      <c r="C37" s="441" t="s">
        <v>78</v>
      </c>
      <c r="D37" s="441"/>
      <c r="E37" s="31">
        <v>25.98</v>
      </c>
      <c r="F37" s="357">
        <v>2367</v>
      </c>
      <c r="G37" s="346">
        <f t="shared" si="46"/>
        <v>61494.66</v>
      </c>
      <c r="H37" s="359" t="s">
        <v>103</v>
      </c>
      <c r="I37" s="355">
        <v>17</v>
      </c>
      <c r="J37" s="26">
        <v>2400</v>
      </c>
      <c r="K37" s="10">
        <f t="shared" si="51"/>
        <v>141.1764705882353</v>
      </c>
      <c r="L37" s="355">
        <v>17</v>
      </c>
      <c r="M37" s="11">
        <f t="shared" si="52"/>
        <v>2290.6451612903247</v>
      </c>
      <c r="N37" s="10">
        <f t="shared" si="53"/>
        <v>134.74383301707792</v>
      </c>
      <c r="O37" s="12">
        <f t="shared" si="47"/>
        <v>0</v>
      </c>
      <c r="P37" s="13">
        <f t="shared" si="48"/>
        <v>-6.432637571157386</v>
      </c>
      <c r="Q37" s="351">
        <f t="shared" si="49"/>
        <v>0.95443548387096855</v>
      </c>
      <c r="R37" s="442"/>
      <c r="S37" s="28">
        <v>0.4770833333333333</v>
      </c>
      <c r="T37" s="28">
        <v>0.52013888888888882</v>
      </c>
      <c r="U37" s="346">
        <f t="shared" si="55"/>
        <v>6.9999999999999751</v>
      </c>
      <c r="V37" s="356">
        <f t="shared" si="50"/>
        <v>61.999999999999943</v>
      </c>
      <c r="W37" s="16">
        <f>T37</f>
        <v>0.52013888888888882</v>
      </c>
      <c r="X37" s="16">
        <f>S38</f>
        <v>0.56111111111111101</v>
      </c>
      <c r="Y37" s="443"/>
      <c r="Z37" s="443"/>
      <c r="AA37" s="12">
        <f t="shared" si="2"/>
        <v>-109.35483870967528</v>
      </c>
      <c r="AB37" s="351">
        <f t="shared" si="54"/>
        <v>0.95443548387096866</v>
      </c>
      <c r="AC37" s="442"/>
    </row>
    <row r="38" spans="1:29">
      <c r="A38" s="462" t="s">
        <v>1675</v>
      </c>
      <c r="B38" s="31" t="s">
        <v>67</v>
      </c>
      <c r="C38" s="441" t="s">
        <v>1616</v>
      </c>
      <c r="D38" s="441"/>
      <c r="E38" s="31">
        <v>23.16</v>
      </c>
      <c r="F38" s="357">
        <v>3155</v>
      </c>
      <c r="G38" s="346">
        <f t="shared" si="46"/>
        <v>73069.8</v>
      </c>
      <c r="H38" s="359" t="s">
        <v>103</v>
      </c>
      <c r="I38" s="355">
        <v>14</v>
      </c>
      <c r="J38" s="26">
        <v>2400</v>
      </c>
      <c r="K38" s="10">
        <f t="shared" si="51"/>
        <v>171.42857142857142</v>
      </c>
      <c r="L38" s="355">
        <v>14</v>
      </c>
      <c r="M38" s="11">
        <f t="shared" si="52"/>
        <v>2308.5365853658527</v>
      </c>
      <c r="N38" s="10">
        <f t="shared" si="53"/>
        <v>164.89547038327518</v>
      </c>
      <c r="O38" s="12">
        <f t="shared" si="47"/>
        <v>0</v>
      </c>
      <c r="P38" s="13">
        <f t="shared" si="48"/>
        <v>-6.5331010452962346</v>
      </c>
      <c r="Q38" s="351">
        <f t="shared" si="49"/>
        <v>0.9618902439024386</v>
      </c>
      <c r="R38" s="442"/>
      <c r="S38" s="28">
        <v>0.56111111111111101</v>
      </c>
      <c r="T38" s="28">
        <v>0.61805555555555547</v>
      </c>
      <c r="U38" s="346">
        <f t="shared" si="55"/>
        <v>58.99999999999995</v>
      </c>
      <c r="V38" s="356">
        <f t="shared" si="50"/>
        <v>82.000000000000028</v>
      </c>
      <c r="W38" s="16"/>
      <c r="X38" s="16"/>
      <c r="Y38" s="447"/>
      <c r="Z38" s="448"/>
      <c r="AA38" s="12">
        <f t="shared" si="2"/>
        <v>-91.463414634147284</v>
      </c>
      <c r="AB38" s="351">
        <f t="shared" si="54"/>
        <v>0.9618902439024386</v>
      </c>
      <c r="AC38" s="442"/>
    </row>
    <row r="39" spans="1:29">
      <c r="A39" s="462" t="s">
        <v>1675</v>
      </c>
      <c r="B39" s="31" t="s">
        <v>67</v>
      </c>
      <c r="C39" s="441" t="s">
        <v>1167</v>
      </c>
      <c r="D39" s="441"/>
      <c r="E39" s="31">
        <v>24.43</v>
      </c>
      <c r="F39" s="357">
        <v>3475</v>
      </c>
      <c r="G39" s="346">
        <f t="shared" si="46"/>
        <v>84894.25</v>
      </c>
      <c r="H39" s="359" t="s">
        <v>103</v>
      </c>
      <c r="I39" s="355">
        <v>15</v>
      </c>
      <c r="J39" s="26">
        <v>2400</v>
      </c>
      <c r="K39" s="10">
        <f t="shared" si="51"/>
        <v>160</v>
      </c>
      <c r="L39" s="355">
        <v>15</v>
      </c>
      <c r="M39" s="11">
        <f t="shared" si="52"/>
        <v>2291.2087912087914</v>
      </c>
      <c r="N39" s="10">
        <f t="shared" si="53"/>
        <v>152.74725274725276</v>
      </c>
      <c r="O39" s="12">
        <f t="shared" si="47"/>
        <v>0</v>
      </c>
      <c r="P39" s="13">
        <f t="shared" si="48"/>
        <v>-7.2527472527472412</v>
      </c>
      <c r="Q39" s="351">
        <f t="shared" si="49"/>
        <v>0.95467032967032972</v>
      </c>
      <c r="R39" s="442"/>
      <c r="S39" s="28">
        <v>0.62222222222222212</v>
      </c>
      <c r="T39" s="28">
        <v>0.68541666666666656</v>
      </c>
      <c r="U39" s="346">
        <f t="shared" si="55"/>
        <v>5.9999999999999787</v>
      </c>
      <c r="V39" s="356">
        <f t="shared" si="50"/>
        <v>91</v>
      </c>
      <c r="W39" s="16"/>
      <c r="X39" s="16"/>
      <c r="Y39" s="447"/>
      <c r="Z39" s="448"/>
      <c r="AA39" s="12">
        <f t="shared" si="2"/>
        <v>-108.79120879120865</v>
      </c>
      <c r="AB39" s="351">
        <f t="shared" si="54"/>
        <v>0.95467032967032972</v>
      </c>
      <c r="AC39" s="442"/>
    </row>
    <row r="40" spans="1:29">
      <c r="A40" s="462" t="s">
        <v>1675</v>
      </c>
      <c r="B40" s="31" t="s">
        <v>67</v>
      </c>
      <c r="C40" s="441" t="s">
        <v>73</v>
      </c>
      <c r="D40" s="441"/>
      <c r="E40" s="31">
        <v>26.2</v>
      </c>
      <c r="F40" s="357">
        <v>2939</v>
      </c>
      <c r="G40" s="346">
        <f t="shared" si="46"/>
        <v>77001.8</v>
      </c>
      <c r="H40" s="359" t="s">
        <v>103</v>
      </c>
      <c r="I40" s="355">
        <v>18</v>
      </c>
      <c r="J40" s="26">
        <v>2400</v>
      </c>
      <c r="K40" s="10">
        <f t="shared" si="51"/>
        <v>133.33333333333334</v>
      </c>
      <c r="L40" s="355">
        <v>18</v>
      </c>
      <c r="M40" s="11">
        <f t="shared" si="52"/>
        <v>2290.1298701298688</v>
      </c>
      <c r="N40" s="10">
        <f t="shared" si="53"/>
        <v>127.22943722943715</v>
      </c>
      <c r="O40" s="12">
        <f t="shared" si="47"/>
        <v>0</v>
      </c>
      <c r="P40" s="13">
        <f t="shared" si="48"/>
        <v>-6.1038961038961901</v>
      </c>
      <c r="Q40" s="351">
        <f t="shared" si="49"/>
        <v>0.95422077922077853</v>
      </c>
      <c r="R40" s="442"/>
      <c r="S40" s="28">
        <v>0.68888888888888877</v>
      </c>
      <c r="T40" s="28">
        <v>0.74236111111111103</v>
      </c>
      <c r="U40" s="346">
        <f t="shared" si="55"/>
        <v>4.9999999999999822</v>
      </c>
      <c r="V40" s="356">
        <f t="shared" si="50"/>
        <v>77.000000000000043</v>
      </c>
      <c r="W40" s="16"/>
      <c r="X40" s="16"/>
      <c r="Y40" s="447"/>
      <c r="Z40" s="448"/>
      <c r="AA40" s="12">
        <f t="shared" si="2"/>
        <v>-109.87012987013122</v>
      </c>
      <c r="AB40" s="351">
        <f t="shared" si="54"/>
        <v>0.95422077922077864</v>
      </c>
      <c r="AC40" s="442"/>
    </row>
    <row r="41" spans="1:29">
      <c r="A41" s="462" t="s">
        <v>1675</v>
      </c>
      <c r="B41" s="33" t="s">
        <v>1678</v>
      </c>
      <c r="C41" s="446"/>
      <c r="D41" s="446"/>
      <c r="E41" s="345"/>
      <c r="F41" s="33"/>
      <c r="G41" s="10"/>
      <c r="H41" s="357"/>
      <c r="I41" s="19">
        <v>16.444444444444443</v>
      </c>
      <c r="J41" s="26">
        <v>2400</v>
      </c>
      <c r="K41" s="10">
        <f t="shared" si="51"/>
        <v>145.94594594594597</v>
      </c>
      <c r="L41" s="19">
        <v>16.444444444444443</v>
      </c>
      <c r="M41" s="11">
        <f>AVERAGE(M32:M40)</f>
        <v>2294.4346914529228</v>
      </c>
      <c r="N41" s="10">
        <f>M41/L41</f>
        <v>139.52643393970479</v>
      </c>
      <c r="O41" s="12">
        <f>L41-I41</f>
        <v>0</v>
      </c>
      <c r="P41" s="13">
        <f t="shared" si="48"/>
        <v>-6.4195120062411775</v>
      </c>
      <c r="Q41" s="351">
        <f t="shared" si="49"/>
        <v>0.95601445477205116</v>
      </c>
      <c r="R41" s="442"/>
      <c r="S41" s="28"/>
      <c r="T41" s="28"/>
      <c r="U41" s="10"/>
      <c r="V41" s="356"/>
      <c r="W41" s="10"/>
      <c r="X41" s="10"/>
      <c r="Y41" s="443"/>
      <c r="Z41" s="443"/>
      <c r="AA41" s="12">
        <f t="shared" si="2"/>
        <v>-105.56530854707717</v>
      </c>
      <c r="AB41" s="351">
        <f t="shared" si="54"/>
        <v>0.95601445477205116</v>
      </c>
      <c r="AC41" s="442"/>
    </row>
    <row r="42" spans="1:29" ht="15.75" customHeight="1">
      <c r="A42" s="453" t="s">
        <v>1679</v>
      </c>
      <c r="B42" s="31" t="s">
        <v>79</v>
      </c>
      <c r="C42" s="444" t="s">
        <v>80</v>
      </c>
      <c r="D42" s="445"/>
      <c r="E42" s="31">
        <v>21.13</v>
      </c>
      <c r="F42" s="357">
        <v>5097</v>
      </c>
      <c r="G42" s="357">
        <f t="shared" ref="G42:G47" si="56">E42*F42</f>
        <v>107699.61</v>
      </c>
      <c r="H42" s="359" t="s">
        <v>103</v>
      </c>
      <c r="I42" s="19">
        <v>10</v>
      </c>
      <c r="J42" s="26">
        <v>3000</v>
      </c>
      <c r="K42" s="33">
        <f t="shared" si="51"/>
        <v>300</v>
      </c>
      <c r="L42" s="19">
        <v>10</v>
      </c>
      <c r="M42" s="26">
        <f t="shared" ref="M42:M47" si="57">F42/V42*60</f>
        <v>2858.1308411214955</v>
      </c>
      <c r="N42" s="26">
        <f t="shared" ref="N42:N48" si="58">M42/L42</f>
        <v>285.81308411214957</v>
      </c>
      <c r="O42" s="379">
        <f t="shared" ref="O42:O48" si="59">L42-I42</f>
        <v>0</v>
      </c>
      <c r="P42" s="380">
        <f t="shared" si="48"/>
        <v>-14.186915887850432</v>
      </c>
      <c r="Q42" s="381">
        <f t="shared" si="49"/>
        <v>0.95271028037383187</v>
      </c>
      <c r="R42" s="488">
        <f>Q48</f>
        <v>0.95640273177350554</v>
      </c>
      <c r="S42" s="28">
        <v>8.3333333333333329E-2</v>
      </c>
      <c r="T42" s="28">
        <v>0.15763888888888888</v>
      </c>
      <c r="U42" s="28"/>
      <c r="V42" s="359">
        <f t="shared" ref="V42:V47" si="60">(T42-S42)*24*60</f>
        <v>107</v>
      </c>
      <c r="W42" s="382">
        <f>T42</f>
        <v>0.15763888888888888</v>
      </c>
      <c r="X42" s="382">
        <f>S43</f>
        <v>0.17708333333333334</v>
      </c>
      <c r="Y42" s="447"/>
      <c r="Z42" s="448"/>
      <c r="AA42" s="12">
        <f t="shared" si="2"/>
        <v>-141.86915887850455</v>
      </c>
      <c r="AB42" s="351">
        <f t="shared" si="54"/>
        <v>0.95271028037383176</v>
      </c>
      <c r="AC42" s="456">
        <f>AB48</f>
        <v>0.95640273177350554</v>
      </c>
    </row>
    <row r="43" spans="1:29" ht="15.75" customHeight="1">
      <c r="A43" s="454" t="s">
        <v>1679</v>
      </c>
      <c r="B43" s="31" t="s">
        <v>79</v>
      </c>
      <c r="C43" s="444" t="s">
        <v>81</v>
      </c>
      <c r="D43" s="445"/>
      <c r="E43" s="31">
        <v>27.17</v>
      </c>
      <c r="F43" s="357">
        <v>6502</v>
      </c>
      <c r="G43" s="357">
        <f t="shared" si="56"/>
        <v>176659.34000000003</v>
      </c>
      <c r="H43" s="359" t="s">
        <v>103</v>
      </c>
      <c r="I43" s="19">
        <v>10</v>
      </c>
      <c r="J43" s="26">
        <v>3000</v>
      </c>
      <c r="K43" s="33">
        <f t="shared" si="51"/>
        <v>300</v>
      </c>
      <c r="L43" s="19">
        <v>10</v>
      </c>
      <c r="M43" s="26">
        <f t="shared" si="57"/>
        <v>2868.5294117647049</v>
      </c>
      <c r="N43" s="26">
        <f t="shared" si="58"/>
        <v>286.85294117647049</v>
      </c>
      <c r="O43" s="379">
        <f t="shared" si="59"/>
        <v>0</v>
      </c>
      <c r="P43" s="380">
        <f t="shared" si="48"/>
        <v>-13.147058823529505</v>
      </c>
      <c r="Q43" s="381">
        <f t="shared" si="49"/>
        <v>0.95617647058823496</v>
      </c>
      <c r="R43" s="489"/>
      <c r="S43" s="28">
        <v>0.17708333333333334</v>
      </c>
      <c r="T43" s="28">
        <v>0.27152777777777781</v>
      </c>
      <c r="U43" s="357">
        <f>(S43-T42)*24*60</f>
        <v>28.000000000000021</v>
      </c>
      <c r="V43" s="359">
        <f t="shared" si="60"/>
        <v>136.00000000000006</v>
      </c>
      <c r="W43" s="382"/>
      <c r="X43" s="382"/>
      <c r="Y43" s="447"/>
      <c r="Z43" s="448"/>
      <c r="AA43" s="12">
        <f t="shared" si="2"/>
        <v>-131.47058823529505</v>
      </c>
      <c r="AB43" s="351">
        <f t="shared" si="54"/>
        <v>0.95617647058823496</v>
      </c>
      <c r="AC43" s="457"/>
    </row>
    <row r="44" spans="1:29" ht="15.75" customHeight="1">
      <c r="A44" s="454" t="s">
        <v>1679</v>
      </c>
      <c r="B44" s="31" t="s">
        <v>79</v>
      </c>
      <c r="C44" s="444" t="s">
        <v>82</v>
      </c>
      <c r="D44" s="445"/>
      <c r="E44" s="31">
        <v>35.119999999999997</v>
      </c>
      <c r="F44" s="357">
        <v>4538</v>
      </c>
      <c r="G44" s="357">
        <f t="shared" si="56"/>
        <v>159374.56</v>
      </c>
      <c r="H44" s="359" t="s">
        <v>103</v>
      </c>
      <c r="I44" s="19">
        <v>10</v>
      </c>
      <c r="J44" s="26">
        <v>3000</v>
      </c>
      <c r="K44" s="33">
        <f t="shared" si="51"/>
        <v>300</v>
      </c>
      <c r="L44" s="19">
        <v>10</v>
      </c>
      <c r="M44" s="26">
        <f>F44/V44*60</f>
        <v>2866.1052631578955</v>
      </c>
      <c r="N44" s="26">
        <f t="shared" si="58"/>
        <v>286.61052631578957</v>
      </c>
      <c r="O44" s="379">
        <f t="shared" si="59"/>
        <v>0</v>
      </c>
      <c r="P44" s="380">
        <f t="shared" si="48"/>
        <v>-13.389473684210429</v>
      </c>
      <c r="Q44" s="381">
        <f t="shared" si="49"/>
        <v>0.95536842105263187</v>
      </c>
      <c r="R44" s="489"/>
      <c r="S44" s="28">
        <v>0.27500000000000002</v>
      </c>
      <c r="T44" s="28">
        <v>0.34097222222222223</v>
      </c>
      <c r="U44" s="357">
        <f t="shared" ref="U44:U47" si="61">(S44-T43)*24*60</f>
        <v>4.9999999999999822</v>
      </c>
      <c r="V44" s="359">
        <f t="shared" si="60"/>
        <v>94.999999999999986</v>
      </c>
      <c r="W44" s="382"/>
      <c r="X44" s="382"/>
      <c r="Y44" s="447"/>
      <c r="Z44" s="448"/>
      <c r="AA44" s="12">
        <f t="shared" si="2"/>
        <v>-133.89473684210452</v>
      </c>
      <c r="AB44" s="351">
        <f t="shared" si="54"/>
        <v>0.95536842105263187</v>
      </c>
      <c r="AC44" s="457"/>
    </row>
    <row r="45" spans="1:29" ht="15.75" customHeight="1">
      <c r="A45" s="454" t="s">
        <v>1679</v>
      </c>
      <c r="B45" s="31" t="s">
        <v>79</v>
      </c>
      <c r="C45" s="444" t="s">
        <v>85</v>
      </c>
      <c r="D45" s="445"/>
      <c r="E45" s="31">
        <v>35.869999999999997</v>
      </c>
      <c r="F45" s="357">
        <v>3092</v>
      </c>
      <c r="G45" s="357">
        <f t="shared" si="56"/>
        <v>110910.04</v>
      </c>
      <c r="H45" s="359" t="s">
        <v>103</v>
      </c>
      <c r="I45" s="19">
        <v>10</v>
      </c>
      <c r="J45" s="26">
        <v>3000</v>
      </c>
      <c r="K45" s="33">
        <f t="shared" si="51"/>
        <v>300</v>
      </c>
      <c r="L45" s="19">
        <v>10</v>
      </c>
      <c r="M45" s="26">
        <f t="shared" si="57"/>
        <v>2854.1538461538453</v>
      </c>
      <c r="N45" s="26">
        <f t="shared" si="58"/>
        <v>285.41538461538454</v>
      </c>
      <c r="O45" s="379">
        <f t="shared" si="59"/>
        <v>0</v>
      </c>
      <c r="P45" s="380">
        <f t="shared" si="48"/>
        <v>-14.584615384615461</v>
      </c>
      <c r="Q45" s="381">
        <f t="shared" si="49"/>
        <v>0.95138461538461516</v>
      </c>
      <c r="R45" s="489"/>
      <c r="S45" s="28">
        <v>0.34444444444444444</v>
      </c>
      <c r="T45" s="28">
        <v>0.38958333333333334</v>
      </c>
      <c r="U45" s="357">
        <f t="shared" si="61"/>
        <v>4.9999999999999822</v>
      </c>
      <c r="V45" s="359">
        <f t="shared" si="60"/>
        <v>65.000000000000014</v>
      </c>
      <c r="W45" s="382"/>
      <c r="X45" s="382"/>
      <c r="Y45" s="447"/>
      <c r="Z45" s="448"/>
      <c r="AA45" s="12">
        <f t="shared" si="2"/>
        <v>-145.84615384615472</v>
      </c>
      <c r="AB45" s="351">
        <f t="shared" si="54"/>
        <v>0.95138461538461505</v>
      </c>
      <c r="AC45" s="457"/>
    </row>
    <row r="46" spans="1:29" ht="15.75" customHeight="1">
      <c r="A46" s="454" t="s">
        <v>1679</v>
      </c>
      <c r="B46" s="31" t="s">
        <v>79</v>
      </c>
      <c r="C46" s="444" t="s">
        <v>86</v>
      </c>
      <c r="D46" s="445"/>
      <c r="E46" s="31">
        <v>36.14</v>
      </c>
      <c r="F46" s="357">
        <v>2083</v>
      </c>
      <c r="G46" s="357">
        <f t="shared" si="56"/>
        <v>75279.62</v>
      </c>
      <c r="H46" s="359" t="s">
        <v>103</v>
      </c>
      <c r="I46" s="19">
        <v>8</v>
      </c>
      <c r="J46" s="26">
        <v>3000</v>
      </c>
      <c r="K46" s="33">
        <f t="shared" si="51"/>
        <v>375</v>
      </c>
      <c r="L46" s="19">
        <v>8</v>
      </c>
      <c r="M46" s="26">
        <f t="shared" si="57"/>
        <v>2906.5116279069762</v>
      </c>
      <c r="N46" s="26">
        <f t="shared" si="58"/>
        <v>363.31395348837202</v>
      </c>
      <c r="O46" s="379">
        <f t="shared" si="59"/>
        <v>0</v>
      </c>
      <c r="P46" s="380">
        <f t="shared" si="48"/>
        <v>-11.686046511627978</v>
      </c>
      <c r="Q46" s="381">
        <f>N46/K46</f>
        <v>0.96883720930232542</v>
      </c>
      <c r="R46" s="489"/>
      <c r="S46" s="28">
        <v>0.39374999999999999</v>
      </c>
      <c r="T46" s="28">
        <v>0.4236111111111111</v>
      </c>
      <c r="U46" s="357">
        <f t="shared" si="61"/>
        <v>5.9999999999999787</v>
      </c>
      <c r="V46" s="359">
        <f t="shared" si="60"/>
        <v>43.000000000000007</v>
      </c>
      <c r="W46" s="382"/>
      <c r="X46" s="382"/>
      <c r="Y46" s="447"/>
      <c r="Z46" s="448"/>
      <c r="AA46" s="12">
        <f t="shared" si="2"/>
        <v>-93.488372093023827</v>
      </c>
      <c r="AB46" s="351">
        <f t="shared" si="54"/>
        <v>0.96883720930232542</v>
      </c>
      <c r="AC46" s="457"/>
    </row>
    <row r="47" spans="1:29" ht="15.75" customHeight="1">
      <c r="A47" s="454" t="s">
        <v>1679</v>
      </c>
      <c r="B47" s="31" t="s">
        <v>79</v>
      </c>
      <c r="C47" s="444" t="s">
        <v>95</v>
      </c>
      <c r="D47" s="445"/>
      <c r="E47" s="31">
        <v>35.369999999999997</v>
      </c>
      <c r="F47" s="357">
        <v>1574</v>
      </c>
      <c r="G47" s="357">
        <f t="shared" si="56"/>
        <v>55672.38</v>
      </c>
      <c r="H47" s="359" t="s">
        <v>103</v>
      </c>
      <c r="I47" s="19">
        <v>10</v>
      </c>
      <c r="J47" s="26">
        <v>3000</v>
      </c>
      <c r="K47" s="33">
        <f t="shared" si="51"/>
        <v>300</v>
      </c>
      <c r="L47" s="19">
        <v>10</v>
      </c>
      <c r="M47" s="26">
        <f t="shared" si="57"/>
        <v>2861.8181818181847</v>
      </c>
      <c r="N47" s="26">
        <f t="shared" si="58"/>
        <v>286.18181818181847</v>
      </c>
      <c r="O47" s="379">
        <f t="shared" si="59"/>
        <v>0</v>
      </c>
      <c r="P47" s="380">
        <f t="shared" si="48"/>
        <v>-13.818181818181529</v>
      </c>
      <c r="Q47" s="381">
        <f t="shared" si="49"/>
        <v>0.95393939393939486</v>
      </c>
      <c r="R47" s="489"/>
      <c r="S47" s="28">
        <v>0.42916666666666664</v>
      </c>
      <c r="T47" s="28">
        <v>0.45208333333333328</v>
      </c>
      <c r="U47" s="357">
        <f t="shared" si="61"/>
        <v>7.9999999999999716</v>
      </c>
      <c r="V47" s="359">
        <f t="shared" si="60"/>
        <v>32.999999999999964</v>
      </c>
      <c r="W47" s="382"/>
      <c r="X47" s="382"/>
      <c r="Y47" s="447"/>
      <c r="Z47" s="448"/>
      <c r="AA47" s="12">
        <f t="shared" si="2"/>
        <v>-138.18181818181529</v>
      </c>
      <c r="AB47" s="351">
        <f t="shared" si="54"/>
        <v>0.95393939393939486</v>
      </c>
      <c r="AC47" s="457"/>
    </row>
    <row r="48" spans="1:29" ht="15.75" customHeight="1">
      <c r="A48" s="455" t="s">
        <v>1679</v>
      </c>
      <c r="B48" s="31" t="s">
        <v>1678</v>
      </c>
      <c r="C48" s="459"/>
      <c r="D48" s="460"/>
      <c r="E48" s="352"/>
      <c r="F48" s="357"/>
      <c r="G48" s="357"/>
      <c r="H48" s="357"/>
      <c r="I48" s="19">
        <v>9.6666666666666661</v>
      </c>
      <c r="J48" s="26">
        <v>3000</v>
      </c>
      <c r="K48" s="33">
        <f>J48/I48</f>
        <v>310.34482758620692</v>
      </c>
      <c r="L48" s="19">
        <v>9.6666666666666661</v>
      </c>
      <c r="M48" s="26">
        <f>AVERAGE(M42:M47)</f>
        <v>2869.2081953205166</v>
      </c>
      <c r="N48" s="33">
        <f t="shared" si="58"/>
        <v>296.81464089522586</v>
      </c>
      <c r="O48" s="379">
        <f t="shared" si="59"/>
        <v>0</v>
      </c>
      <c r="P48" s="380">
        <f t="shared" si="48"/>
        <v>-13.530186690981054</v>
      </c>
      <c r="Q48" s="381">
        <f t="shared" si="49"/>
        <v>0.95640273177350554</v>
      </c>
      <c r="R48" s="490"/>
      <c r="S48" s="28"/>
      <c r="T48" s="28"/>
      <c r="U48" s="357"/>
      <c r="V48" s="359"/>
      <c r="W48" s="382"/>
      <c r="X48" s="382"/>
      <c r="Y48" s="447"/>
      <c r="Z48" s="448"/>
      <c r="AA48" s="12">
        <f t="shared" si="2"/>
        <v>-130.79180467948345</v>
      </c>
      <c r="AB48" s="351">
        <f t="shared" si="54"/>
        <v>0.95640273177350554</v>
      </c>
      <c r="AC48" s="458"/>
    </row>
    <row r="49" spans="1:29" ht="15.75" customHeight="1">
      <c r="A49" s="451" t="s">
        <v>1682</v>
      </c>
      <c r="B49" s="31" t="s">
        <v>53</v>
      </c>
      <c r="C49" s="441" t="s">
        <v>87</v>
      </c>
      <c r="D49" s="441"/>
      <c r="E49" s="31">
        <v>46</v>
      </c>
      <c r="F49" s="35">
        <v>2976</v>
      </c>
      <c r="G49" s="346">
        <f t="shared" ref="G49:G54" si="62">E49*F49</f>
        <v>136896</v>
      </c>
      <c r="H49" s="359" t="s">
        <v>103</v>
      </c>
      <c r="I49" s="19">
        <v>17</v>
      </c>
      <c r="J49" s="26">
        <v>2000</v>
      </c>
      <c r="K49" s="10">
        <f t="shared" ref="K49:K54" si="63">J49/I49</f>
        <v>117.64705882352941</v>
      </c>
      <c r="L49" s="19">
        <v>17</v>
      </c>
      <c r="M49" s="11">
        <f t="shared" ref="M49:M54" si="64">F49/V49*60</f>
        <v>1920.0000000000005</v>
      </c>
      <c r="N49" s="11">
        <f>M49/L49</f>
        <v>112.94117647058826</v>
      </c>
      <c r="O49" s="12">
        <f>L49-I49</f>
        <v>0</v>
      </c>
      <c r="P49" s="13">
        <f>N49-K49</f>
        <v>-4.7058823529411455</v>
      </c>
      <c r="Q49" s="351">
        <f>N49/K49</f>
        <v>0.9600000000000003</v>
      </c>
      <c r="R49" s="442">
        <f>Q55</f>
        <v>0.95777033230104736</v>
      </c>
      <c r="S49" s="28">
        <v>0.29166666666666669</v>
      </c>
      <c r="T49" s="28">
        <v>0.35625000000000001</v>
      </c>
      <c r="U49" s="18"/>
      <c r="V49" s="356">
        <f t="shared" ref="V49:V54" si="65">(T49-S49)*24*60</f>
        <v>92.999999999999986</v>
      </c>
      <c r="W49" s="18"/>
      <c r="X49" s="18"/>
      <c r="Y49" s="443"/>
      <c r="Z49" s="443"/>
      <c r="AA49" s="12">
        <f t="shared" si="2"/>
        <v>-79.999999999999545</v>
      </c>
      <c r="AB49" s="351">
        <f t="shared" si="54"/>
        <v>0.96000000000000019</v>
      </c>
      <c r="AC49" s="442">
        <f>AB55</f>
        <v>0.95777033230104736</v>
      </c>
    </row>
    <row r="50" spans="1:29" ht="15.75" customHeight="1">
      <c r="A50" s="451" t="s">
        <v>1682</v>
      </c>
      <c r="B50" s="31" t="s">
        <v>53</v>
      </c>
      <c r="C50" s="441" t="s">
        <v>88</v>
      </c>
      <c r="D50" s="441"/>
      <c r="E50" s="31">
        <v>46</v>
      </c>
      <c r="F50" s="35">
        <v>3076</v>
      </c>
      <c r="G50" s="346">
        <f t="shared" si="62"/>
        <v>141496</v>
      </c>
      <c r="H50" s="359" t="s">
        <v>103</v>
      </c>
      <c r="I50" s="355">
        <v>17</v>
      </c>
      <c r="J50" s="26">
        <v>2000</v>
      </c>
      <c r="K50" s="10">
        <f t="shared" si="63"/>
        <v>117.64705882352941</v>
      </c>
      <c r="L50" s="19">
        <v>17</v>
      </c>
      <c r="M50" s="11">
        <f t="shared" si="64"/>
        <v>1902.6804123711345</v>
      </c>
      <c r="N50" s="11">
        <f t="shared" ref="N50:N54" si="66">M50/L50</f>
        <v>111.92237719830203</v>
      </c>
      <c r="O50" s="12">
        <f t="shared" ref="O50:O54" si="67">L50-I50</f>
        <v>0</v>
      </c>
      <c r="P50" s="13">
        <f t="shared" ref="P50:P54" si="68">N50-K50</f>
        <v>-5.724681625227376</v>
      </c>
      <c r="Q50" s="351">
        <f t="shared" ref="Q50:Q54" si="69">N50/K50</f>
        <v>0.95134020618556725</v>
      </c>
      <c r="R50" s="442"/>
      <c r="S50" s="28">
        <v>0.36180555555555555</v>
      </c>
      <c r="T50" s="28">
        <v>0.42916666666666664</v>
      </c>
      <c r="U50" s="346">
        <f>IF(S50=TIME(17,0,0),"",(S50-T49)*24*60)</f>
        <v>7.9999999999999716</v>
      </c>
      <c r="V50" s="356">
        <f t="shared" si="65"/>
        <v>96.999999999999972</v>
      </c>
      <c r="W50" s="16"/>
      <c r="X50" s="16"/>
      <c r="Y50" s="443"/>
      <c r="Z50" s="443"/>
      <c r="AA50" s="12">
        <f t="shared" si="2"/>
        <v>-97.31958762886552</v>
      </c>
      <c r="AB50" s="351">
        <f t="shared" si="54"/>
        <v>0.95134020618556725</v>
      </c>
      <c r="AC50" s="442"/>
    </row>
    <row r="51" spans="1:29" ht="15.75" customHeight="1">
      <c r="A51" s="451" t="s">
        <v>1682</v>
      </c>
      <c r="B51" s="31" t="s">
        <v>58</v>
      </c>
      <c r="C51" s="444" t="s">
        <v>168</v>
      </c>
      <c r="D51" s="445"/>
      <c r="E51" s="31">
        <v>54.09</v>
      </c>
      <c r="F51" s="35">
        <v>1403</v>
      </c>
      <c r="G51" s="346">
        <f t="shared" si="62"/>
        <v>75888.27</v>
      </c>
      <c r="H51" s="359" t="s">
        <v>103</v>
      </c>
      <c r="I51" s="355">
        <v>16</v>
      </c>
      <c r="J51" s="26">
        <v>2000</v>
      </c>
      <c r="K51" s="10">
        <f t="shared" si="63"/>
        <v>125</v>
      </c>
      <c r="L51" s="355">
        <v>16</v>
      </c>
      <c r="M51" s="11">
        <f t="shared" si="64"/>
        <v>1913.1818181818182</v>
      </c>
      <c r="N51" s="11">
        <f t="shared" si="66"/>
        <v>119.57386363636364</v>
      </c>
      <c r="O51" s="12">
        <f t="shared" si="67"/>
        <v>0</v>
      </c>
      <c r="P51" s="13">
        <f t="shared" si="68"/>
        <v>-5.4261363636363598</v>
      </c>
      <c r="Q51" s="351">
        <f t="shared" si="69"/>
        <v>0.95659090909090916</v>
      </c>
      <c r="R51" s="442"/>
      <c r="S51" s="28">
        <v>0.43402777777777773</v>
      </c>
      <c r="T51" s="28">
        <v>0.46458333333333329</v>
      </c>
      <c r="U51" s="346">
        <f t="shared" ref="U51:U54" si="70">IF(S51=TIME(17,0,0),"",(S51-T50)*24*60)</f>
        <v>6.9999999999999751</v>
      </c>
      <c r="V51" s="356">
        <f t="shared" si="65"/>
        <v>44</v>
      </c>
      <c r="W51" s="16"/>
      <c r="X51" s="16"/>
      <c r="Y51" s="349"/>
      <c r="Z51" s="350"/>
      <c r="AA51" s="12">
        <f t="shared" si="2"/>
        <v>-86.818181818181756</v>
      </c>
      <c r="AB51" s="351">
        <f t="shared" si="54"/>
        <v>0.95659090909090916</v>
      </c>
      <c r="AC51" s="442"/>
    </row>
    <row r="52" spans="1:29" ht="15.75" customHeight="1">
      <c r="A52" s="451" t="s">
        <v>1682</v>
      </c>
      <c r="B52" s="31" t="s">
        <v>58</v>
      </c>
      <c r="C52" s="347" t="s">
        <v>89</v>
      </c>
      <c r="D52" s="348"/>
      <c r="E52" s="31">
        <v>55.56</v>
      </c>
      <c r="F52" s="35">
        <v>2029</v>
      </c>
      <c r="G52" s="346">
        <f t="shared" si="62"/>
        <v>112731.24</v>
      </c>
      <c r="H52" s="359" t="s">
        <v>103</v>
      </c>
      <c r="I52" s="355">
        <v>17</v>
      </c>
      <c r="J52" s="26">
        <v>2000</v>
      </c>
      <c r="K52" s="10">
        <f t="shared" si="63"/>
        <v>117.64705882352941</v>
      </c>
      <c r="L52" s="355">
        <v>17</v>
      </c>
      <c r="M52" s="11">
        <f t="shared" si="64"/>
        <v>1902.187500000002</v>
      </c>
      <c r="N52" s="11">
        <f t="shared" si="66"/>
        <v>111.8933823529413</v>
      </c>
      <c r="O52" s="12">
        <f t="shared" si="67"/>
        <v>0</v>
      </c>
      <c r="P52" s="13">
        <f t="shared" si="68"/>
        <v>-5.7536764705881041</v>
      </c>
      <c r="Q52" s="351">
        <f t="shared" si="69"/>
        <v>0.95109375000000107</v>
      </c>
      <c r="R52" s="442"/>
      <c r="S52" s="28">
        <v>0.70833333333333337</v>
      </c>
      <c r="T52" s="28">
        <v>0.75277777777777777</v>
      </c>
      <c r="U52" s="346" t="str">
        <f t="shared" si="70"/>
        <v/>
      </c>
      <c r="V52" s="356">
        <f t="shared" si="65"/>
        <v>63.999999999999929</v>
      </c>
      <c r="W52" s="16"/>
      <c r="X52" s="16"/>
      <c r="Y52" s="349"/>
      <c r="Z52" s="350"/>
      <c r="AA52" s="12">
        <f t="shared" si="2"/>
        <v>-97.812499999997954</v>
      </c>
      <c r="AB52" s="351">
        <f t="shared" si="54"/>
        <v>0.95109375000000107</v>
      </c>
      <c r="AC52" s="442"/>
    </row>
    <row r="53" spans="1:29" ht="15.75" customHeight="1">
      <c r="A53" s="451" t="s">
        <v>1682</v>
      </c>
      <c r="B53" s="31" t="s">
        <v>58</v>
      </c>
      <c r="C53" s="347" t="s">
        <v>90</v>
      </c>
      <c r="D53" s="348"/>
      <c r="E53" s="31">
        <v>55.32</v>
      </c>
      <c r="F53" s="35">
        <v>1427</v>
      </c>
      <c r="G53" s="346">
        <f t="shared" si="62"/>
        <v>78941.64</v>
      </c>
      <c r="H53" s="359" t="s">
        <v>103</v>
      </c>
      <c r="I53" s="355">
        <v>15</v>
      </c>
      <c r="J53" s="26">
        <v>2000</v>
      </c>
      <c r="K53" s="10">
        <f t="shared" si="63"/>
        <v>133.33333333333334</v>
      </c>
      <c r="L53" s="355">
        <v>15</v>
      </c>
      <c r="M53" s="11">
        <f t="shared" si="64"/>
        <v>1945.9090909090908</v>
      </c>
      <c r="N53" s="11">
        <f t="shared" si="66"/>
        <v>129.72727272727272</v>
      </c>
      <c r="O53" s="12">
        <f t="shared" si="67"/>
        <v>0</v>
      </c>
      <c r="P53" s="13">
        <f t="shared" si="68"/>
        <v>-3.6060606060606233</v>
      </c>
      <c r="Q53" s="351">
        <f t="shared" si="69"/>
        <v>0.97295454545454529</v>
      </c>
      <c r="R53" s="442"/>
      <c r="S53" s="28">
        <v>0.75763888888888886</v>
      </c>
      <c r="T53" s="28">
        <v>0.78819444444444442</v>
      </c>
      <c r="U53" s="346">
        <f t="shared" si="70"/>
        <v>6.9999999999999751</v>
      </c>
      <c r="V53" s="356">
        <f t="shared" si="65"/>
        <v>44</v>
      </c>
      <c r="W53" s="16"/>
      <c r="X53" s="16"/>
      <c r="Y53" s="349"/>
      <c r="Z53" s="350"/>
      <c r="AA53" s="12">
        <f t="shared" si="2"/>
        <v>-54.090909090909236</v>
      </c>
      <c r="AB53" s="351">
        <f t="shared" si="54"/>
        <v>0.97295454545454541</v>
      </c>
      <c r="AC53" s="442"/>
    </row>
    <row r="54" spans="1:29" ht="15.75" customHeight="1">
      <c r="A54" s="451" t="s">
        <v>1682</v>
      </c>
      <c r="B54" s="31" t="s">
        <v>58</v>
      </c>
      <c r="C54" s="444" t="s">
        <v>91</v>
      </c>
      <c r="D54" s="445"/>
      <c r="E54" s="31">
        <v>57.73</v>
      </c>
      <c r="F54" s="35">
        <v>1192</v>
      </c>
      <c r="G54" s="346">
        <f t="shared" si="62"/>
        <v>68814.16</v>
      </c>
      <c r="H54" s="359" t="s">
        <v>103</v>
      </c>
      <c r="I54" s="355">
        <v>16</v>
      </c>
      <c r="J54" s="26">
        <v>1500</v>
      </c>
      <c r="K54" s="10">
        <f t="shared" si="63"/>
        <v>93.75</v>
      </c>
      <c r="L54" s="355">
        <v>16</v>
      </c>
      <c r="M54" s="11">
        <f t="shared" si="64"/>
        <v>1430.4000000000003</v>
      </c>
      <c r="N54" s="11">
        <f t="shared" si="66"/>
        <v>89.40000000000002</v>
      </c>
      <c r="O54" s="12">
        <f t="shared" si="67"/>
        <v>0</v>
      </c>
      <c r="P54" s="13">
        <f t="shared" si="68"/>
        <v>-4.3499999999999801</v>
      </c>
      <c r="Q54" s="351">
        <f t="shared" si="69"/>
        <v>0.95360000000000023</v>
      </c>
      <c r="R54" s="442"/>
      <c r="S54" s="28">
        <v>0.79374999999999996</v>
      </c>
      <c r="T54" s="28">
        <v>0.82847222222222217</v>
      </c>
      <c r="U54" s="346">
        <f t="shared" si="70"/>
        <v>7.9999999999999716</v>
      </c>
      <c r="V54" s="356">
        <f t="shared" si="65"/>
        <v>49.999999999999986</v>
      </c>
      <c r="W54" s="16"/>
      <c r="X54" s="16"/>
      <c r="Y54" s="447"/>
      <c r="Z54" s="448"/>
      <c r="AA54" s="12">
        <f t="shared" si="2"/>
        <v>-69.599999999999682</v>
      </c>
      <c r="AB54" s="351">
        <f t="shared" si="54"/>
        <v>0.95360000000000023</v>
      </c>
      <c r="AC54" s="442"/>
    </row>
    <row r="55" spans="1:29">
      <c r="A55" s="452" t="s">
        <v>1682</v>
      </c>
      <c r="B55" s="31" t="s">
        <v>1678</v>
      </c>
      <c r="C55" s="446"/>
      <c r="D55" s="446"/>
      <c r="E55" s="345"/>
      <c r="F55" s="33"/>
      <c r="G55" s="10"/>
      <c r="H55" s="357"/>
      <c r="I55" s="19">
        <v>16.333333333333332</v>
      </c>
      <c r="J55" s="26">
        <v>1916.6666666666667</v>
      </c>
      <c r="K55" s="10">
        <f>J55/I55</f>
        <v>117.34693877551021</v>
      </c>
      <c r="L55" s="19">
        <v>16.333333333333332</v>
      </c>
      <c r="M55" s="11">
        <f>AVERAGE(M49:M54)</f>
        <v>1835.7264702436742</v>
      </c>
      <c r="N55" s="10">
        <f>M55/L55</f>
        <v>112.39141654553107</v>
      </c>
      <c r="O55" s="12">
        <f>L55-I55</f>
        <v>0</v>
      </c>
      <c r="P55" s="13">
        <f>N55-K55</f>
        <v>-4.9555222299791382</v>
      </c>
      <c r="Q55" s="351">
        <f>N55/K55</f>
        <v>0.95777033230104736</v>
      </c>
      <c r="R55" s="442"/>
      <c r="S55" s="29"/>
      <c r="T55" s="28"/>
      <c r="U55" s="10"/>
      <c r="V55" s="356"/>
      <c r="W55" s="10"/>
      <c r="X55" s="10"/>
      <c r="Y55" s="443"/>
      <c r="Z55" s="443"/>
      <c r="AA55" s="12">
        <f t="shared" si="2"/>
        <v>-80.940196422992585</v>
      </c>
      <c r="AB55" s="351">
        <f t="shared" si="54"/>
        <v>0.95777033230104736</v>
      </c>
      <c r="AC55" s="442"/>
    </row>
    <row r="56" spans="1:29" ht="15.75" customHeight="1">
      <c r="A56" s="449" t="s">
        <v>1683</v>
      </c>
      <c r="B56" s="357" t="s">
        <v>79</v>
      </c>
      <c r="C56" s="441" t="s">
        <v>94</v>
      </c>
      <c r="D56" s="441"/>
      <c r="E56" s="31">
        <v>26.78</v>
      </c>
      <c r="F56" s="35">
        <v>2756</v>
      </c>
      <c r="G56" s="346">
        <f t="shared" ref="G56:G59" si="71">E56*F56</f>
        <v>73805.680000000008</v>
      </c>
      <c r="H56" s="359" t="s">
        <v>103</v>
      </c>
      <c r="I56" s="355">
        <v>10</v>
      </c>
      <c r="J56" s="26">
        <v>3000</v>
      </c>
      <c r="K56" s="10">
        <f t="shared" ref="K56:K59" si="72">J56/I56</f>
        <v>300</v>
      </c>
      <c r="L56" s="19">
        <v>10</v>
      </c>
      <c r="M56" s="11">
        <f t="shared" ref="M56:M59" si="73">F56/V56*60</f>
        <v>2901.0526315789475</v>
      </c>
      <c r="N56" s="10">
        <f>M56/L56</f>
        <v>290.10526315789474</v>
      </c>
      <c r="O56" s="12">
        <f t="shared" ref="O56:O59" si="74">L56-I56</f>
        <v>0</v>
      </c>
      <c r="P56" s="13">
        <f t="shared" ref="P56:P59" si="75">N56-K56</f>
        <v>-9.8947368421052602</v>
      </c>
      <c r="Q56" s="351">
        <f>N56/K56</f>
        <v>0.96701754385964911</v>
      </c>
      <c r="R56" s="442">
        <f>Q60</f>
        <v>0.96095172627028569</v>
      </c>
      <c r="S56" s="28">
        <v>0.20833333333333334</v>
      </c>
      <c r="T56" s="28">
        <v>0.24791666666666667</v>
      </c>
      <c r="U56" s="346"/>
      <c r="V56" s="356">
        <f t="shared" ref="V56:V59" si="76">(T56-S56)*24*60</f>
        <v>57</v>
      </c>
      <c r="W56" s="18"/>
      <c r="X56" s="18"/>
      <c r="Y56" s="443"/>
      <c r="Z56" s="443"/>
      <c r="AA56" s="12">
        <f t="shared" si="2"/>
        <v>-98.947368421052488</v>
      </c>
      <c r="AB56" s="351">
        <f t="shared" si="54"/>
        <v>0.96701754385964922</v>
      </c>
      <c r="AC56" s="442">
        <f>AB60</f>
        <v>0.96095172627028569</v>
      </c>
    </row>
    <row r="57" spans="1:29" ht="15.75" customHeight="1">
      <c r="A57" s="449" t="s">
        <v>1683</v>
      </c>
      <c r="B57" s="357" t="s">
        <v>79</v>
      </c>
      <c r="C57" s="441" t="s">
        <v>97</v>
      </c>
      <c r="D57" s="441"/>
      <c r="E57" s="31">
        <v>35.119999999999997</v>
      </c>
      <c r="F57" s="35">
        <v>1183</v>
      </c>
      <c r="G57" s="346">
        <f t="shared" si="71"/>
        <v>41546.959999999999</v>
      </c>
      <c r="H57" s="359" t="s">
        <v>103</v>
      </c>
      <c r="I57" s="355">
        <v>13</v>
      </c>
      <c r="J57" s="26">
        <v>2000</v>
      </c>
      <c r="K57" s="10">
        <f t="shared" si="72"/>
        <v>153.84615384615384</v>
      </c>
      <c r="L57" s="19">
        <v>13</v>
      </c>
      <c r="M57" s="11">
        <f t="shared" si="73"/>
        <v>1918.3783783783767</v>
      </c>
      <c r="N57" s="10">
        <f t="shared" ref="N57:N59" si="77">M57/L57</f>
        <v>147.56756756756744</v>
      </c>
      <c r="O57" s="12">
        <f t="shared" si="74"/>
        <v>0</v>
      </c>
      <c r="P57" s="13">
        <f t="shared" si="75"/>
        <v>-6.2785862785864026</v>
      </c>
      <c r="Q57" s="351">
        <f t="shared" ref="Q57:Q59" si="78">N57/K57</f>
        <v>0.95918918918918838</v>
      </c>
      <c r="R57" s="442"/>
      <c r="S57" s="28">
        <v>0.25208333333333333</v>
      </c>
      <c r="T57" s="28">
        <v>0.27777777777777779</v>
      </c>
      <c r="U57" s="346">
        <f>(S57-T56)*24*60</f>
        <v>5.9999999999999787</v>
      </c>
      <c r="V57" s="356">
        <f t="shared" si="76"/>
        <v>37.000000000000028</v>
      </c>
      <c r="W57" s="346"/>
      <c r="X57" s="346"/>
      <c r="Y57" s="443"/>
      <c r="Z57" s="443"/>
      <c r="AA57" s="12">
        <f t="shared" si="2"/>
        <v>-81.621621621623262</v>
      </c>
      <c r="AB57" s="351">
        <f t="shared" si="54"/>
        <v>0.95918918918918838</v>
      </c>
      <c r="AC57" s="442"/>
    </row>
    <row r="58" spans="1:29" ht="15.75" customHeight="1">
      <c r="A58" s="449" t="s">
        <v>1683</v>
      </c>
      <c r="B58" s="357" t="s">
        <v>79</v>
      </c>
      <c r="C58" s="441" t="s">
        <v>98</v>
      </c>
      <c r="D58" s="441"/>
      <c r="E58" s="31">
        <v>35.869999999999997</v>
      </c>
      <c r="F58" s="35">
        <v>2345</v>
      </c>
      <c r="G58" s="346">
        <f t="shared" si="71"/>
        <v>84115.15</v>
      </c>
      <c r="H58" s="359" t="s">
        <v>103</v>
      </c>
      <c r="I58" s="355">
        <v>10</v>
      </c>
      <c r="J58" s="26">
        <v>3000</v>
      </c>
      <c r="K58" s="10">
        <f t="shared" si="72"/>
        <v>300</v>
      </c>
      <c r="L58" s="19">
        <v>10</v>
      </c>
      <c r="M58" s="11">
        <f t="shared" si="73"/>
        <v>2871.428571428572</v>
      </c>
      <c r="N58" s="10">
        <f t="shared" si="77"/>
        <v>287.14285714285722</v>
      </c>
      <c r="O58" s="12">
        <f t="shared" si="74"/>
        <v>0</v>
      </c>
      <c r="P58" s="13">
        <f t="shared" si="75"/>
        <v>-12.857142857142776</v>
      </c>
      <c r="Q58" s="351">
        <f t="shared" si="78"/>
        <v>0.95714285714285741</v>
      </c>
      <c r="R58" s="442"/>
      <c r="S58" s="28">
        <v>0.28125</v>
      </c>
      <c r="T58" s="28">
        <v>0.31527777777777777</v>
      </c>
      <c r="U58" s="346">
        <f t="shared" ref="U58:U59" si="79">(S58-T57)*24*60</f>
        <v>4.9999999999999822</v>
      </c>
      <c r="V58" s="356">
        <f t="shared" si="76"/>
        <v>48.999999999999986</v>
      </c>
      <c r="W58" s="16"/>
      <c r="X58" s="16"/>
      <c r="Y58" s="443"/>
      <c r="Z58" s="443"/>
      <c r="AA58" s="12">
        <f t="shared" si="2"/>
        <v>-128.57142857142799</v>
      </c>
      <c r="AB58" s="351">
        <f t="shared" si="54"/>
        <v>0.9571428571428573</v>
      </c>
      <c r="AC58" s="442"/>
    </row>
    <row r="59" spans="1:29" ht="15.75" customHeight="1">
      <c r="A59" s="449" t="s">
        <v>1683</v>
      </c>
      <c r="B59" s="357" t="s">
        <v>53</v>
      </c>
      <c r="C59" s="441" t="s">
        <v>96</v>
      </c>
      <c r="D59" s="441"/>
      <c r="E59" s="31">
        <v>26.97</v>
      </c>
      <c r="F59" s="35">
        <v>3164</v>
      </c>
      <c r="G59" s="346">
        <f t="shared" si="71"/>
        <v>85333.08</v>
      </c>
      <c r="H59" s="359" t="s">
        <v>103</v>
      </c>
      <c r="I59" s="355">
        <v>8</v>
      </c>
      <c r="J59" s="26">
        <v>1500</v>
      </c>
      <c r="K59" s="10">
        <f t="shared" si="72"/>
        <v>187.5</v>
      </c>
      <c r="L59" s="19">
        <v>8</v>
      </c>
      <c r="M59" s="11">
        <f t="shared" si="73"/>
        <v>1438.181818181818</v>
      </c>
      <c r="N59" s="10">
        <f t="shared" si="77"/>
        <v>179.77272727272725</v>
      </c>
      <c r="O59" s="12">
        <f t="shared" si="74"/>
        <v>0</v>
      </c>
      <c r="P59" s="13">
        <f t="shared" si="75"/>
        <v>-7.7272727272727479</v>
      </c>
      <c r="Q59" s="351">
        <f t="shared" si="78"/>
        <v>0.95878787878787863</v>
      </c>
      <c r="R59" s="442"/>
      <c r="S59" s="28">
        <v>0.31944444444444442</v>
      </c>
      <c r="T59" s="28">
        <v>0.41111111111111109</v>
      </c>
      <c r="U59" s="346">
        <f t="shared" si="79"/>
        <v>5.9999999999999787</v>
      </c>
      <c r="V59" s="356">
        <f t="shared" si="76"/>
        <v>132</v>
      </c>
      <c r="W59" s="346"/>
      <c r="X59" s="346"/>
      <c r="Y59" s="443"/>
      <c r="Z59" s="443"/>
      <c r="AA59" s="12">
        <f t="shared" si="2"/>
        <v>-61.818181818181984</v>
      </c>
      <c r="AB59" s="351">
        <f t="shared" si="54"/>
        <v>0.95878787878787863</v>
      </c>
      <c r="AC59" s="442"/>
    </row>
    <row r="60" spans="1:29">
      <c r="A60" s="450" t="s">
        <v>1683</v>
      </c>
      <c r="B60" s="31" t="s">
        <v>1678</v>
      </c>
      <c r="C60" s="446"/>
      <c r="D60" s="446"/>
      <c r="E60" s="345"/>
      <c r="F60" s="33"/>
      <c r="G60" s="10"/>
      <c r="H60" s="357"/>
      <c r="I60" s="19">
        <v>10.25</v>
      </c>
      <c r="J60" s="26">
        <v>2375</v>
      </c>
      <c r="K60" s="10">
        <f>J60/I60</f>
        <v>231.70731707317074</v>
      </c>
      <c r="L60" s="19">
        <v>10.25</v>
      </c>
      <c r="M60" s="11">
        <f>AVERAGE(M56:M59)</f>
        <v>2282.2603498919284</v>
      </c>
      <c r="N60" s="10">
        <f>M60/L60</f>
        <v>222.65954633091985</v>
      </c>
      <c r="O60" s="12">
        <f>L60-I60</f>
        <v>0</v>
      </c>
      <c r="P60" s="13">
        <f>N60-K60</f>
        <v>-9.04777074225089</v>
      </c>
      <c r="Q60" s="351">
        <f>N60/K60</f>
        <v>0.96095172627028569</v>
      </c>
      <c r="R60" s="442"/>
      <c r="S60" s="28"/>
      <c r="T60" s="28"/>
      <c r="U60" s="10"/>
      <c r="V60" s="356"/>
      <c r="W60" s="10"/>
      <c r="X60" s="10"/>
      <c r="Y60" s="443"/>
      <c r="Z60" s="443"/>
      <c r="AA60" s="12">
        <f t="shared" si="2"/>
        <v>-92.739650108071601</v>
      </c>
      <c r="AB60" s="351">
        <f t="shared" si="54"/>
        <v>0.96095172627028569</v>
      </c>
      <c r="AC60" s="442"/>
    </row>
    <row r="61" spans="1:29" ht="15.75" customHeight="1">
      <c r="A61" s="439" t="s">
        <v>1686</v>
      </c>
      <c r="B61" s="357" t="s">
        <v>67</v>
      </c>
      <c r="C61" s="441" t="s">
        <v>99</v>
      </c>
      <c r="D61" s="441"/>
      <c r="E61" s="31">
        <v>20.2</v>
      </c>
      <c r="F61" s="357">
        <v>2496</v>
      </c>
      <c r="G61" s="346">
        <f t="shared" ref="G61:G70" si="80">E61*F61</f>
        <v>50419.199999999997</v>
      </c>
      <c r="H61" s="359" t="s">
        <v>103</v>
      </c>
      <c r="I61" s="355">
        <v>19</v>
      </c>
      <c r="J61" s="26">
        <v>2400</v>
      </c>
      <c r="K61" s="10">
        <f t="shared" ref="K61:K63" si="81">J61/I61</f>
        <v>126.31578947368421</v>
      </c>
      <c r="L61" s="19">
        <v>19</v>
      </c>
      <c r="M61" s="11">
        <f>F61/V61*60</f>
        <v>2304.0000000000005</v>
      </c>
      <c r="N61" s="10">
        <f t="shared" ref="N61:N70" si="82">M61/L61</f>
        <v>121.26315789473686</v>
      </c>
      <c r="O61" s="12">
        <f t="shared" ref="O61:O70" si="83">L61-I61</f>
        <v>0</v>
      </c>
      <c r="P61" s="13">
        <f t="shared" ref="P61:P70" si="84">N61-K61</f>
        <v>-5.0526315789473415</v>
      </c>
      <c r="Q61" s="351">
        <f>N61/K61</f>
        <v>0.96000000000000019</v>
      </c>
      <c r="R61" s="442">
        <f>Q71</f>
        <v>0.95807072482767774</v>
      </c>
      <c r="S61" s="28">
        <v>8.3333333333333329E-2</v>
      </c>
      <c r="T61" s="28">
        <v>0.12847222222222221</v>
      </c>
      <c r="U61" s="18"/>
      <c r="V61" s="356">
        <f t="shared" ref="V61:V70" si="85">(T61-S61)*24*60</f>
        <v>64.999999999999986</v>
      </c>
      <c r="W61" s="16">
        <f>T61</f>
        <v>0.12847222222222221</v>
      </c>
      <c r="X61" s="16">
        <f>S62</f>
        <v>0.14791666666666664</v>
      </c>
      <c r="Y61" s="443"/>
      <c r="Z61" s="443"/>
      <c r="AA61" s="12">
        <f t="shared" si="2"/>
        <v>-95.999999999999545</v>
      </c>
      <c r="AB61" s="351">
        <f>M61/J61</f>
        <v>0.96000000000000019</v>
      </c>
      <c r="AC61" s="442">
        <f>AB71</f>
        <v>0.95807072482767786</v>
      </c>
    </row>
    <row r="62" spans="1:29" ht="15.75" customHeight="1">
      <c r="A62" s="439" t="s">
        <v>1686</v>
      </c>
      <c r="B62" s="357" t="s">
        <v>67</v>
      </c>
      <c r="C62" s="441" t="s">
        <v>100</v>
      </c>
      <c r="D62" s="441"/>
      <c r="E62" s="31">
        <v>19.02</v>
      </c>
      <c r="F62" s="357">
        <v>5600</v>
      </c>
      <c r="G62" s="346">
        <f t="shared" si="80"/>
        <v>106512</v>
      </c>
      <c r="H62" s="359">
        <v>2</v>
      </c>
      <c r="I62" s="355">
        <v>15</v>
      </c>
      <c r="J62" s="26">
        <v>2400</v>
      </c>
      <c r="K62" s="10">
        <f t="shared" si="81"/>
        <v>160</v>
      </c>
      <c r="L62" s="19">
        <v>15</v>
      </c>
      <c r="M62" s="11">
        <f t="shared" ref="M62:M70" si="86">F62/V62*60</f>
        <v>2285.7142857142853</v>
      </c>
      <c r="N62" s="10">
        <f t="shared" si="82"/>
        <v>152.38095238095235</v>
      </c>
      <c r="O62" s="12">
        <f t="shared" si="83"/>
        <v>0</v>
      </c>
      <c r="P62" s="13">
        <f t="shared" si="84"/>
        <v>-7.6190476190476488</v>
      </c>
      <c r="Q62" s="351">
        <f t="shared" ref="Q62:Q71" si="87">N62/K62</f>
        <v>0.95238095238095222</v>
      </c>
      <c r="R62" s="442"/>
      <c r="S62" s="28">
        <v>0.14791666666666664</v>
      </c>
      <c r="T62" s="28">
        <v>0.25</v>
      </c>
      <c r="U62" s="346">
        <f>(S62-T61)*24*60</f>
        <v>27.999999999999979</v>
      </c>
      <c r="V62" s="356">
        <f t="shared" si="85"/>
        <v>147.00000000000003</v>
      </c>
      <c r="W62" s="16"/>
      <c r="X62" s="16"/>
      <c r="Y62" s="443"/>
      <c r="Z62" s="443"/>
      <c r="AA62" s="12">
        <f t="shared" si="2"/>
        <v>-114.28571428571468</v>
      </c>
      <c r="AB62" s="351">
        <f t="shared" ref="AB62:AB71" si="88">M62/J62</f>
        <v>0.95238095238095222</v>
      </c>
      <c r="AC62" s="442"/>
    </row>
    <row r="63" spans="1:29" ht="15.75" customHeight="1">
      <c r="A63" s="439" t="s">
        <v>1686</v>
      </c>
      <c r="B63" s="357" t="s">
        <v>67</v>
      </c>
      <c r="C63" s="441" t="s">
        <v>70</v>
      </c>
      <c r="D63" s="441"/>
      <c r="E63" s="31">
        <v>24.25</v>
      </c>
      <c r="F63" s="357">
        <v>3274</v>
      </c>
      <c r="G63" s="346">
        <f t="shared" si="80"/>
        <v>79394.5</v>
      </c>
      <c r="H63" s="359" t="s">
        <v>103</v>
      </c>
      <c r="I63" s="355">
        <v>18</v>
      </c>
      <c r="J63" s="26">
        <v>2400</v>
      </c>
      <c r="K63" s="10">
        <f t="shared" si="81"/>
        <v>133.33333333333334</v>
      </c>
      <c r="L63" s="19">
        <v>18</v>
      </c>
      <c r="M63" s="11">
        <f t="shared" si="86"/>
        <v>2284.1860465116274</v>
      </c>
      <c r="N63" s="10">
        <f t="shared" si="82"/>
        <v>126.89922480620152</v>
      </c>
      <c r="O63" s="12">
        <f t="shared" si="83"/>
        <v>0</v>
      </c>
      <c r="P63" s="13">
        <f t="shared" si="84"/>
        <v>-6.4341085271318263</v>
      </c>
      <c r="Q63" s="351">
        <f t="shared" si="87"/>
        <v>0.95174418604651134</v>
      </c>
      <c r="R63" s="442"/>
      <c r="S63" s="28">
        <v>0.25416666666666665</v>
      </c>
      <c r="T63" s="28">
        <v>0.31388888888888888</v>
      </c>
      <c r="U63" s="346">
        <f t="shared" ref="U63:U70" si="89">(S63-T62)*24*60</f>
        <v>5.9999999999999787</v>
      </c>
      <c r="V63" s="356">
        <f t="shared" si="85"/>
        <v>86.000000000000014</v>
      </c>
      <c r="W63" s="16"/>
      <c r="X63" s="16"/>
      <c r="Y63" s="443"/>
      <c r="Z63" s="443"/>
      <c r="AA63" s="12">
        <f t="shared" si="2"/>
        <v>-115.81395348837259</v>
      </c>
      <c r="AB63" s="351">
        <f t="shared" si="88"/>
        <v>0.95174418604651145</v>
      </c>
      <c r="AC63" s="442"/>
    </row>
    <row r="64" spans="1:29" ht="15.75" customHeight="1">
      <c r="A64" s="439" t="s">
        <v>1686</v>
      </c>
      <c r="B64" s="357" t="s">
        <v>67</v>
      </c>
      <c r="C64" s="441" t="s">
        <v>102</v>
      </c>
      <c r="D64" s="441"/>
      <c r="E64" s="31">
        <v>20.52</v>
      </c>
      <c r="F64" s="357">
        <v>2400</v>
      </c>
      <c r="G64" s="346">
        <f t="shared" si="80"/>
        <v>49248</v>
      </c>
      <c r="H64" s="359">
        <v>2</v>
      </c>
      <c r="I64" s="355">
        <v>18</v>
      </c>
      <c r="J64" s="26">
        <v>2400</v>
      </c>
      <c r="K64" s="10">
        <f>J64/I64</f>
        <v>133.33333333333334</v>
      </c>
      <c r="L64" s="19">
        <v>18</v>
      </c>
      <c r="M64" s="11">
        <f t="shared" si="86"/>
        <v>2285.7142857142853</v>
      </c>
      <c r="N64" s="10">
        <f t="shared" si="82"/>
        <v>126.98412698412696</v>
      </c>
      <c r="O64" s="12">
        <f t="shared" si="83"/>
        <v>0</v>
      </c>
      <c r="P64" s="13">
        <f t="shared" si="84"/>
        <v>-6.3492063492063835</v>
      </c>
      <c r="Q64" s="351">
        <f t="shared" si="87"/>
        <v>0.95238095238095211</v>
      </c>
      <c r="R64" s="442"/>
      <c r="S64" s="28">
        <v>0.31805555555555554</v>
      </c>
      <c r="T64" s="28">
        <v>0.36180555555555555</v>
      </c>
      <c r="U64" s="346">
        <f t="shared" si="89"/>
        <v>5.9999999999999787</v>
      </c>
      <c r="V64" s="356">
        <f t="shared" si="85"/>
        <v>63.000000000000014</v>
      </c>
      <c r="W64" s="16"/>
      <c r="X64" s="16"/>
      <c r="Y64" s="443"/>
      <c r="Z64" s="443"/>
      <c r="AA64" s="12">
        <f t="shared" si="2"/>
        <v>-114.28571428571468</v>
      </c>
      <c r="AB64" s="351">
        <f t="shared" si="88"/>
        <v>0.95238095238095222</v>
      </c>
      <c r="AC64" s="442"/>
    </row>
    <row r="65" spans="1:29" ht="15.75" customHeight="1">
      <c r="A65" s="439" t="s">
        <v>1686</v>
      </c>
      <c r="B65" s="357" t="s">
        <v>67</v>
      </c>
      <c r="C65" s="441" t="s">
        <v>1161</v>
      </c>
      <c r="D65" s="441"/>
      <c r="E65" s="31">
        <v>24.25</v>
      </c>
      <c r="F65" s="357">
        <v>3100</v>
      </c>
      <c r="G65" s="346">
        <f t="shared" si="80"/>
        <v>75175</v>
      </c>
      <c r="H65" s="359">
        <v>2</v>
      </c>
      <c r="I65" s="355">
        <v>17</v>
      </c>
      <c r="J65" s="26">
        <v>2400</v>
      </c>
      <c r="K65" s="10">
        <f t="shared" ref="K65:K71" si="90">J65/I65</f>
        <v>141.1764705882353</v>
      </c>
      <c r="L65" s="19">
        <v>17</v>
      </c>
      <c r="M65" s="11">
        <f t="shared" si="86"/>
        <v>2296.2962962962956</v>
      </c>
      <c r="N65" s="10">
        <f t="shared" si="82"/>
        <v>135.07625272331151</v>
      </c>
      <c r="O65" s="12">
        <f t="shared" si="83"/>
        <v>0</v>
      </c>
      <c r="P65" s="13">
        <f t="shared" si="84"/>
        <v>-6.1002178649237919</v>
      </c>
      <c r="Q65" s="351">
        <f t="shared" si="87"/>
        <v>0.95679012345678982</v>
      </c>
      <c r="R65" s="442"/>
      <c r="S65" s="28">
        <v>0.36666666666666664</v>
      </c>
      <c r="T65" s="28">
        <v>0.42291666666666666</v>
      </c>
      <c r="U65" s="346">
        <f t="shared" si="89"/>
        <v>6.9999999999999751</v>
      </c>
      <c r="V65" s="356">
        <f t="shared" si="85"/>
        <v>81.000000000000028</v>
      </c>
      <c r="W65" s="16"/>
      <c r="X65" s="16"/>
      <c r="Y65" s="443"/>
      <c r="Z65" s="443"/>
      <c r="AA65" s="12">
        <f t="shared" si="2"/>
        <v>-103.70370370370438</v>
      </c>
      <c r="AB65" s="351">
        <f t="shared" si="88"/>
        <v>0.95679012345678982</v>
      </c>
      <c r="AC65" s="442"/>
    </row>
    <row r="66" spans="1:29" ht="15.75" customHeight="1">
      <c r="A66" s="439" t="s">
        <v>1686</v>
      </c>
      <c r="B66" s="357" t="s">
        <v>67</v>
      </c>
      <c r="C66" s="441" t="s">
        <v>71</v>
      </c>
      <c r="D66" s="441"/>
      <c r="E66" s="31">
        <v>22.35</v>
      </c>
      <c r="F66" s="357">
        <v>1962</v>
      </c>
      <c r="G66" s="346">
        <f t="shared" si="80"/>
        <v>43850.700000000004</v>
      </c>
      <c r="H66" s="359" t="s">
        <v>103</v>
      </c>
      <c r="I66" s="355">
        <v>16</v>
      </c>
      <c r="J66" s="26">
        <v>2400</v>
      </c>
      <c r="K66" s="10">
        <f t="shared" si="90"/>
        <v>150</v>
      </c>
      <c r="L66" s="19">
        <v>16</v>
      </c>
      <c r="M66" s="11">
        <f t="shared" si="86"/>
        <v>2308.2352941176478</v>
      </c>
      <c r="N66" s="10">
        <f t="shared" si="82"/>
        <v>144.26470588235298</v>
      </c>
      <c r="O66" s="12">
        <f t="shared" si="83"/>
        <v>0</v>
      </c>
      <c r="P66" s="13">
        <f t="shared" si="84"/>
        <v>-5.7352941176470154</v>
      </c>
      <c r="Q66" s="351">
        <f t="shared" si="87"/>
        <v>0.96176470588235319</v>
      </c>
      <c r="R66" s="442"/>
      <c r="S66" s="28">
        <v>0.42708333333333331</v>
      </c>
      <c r="T66" s="28">
        <v>0.46249999999999997</v>
      </c>
      <c r="U66" s="346">
        <f t="shared" si="89"/>
        <v>5.9999999999999787</v>
      </c>
      <c r="V66" s="356">
        <f t="shared" si="85"/>
        <v>50.999999999999979</v>
      </c>
      <c r="W66" s="16"/>
      <c r="X66" s="16"/>
      <c r="Y66" s="443"/>
      <c r="Z66" s="443"/>
      <c r="AA66" s="12">
        <f t="shared" si="2"/>
        <v>-91.764705882352246</v>
      </c>
      <c r="AB66" s="351">
        <f t="shared" si="88"/>
        <v>0.96176470588235319</v>
      </c>
      <c r="AC66" s="442"/>
    </row>
    <row r="67" spans="1:29" ht="15.75" customHeight="1">
      <c r="A67" s="439" t="s">
        <v>1686</v>
      </c>
      <c r="B67" s="357" t="s">
        <v>67</v>
      </c>
      <c r="C67" s="444" t="s">
        <v>74</v>
      </c>
      <c r="D67" s="445"/>
      <c r="E67" s="31">
        <v>24.45</v>
      </c>
      <c r="F67" s="357">
        <v>2281</v>
      </c>
      <c r="G67" s="346">
        <f t="shared" si="80"/>
        <v>55770.45</v>
      </c>
      <c r="H67" s="359" t="s">
        <v>103</v>
      </c>
      <c r="I67" s="355">
        <v>20</v>
      </c>
      <c r="J67" s="26">
        <v>2400</v>
      </c>
      <c r="K67" s="10">
        <f t="shared" si="90"/>
        <v>120</v>
      </c>
      <c r="L67" s="19">
        <v>20</v>
      </c>
      <c r="M67" s="11">
        <f t="shared" si="86"/>
        <v>2319.6610169491514</v>
      </c>
      <c r="N67" s="10">
        <f t="shared" si="82"/>
        <v>115.98305084745758</v>
      </c>
      <c r="O67" s="12">
        <f t="shared" si="83"/>
        <v>0</v>
      </c>
      <c r="P67" s="13">
        <f t="shared" si="84"/>
        <v>-4.0169491525424235</v>
      </c>
      <c r="Q67" s="351">
        <f t="shared" si="87"/>
        <v>0.96652542372881312</v>
      </c>
      <c r="R67" s="442"/>
      <c r="S67" s="28">
        <v>0.4680555555555555</v>
      </c>
      <c r="T67" s="28">
        <v>0.50902777777777775</v>
      </c>
      <c r="U67" s="346">
        <f t="shared" si="89"/>
        <v>7.9999999999999716</v>
      </c>
      <c r="V67" s="356">
        <f t="shared" si="85"/>
        <v>59.000000000000028</v>
      </c>
      <c r="W67" s="16">
        <f>T67</f>
        <v>0.50902777777777775</v>
      </c>
      <c r="X67" s="16">
        <f>S68</f>
        <v>0.54722222222222217</v>
      </c>
      <c r="Y67" s="447"/>
      <c r="Z67" s="448"/>
      <c r="AA67" s="12">
        <f t="shared" si="2"/>
        <v>-80.338983050848583</v>
      </c>
      <c r="AB67" s="351">
        <f t="shared" si="88"/>
        <v>0.96652542372881312</v>
      </c>
      <c r="AC67" s="442"/>
    </row>
    <row r="68" spans="1:29" ht="15.75" customHeight="1">
      <c r="A68" s="439" t="s">
        <v>1686</v>
      </c>
      <c r="B68" s="357" t="s">
        <v>67</v>
      </c>
      <c r="C68" s="444" t="s">
        <v>100</v>
      </c>
      <c r="D68" s="445"/>
      <c r="E68" s="31">
        <v>19.02</v>
      </c>
      <c r="F68" s="357">
        <v>4388</v>
      </c>
      <c r="G68" s="346">
        <f t="shared" si="80"/>
        <v>83459.759999999995</v>
      </c>
      <c r="H68" s="359" t="s">
        <v>103</v>
      </c>
      <c r="I68" s="355">
        <v>15</v>
      </c>
      <c r="J68" s="26">
        <v>2400</v>
      </c>
      <c r="K68" s="10">
        <f t="shared" si="90"/>
        <v>160</v>
      </c>
      <c r="L68" s="19">
        <v>15</v>
      </c>
      <c r="M68" s="11">
        <f t="shared" si="86"/>
        <v>2289.3913043478246</v>
      </c>
      <c r="N68" s="10">
        <f t="shared" si="82"/>
        <v>152.62608695652165</v>
      </c>
      <c r="O68" s="12">
        <f t="shared" si="83"/>
        <v>0</v>
      </c>
      <c r="P68" s="13">
        <f t="shared" si="84"/>
        <v>-7.3739130434783533</v>
      </c>
      <c r="Q68" s="351">
        <f t="shared" si="87"/>
        <v>0.95391304347826034</v>
      </c>
      <c r="R68" s="442"/>
      <c r="S68" s="28">
        <v>0.54722222222222217</v>
      </c>
      <c r="T68" s="28">
        <v>0.62708333333333333</v>
      </c>
      <c r="U68" s="346">
        <f t="shared" si="89"/>
        <v>54.999999999999964</v>
      </c>
      <c r="V68" s="356">
        <f t="shared" si="85"/>
        <v>115.00000000000007</v>
      </c>
      <c r="W68" s="16"/>
      <c r="X68" s="16"/>
      <c r="Y68" s="447"/>
      <c r="Z68" s="448"/>
      <c r="AA68" s="12">
        <f t="shared" si="2"/>
        <v>-110.60869565217536</v>
      </c>
      <c r="AB68" s="351">
        <f t="shared" si="88"/>
        <v>0.95391304347826023</v>
      </c>
      <c r="AC68" s="442"/>
    </row>
    <row r="69" spans="1:29" ht="15.75" customHeight="1">
      <c r="A69" s="439" t="s">
        <v>1686</v>
      </c>
      <c r="B69" s="357" t="s">
        <v>67</v>
      </c>
      <c r="C69" s="444" t="s">
        <v>102</v>
      </c>
      <c r="D69" s="445"/>
      <c r="E69" s="31">
        <v>20.52</v>
      </c>
      <c r="F69" s="357">
        <v>1886</v>
      </c>
      <c r="G69" s="346">
        <f t="shared" si="80"/>
        <v>38700.720000000001</v>
      </c>
      <c r="H69" s="359" t="s">
        <v>103</v>
      </c>
      <c r="I69" s="355">
        <v>18</v>
      </c>
      <c r="J69" s="26">
        <v>2400</v>
      </c>
      <c r="K69" s="10">
        <f t="shared" si="90"/>
        <v>133.33333333333334</v>
      </c>
      <c r="L69" s="19">
        <v>18</v>
      </c>
      <c r="M69" s="11">
        <f t="shared" si="86"/>
        <v>2309.3877551020414</v>
      </c>
      <c r="N69" s="10">
        <f t="shared" si="82"/>
        <v>128.2993197278912</v>
      </c>
      <c r="O69" s="12">
        <f t="shared" si="83"/>
        <v>0</v>
      </c>
      <c r="P69" s="13">
        <f t="shared" si="84"/>
        <v>-5.0340136054421407</v>
      </c>
      <c r="Q69" s="351">
        <f t="shared" si="87"/>
        <v>0.962244897959184</v>
      </c>
      <c r="R69" s="442"/>
      <c r="S69" s="28">
        <v>0.63194444444444442</v>
      </c>
      <c r="T69" s="28">
        <v>0.66597222222222219</v>
      </c>
      <c r="U69" s="346">
        <f t="shared" si="89"/>
        <v>6.9999999999999751</v>
      </c>
      <c r="V69" s="356">
        <f t="shared" si="85"/>
        <v>48.999999999999986</v>
      </c>
      <c r="W69" s="16"/>
      <c r="X69" s="16"/>
      <c r="Y69" s="447"/>
      <c r="Z69" s="448"/>
      <c r="AA69" s="12">
        <f t="shared" ref="AA69:AA71" si="91">M69-J69</f>
        <v>-90.61224489795859</v>
      </c>
      <c r="AB69" s="351">
        <f t="shared" si="88"/>
        <v>0.96224489795918389</v>
      </c>
      <c r="AC69" s="442"/>
    </row>
    <row r="70" spans="1:29" ht="15.75" customHeight="1">
      <c r="A70" s="439" t="s">
        <v>1686</v>
      </c>
      <c r="B70" s="357" t="s">
        <v>67</v>
      </c>
      <c r="C70" s="444" t="s">
        <v>1161</v>
      </c>
      <c r="D70" s="445"/>
      <c r="E70" s="31">
        <v>24.25</v>
      </c>
      <c r="F70" s="357">
        <v>2080</v>
      </c>
      <c r="G70" s="346">
        <f t="shared" si="80"/>
        <v>50440</v>
      </c>
      <c r="H70" s="359" t="s">
        <v>103</v>
      </c>
      <c r="I70" s="355">
        <v>17</v>
      </c>
      <c r="J70" s="26">
        <v>2400</v>
      </c>
      <c r="K70" s="10">
        <f t="shared" si="90"/>
        <v>141.1764705882353</v>
      </c>
      <c r="L70" s="19">
        <v>17</v>
      </c>
      <c r="M70" s="11">
        <f t="shared" si="86"/>
        <v>2311.1111111111122</v>
      </c>
      <c r="N70" s="10">
        <f t="shared" si="82"/>
        <v>135.94771241830071</v>
      </c>
      <c r="O70" s="12">
        <f t="shared" si="83"/>
        <v>0</v>
      </c>
      <c r="P70" s="13">
        <f t="shared" si="84"/>
        <v>-5.2287581699345935</v>
      </c>
      <c r="Q70" s="351">
        <f t="shared" si="87"/>
        <v>0.96296296296296335</v>
      </c>
      <c r="R70" s="442"/>
      <c r="S70" s="28">
        <v>0.67013888888888884</v>
      </c>
      <c r="T70" s="28">
        <v>0.70763888888888882</v>
      </c>
      <c r="U70" s="346">
        <f t="shared" si="89"/>
        <v>5.9999999999999787</v>
      </c>
      <c r="V70" s="356">
        <f t="shared" si="85"/>
        <v>53.999999999999972</v>
      </c>
      <c r="W70" s="16"/>
      <c r="X70" s="16"/>
      <c r="Y70" s="447"/>
      <c r="Z70" s="448"/>
      <c r="AA70" s="12">
        <f t="shared" si="91"/>
        <v>-88.888888888887777</v>
      </c>
      <c r="AB70" s="351">
        <f t="shared" si="88"/>
        <v>0.96296296296296346</v>
      </c>
      <c r="AC70" s="442"/>
    </row>
    <row r="71" spans="1:29" ht="16.5" customHeight="1">
      <c r="A71" s="440" t="s">
        <v>1686</v>
      </c>
      <c r="B71" s="31" t="s">
        <v>1678</v>
      </c>
      <c r="C71" s="446"/>
      <c r="D71" s="446"/>
      <c r="E71" s="345"/>
      <c r="F71" s="33"/>
      <c r="G71" s="10"/>
      <c r="H71" s="357"/>
      <c r="I71" s="19">
        <v>17.3</v>
      </c>
      <c r="J71" s="26">
        <v>2400</v>
      </c>
      <c r="K71" s="10">
        <f t="shared" si="90"/>
        <v>138.72832369942196</v>
      </c>
      <c r="L71" s="19">
        <v>17.3</v>
      </c>
      <c r="M71" s="11">
        <f>AVERAGE(M61:M70)</f>
        <v>2299.3697395864269</v>
      </c>
      <c r="N71" s="10">
        <f>M71/L71</f>
        <v>132.91154564083391</v>
      </c>
      <c r="O71" s="12">
        <f>L71-I71</f>
        <v>0</v>
      </c>
      <c r="P71" s="13">
        <f>N71-K71</f>
        <v>-5.8167780585880564</v>
      </c>
      <c r="Q71" s="351">
        <f t="shared" si="87"/>
        <v>0.95807072482767774</v>
      </c>
      <c r="R71" s="442"/>
      <c r="S71" s="28"/>
      <c r="T71" s="28"/>
      <c r="U71" s="10"/>
      <c r="V71" s="356"/>
      <c r="W71" s="10"/>
      <c r="X71" s="10"/>
      <c r="Y71" s="443"/>
      <c r="Z71" s="443"/>
      <c r="AA71" s="12">
        <f t="shared" si="91"/>
        <v>-100.63026041357307</v>
      </c>
      <c r="AB71" s="351">
        <f t="shared" si="88"/>
        <v>0.95807072482767786</v>
      </c>
      <c r="AC71" s="442"/>
    </row>
    <row r="72" spans="1:29">
      <c r="D72" s="22"/>
      <c r="E72" s="22"/>
    </row>
  </sheetData>
  <mergeCells count="190">
    <mergeCell ref="AC61:AC71"/>
    <mergeCell ref="C62:D62"/>
    <mergeCell ref="Y62:Z62"/>
    <mergeCell ref="C63:D63"/>
    <mergeCell ref="Y63:Z63"/>
    <mergeCell ref="C64:D64"/>
    <mergeCell ref="C71:D71"/>
    <mergeCell ref="Y71:Z71"/>
    <mergeCell ref="C68:D68"/>
    <mergeCell ref="Y68:Z68"/>
    <mergeCell ref="C69:D69"/>
    <mergeCell ref="Y69:Z69"/>
    <mergeCell ref="C70:D70"/>
    <mergeCell ref="Y70:Z70"/>
    <mergeCell ref="Y64:Z64"/>
    <mergeCell ref="C65:D65"/>
    <mergeCell ref="Y65:Z65"/>
    <mergeCell ref="C66:D66"/>
    <mergeCell ref="Y66:Z66"/>
    <mergeCell ref="C67:D67"/>
    <mergeCell ref="A56:A60"/>
    <mergeCell ref="C56:D56"/>
    <mergeCell ref="R56:R60"/>
    <mergeCell ref="Y56:Z56"/>
    <mergeCell ref="A49:A55"/>
    <mergeCell ref="C49:D49"/>
    <mergeCell ref="R49:R55"/>
    <mergeCell ref="Y49:Z49"/>
    <mergeCell ref="Y67:Z67"/>
    <mergeCell ref="A61:A71"/>
    <mergeCell ref="C61:D61"/>
    <mergeCell ref="R61:R71"/>
    <mergeCell ref="Y61:Z61"/>
    <mergeCell ref="AC56:AC60"/>
    <mergeCell ref="C57:D57"/>
    <mergeCell ref="Y57:Z57"/>
    <mergeCell ref="C58:D58"/>
    <mergeCell ref="Y58:Z58"/>
    <mergeCell ref="C59:D59"/>
    <mergeCell ref="Y59:Z59"/>
    <mergeCell ref="C60:D60"/>
    <mergeCell ref="Y60:Z60"/>
    <mergeCell ref="AC49:AC55"/>
    <mergeCell ref="C50:D50"/>
    <mergeCell ref="Y50:Z50"/>
    <mergeCell ref="C51:D51"/>
    <mergeCell ref="C54:D54"/>
    <mergeCell ref="Y54:Z54"/>
    <mergeCell ref="Y45:Z45"/>
    <mergeCell ref="C46:D46"/>
    <mergeCell ref="Y46:Z46"/>
    <mergeCell ref="C47:D47"/>
    <mergeCell ref="Y47:Z47"/>
    <mergeCell ref="C48:D48"/>
    <mergeCell ref="Y48:Z48"/>
    <mergeCell ref="C55:D55"/>
    <mergeCell ref="Y55:Z55"/>
    <mergeCell ref="A42:A48"/>
    <mergeCell ref="C42:D42"/>
    <mergeCell ref="R42:R48"/>
    <mergeCell ref="Y42:Z42"/>
    <mergeCell ref="AC42:AC48"/>
    <mergeCell ref="C43:D43"/>
    <mergeCell ref="Y43:Z43"/>
    <mergeCell ref="C44:D44"/>
    <mergeCell ref="Y44:Z44"/>
    <mergeCell ref="C45:D45"/>
    <mergeCell ref="AC32:AC41"/>
    <mergeCell ref="C33:D33"/>
    <mergeCell ref="Y33:Z33"/>
    <mergeCell ref="C34:D34"/>
    <mergeCell ref="Y34:Z34"/>
    <mergeCell ref="C35:D35"/>
    <mergeCell ref="Y35:Z35"/>
    <mergeCell ref="C36:D36"/>
    <mergeCell ref="Y36:Z36"/>
    <mergeCell ref="C37:D37"/>
    <mergeCell ref="A23:A31"/>
    <mergeCell ref="C23:D23"/>
    <mergeCell ref="R23:R31"/>
    <mergeCell ref="Y23:Z23"/>
    <mergeCell ref="C30:D30"/>
    <mergeCell ref="Y30:Z30"/>
    <mergeCell ref="C31:D31"/>
    <mergeCell ref="Y31:Z31"/>
    <mergeCell ref="A32:A41"/>
    <mergeCell ref="C32:D32"/>
    <mergeCell ref="R32:R41"/>
    <mergeCell ref="Y32:Z32"/>
    <mergeCell ref="Y37:Z37"/>
    <mergeCell ref="C38:D38"/>
    <mergeCell ref="Y38:Z38"/>
    <mergeCell ref="C39:D39"/>
    <mergeCell ref="Y39:Z39"/>
    <mergeCell ref="C40:D40"/>
    <mergeCell ref="Y40:Z40"/>
    <mergeCell ref="C41:D41"/>
    <mergeCell ref="Y41:Z41"/>
    <mergeCell ref="AC23:AC31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6:Z26"/>
    <mergeCell ref="C27:D27"/>
    <mergeCell ref="Y27:Z27"/>
    <mergeCell ref="C28:D28"/>
    <mergeCell ref="Y28:Z28"/>
    <mergeCell ref="C29:D29"/>
    <mergeCell ref="Y29:Z29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9:O66 O71 O5:O12 O16:O41 O49:O56">
    <cfRule type="cellIs" dxfId="1480" priority="59" operator="greaterThan">
      <formula>0</formula>
    </cfRule>
  </conditionalFormatting>
  <conditionalFormatting sqref="P5:P7 P59 AA59 P61:P66 P23:P30 P56 P9:P12 AA61:AA71 P17:P21 P49:P54 P32:P41 AA5:AA56">
    <cfRule type="cellIs" dxfId="1479" priority="63" operator="lessThan">
      <formula>0</formula>
    </cfRule>
  </conditionalFormatting>
  <conditionalFormatting sqref="AB59 Q59:Q66 Q71 Q5:Q12 AB61:AB71 Q16:Q41 AB5:AB56 Q49:Q56">
    <cfRule type="cellIs" dxfId="1478" priority="60" operator="greaterThan">
      <formula>1</formula>
    </cfRule>
    <cfRule type="cellIs" dxfId="1477" priority="61" operator="lessThan">
      <formula>0.8</formula>
    </cfRule>
  </conditionalFormatting>
  <conditionalFormatting sqref="AC11:AC12 R11:R12 AC59 R59:R66 R16:R39 AC16:AC39 R71 AC5:AC9 R5:R9 AC41:AC56 R41 R49:R56">
    <cfRule type="cellIs" dxfId="1476" priority="65" operator="lessThan">
      <formula>0.8</formula>
    </cfRule>
  </conditionalFormatting>
  <conditionalFormatting sqref="AC42">
    <cfRule type="cellIs" dxfId="1475" priority="67" operator="lessThan">
      <formula>0.8</formula>
    </cfRule>
  </conditionalFormatting>
  <conditionalFormatting sqref="AC17:AC21">
    <cfRule type="cellIs" dxfId="1474" priority="64" operator="lessThan">
      <formula>0.8</formula>
    </cfRule>
  </conditionalFormatting>
  <conditionalFormatting sqref="AC23">
    <cfRule type="cellIs" dxfId="1473" priority="66" operator="lessThan">
      <formula>0.8</formula>
    </cfRule>
  </conditionalFormatting>
  <conditionalFormatting sqref="AC32:AC39">
    <cfRule type="cellIs" dxfId="1472" priority="62" operator="lessThan">
      <formula>0.8</formula>
    </cfRule>
  </conditionalFormatting>
  <conditionalFormatting sqref="AA60">
    <cfRule type="cellIs" dxfId="1471" priority="58" operator="lessThan">
      <formula>0</formula>
    </cfRule>
  </conditionalFormatting>
  <conditionalFormatting sqref="AB60">
    <cfRule type="cellIs" dxfId="1470" priority="56" operator="greaterThan">
      <formula>1</formula>
    </cfRule>
    <cfRule type="cellIs" dxfId="1469" priority="57" operator="lessThan">
      <formula>0.8</formula>
    </cfRule>
  </conditionalFormatting>
  <conditionalFormatting sqref="O13:O14">
    <cfRule type="cellIs" dxfId="1468" priority="51" operator="greaterThan">
      <formula>0</formula>
    </cfRule>
  </conditionalFormatting>
  <conditionalFormatting sqref="P13:P14">
    <cfRule type="cellIs" dxfId="1467" priority="54" operator="lessThan">
      <formula>0</formula>
    </cfRule>
  </conditionalFormatting>
  <conditionalFormatting sqref="Q13:Q14">
    <cfRule type="cellIs" dxfId="1466" priority="52" operator="greaterThan">
      <formula>1</formula>
    </cfRule>
    <cfRule type="cellIs" dxfId="1465" priority="53" operator="lessThan">
      <formula>0.8</formula>
    </cfRule>
  </conditionalFormatting>
  <conditionalFormatting sqref="R13:R14 AC13:AC14">
    <cfRule type="cellIs" dxfId="1464" priority="55" operator="lessThan">
      <formula>0.8</formula>
    </cfRule>
  </conditionalFormatting>
  <conditionalFormatting sqref="R40 AC40">
    <cfRule type="cellIs" dxfId="1463" priority="50" operator="lessThan">
      <formula>0.8</formula>
    </cfRule>
  </conditionalFormatting>
  <conditionalFormatting sqref="AC40">
    <cfRule type="cellIs" dxfId="1462" priority="49" operator="lessThan">
      <formula>0.8</formula>
    </cfRule>
  </conditionalFormatting>
  <conditionalFormatting sqref="O58">
    <cfRule type="cellIs" dxfId="1461" priority="44" operator="greaterThan">
      <formula>0</formula>
    </cfRule>
  </conditionalFormatting>
  <conditionalFormatting sqref="P58 AA58">
    <cfRule type="cellIs" dxfId="1460" priority="47" operator="lessThan">
      <formula>0</formula>
    </cfRule>
  </conditionalFormatting>
  <conditionalFormatting sqref="Q58 AB58">
    <cfRule type="cellIs" dxfId="1459" priority="45" operator="greaterThan">
      <formula>1</formula>
    </cfRule>
    <cfRule type="cellIs" dxfId="1458" priority="46" operator="lessThan">
      <formula>0.8</formula>
    </cfRule>
  </conditionalFormatting>
  <conditionalFormatting sqref="R58 AC58">
    <cfRule type="cellIs" dxfId="1457" priority="48" operator="lessThan">
      <formula>0.8</formula>
    </cfRule>
  </conditionalFormatting>
  <conditionalFormatting sqref="O67">
    <cfRule type="cellIs" dxfId="1456" priority="39" operator="greaterThan">
      <formula>0</formula>
    </cfRule>
  </conditionalFormatting>
  <conditionalFormatting sqref="P67">
    <cfRule type="cellIs" dxfId="1455" priority="42" operator="lessThan">
      <formula>0</formula>
    </cfRule>
  </conditionalFormatting>
  <conditionalFormatting sqref="Q67">
    <cfRule type="cellIs" dxfId="1454" priority="40" operator="greaterThan">
      <formula>1</formula>
    </cfRule>
    <cfRule type="cellIs" dxfId="1453" priority="41" operator="lessThan">
      <formula>0.8</formula>
    </cfRule>
  </conditionalFormatting>
  <conditionalFormatting sqref="R67">
    <cfRule type="cellIs" dxfId="1452" priority="43" operator="lessThan">
      <formula>0.8</formula>
    </cfRule>
  </conditionalFormatting>
  <conditionalFormatting sqref="O15">
    <cfRule type="cellIs" dxfId="1451" priority="34" operator="greaterThan">
      <formula>0</formula>
    </cfRule>
  </conditionalFormatting>
  <conditionalFormatting sqref="P15">
    <cfRule type="cellIs" dxfId="1450" priority="37" operator="lessThan">
      <formula>0</formula>
    </cfRule>
  </conditionalFormatting>
  <conditionalFormatting sqref="Q15">
    <cfRule type="cellIs" dxfId="1449" priority="35" operator="greaterThan">
      <formula>1</formula>
    </cfRule>
    <cfRule type="cellIs" dxfId="1448" priority="36" operator="lessThan">
      <formula>0.8</formula>
    </cfRule>
  </conditionalFormatting>
  <conditionalFormatting sqref="R15 AC15">
    <cfRule type="cellIs" dxfId="1447" priority="38" operator="lessThan">
      <formula>0.8</formula>
    </cfRule>
  </conditionalFormatting>
  <conditionalFormatting sqref="O57">
    <cfRule type="cellIs" dxfId="1446" priority="29" operator="greaterThan">
      <formula>0</formula>
    </cfRule>
  </conditionalFormatting>
  <conditionalFormatting sqref="P57 AA57">
    <cfRule type="cellIs" dxfId="1445" priority="32" operator="lessThan">
      <formula>0</formula>
    </cfRule>
  </conditionalFormatting>
  <conditionalFormatting sqref="Q57 AB57">
    <cfRule type="cellIs" dxfId="1444" priority="30" operator="greaterThan">
      <formula>1</formula>
    </cfRule>
    <cfRule type="cellIs" dxfId="1443" priority="31" operator="lessThan">
      <formula>0.8</formula>
    </cfRule>
  </conditionalFormatting>
  <conditionalFormatting sqref="R57 AC57">
    <cfRule type="cellIs" dxfId="1442" priority="33" operator="lessThan">
      <formula>0.8</formula>
    </cfRule>
  </conditionalFormatting>
  <conditionalFormatting sqref="P8">
    <cfRule type="cellIs" dxfId="1441" priority="28" operator="lessThan">
      <formula>0</formula>
    </cfRule>
  </conditionalFormatting>
  <conditionalFormatting sqref="P16">
    <cfRule type="cellIs" dxfId="1440" priority="27" operator="lessThan">
      <formula>0</formula>
    </cfRule>
  </conditionalFormatting>
  <conditionalFormatting sqref="P22">
    <cfRule type="cellIs" dxfId="1439" priority="26" operator="lessThan">
      <formula>0</formula>
    </cfRule>
  </conditionalFormatting>
  <conditionalFormatting sqref="P31">
    <cfRule type="cellIs" dxfId="1438" priority="25" operator="lessThan">
      <formula>0</formula>
    </cfRule>
  </conditionalFormatting>
  <conditionalFormatting sqref="P55">
    <cfRule type="cellIs" dxfId="1437" priority="24" operator="lessThan">
      <formula>0</formula>
    </cfRule>
  </conditionalFormatting>
  <conditionalFormatting sqref="P60">
    <cfRule type="cellIs" dxfId="1436" priority="23" operator="lessThan">
      <formula>0</formula>
    </cfRule>
  </conditionalFormatting>
  <conditionalFormatting sqref="P71">
    <cfRule type="cellIs" dxfId="1435" priority="22" operator="lessThan">
      <formula>0</formula>
    </cfRule>
  </conditionalFormatting>
  <conditionalFormatting sqref="O68">
    <cfRule type="cellIs" dxfId="1434" priority="17" operator="greaterThan">
      <formula>0</formula>
    </cfRule>
  </conditionalFormatting>
  <conditionalFormatting sqref="P68">
    <cfRule type="cellIs" dxfId="1433" priority="20" operator="lessThan">
      <formula>0</formula>
    </cfRule>
  </conditionalFormatting>
  <conditionalFormatting sqref="Q68">
    <cfRule type="cellIs" dxfId="1432" priority="18" operator="greaterThan">
      <formula>1</formula>
    </cfRule>
    <cfRule type="cellIs" dxfId="1431" priority="19" operator="lessThan">
      <formula>0.8</formula>
    </cfRule>
  </conditionalFormatting>
  <conditionalFormatting sqref="R68">
    <cfRule type="cellIs" dxfId="1430" priority="21" operator="lessThan">
      <formula>0.8</formula>
    </cfRule>
  </conditionalFormatting>
  <conditionalFormatting sqref="O69">
    <cfRule type="cellIs" dxfId="1429" priority="12" operator="greaterThan">
      <formula>0</formula>
    </cfRule>
  </conditionalFormatting>
  <conditionalFormatting sqref="P69">
    <cfRule type="cellIs" dxfId="1428" priority="15" operator="lessThan">
      <formula>0</formula>
    </cfRule>
  </conditionalFormatting>
  <conditionalFormatting sqref="Q69">
    <cfRule type="cellIs" dxfId="1427" priority="13" operator="greaterThan">
      <formula>1</formula>
    </cfRule>
    <cfRule type="cellIs" dxfId="1426" priority="14" operator="lessThan">
      <formula>0.8</formula>
    </cfRule>
  </conditionalFormatting>
  <conditionalFormatting sqref="R69">
    <cfRule type="cellIs" dxfId="1425" priority="16" operator="lessThan">
      <formula>0.8</formula>
    </cfRule>
  </conditionalFormatting>
  <conditionalFormatting sqref="O70">
    <cfRule type="cellIs" dxfId="1424" priority="7" operator="greaterThan">
      <formula>0</formula>
    </cfRule>
  </conditionalFormatting>
  <conditionalFormatting sqref="P70">
    <cfRule type="cellIs" dxfId="1423" priority="10" operator="lessThan">
      <formula>0</formula>
    </cfRule>
  </conditionalFormatting>
  <conditionalFormatting sqref="Q70">
    <cfRule type="cellIs" dxfId="1422" priority="8" operator="greaterThan">
      <formula>1</formula>
    </cfRule>
    <cfRule type="cellIs" dxfId="1421" priority="9" operator="lessThan">
      <formula>0.8</formula>
    </cfRule>
  </conditionalFormatting>
  <conditionalFormatting sqref="R70">
    <cfRule type="cellIs" dxfId="1420" priority="11" operator="lessThan">
      <formula>0.8</formula>
    </cfRule>
  </conditionalFormatting>
  <conditionalFormatting sqref="O42:O48">
    <cfRule type="cellIs" dxfId="1419" priority="2" operator="greaterThan">
      <formula>0</formula>
    </cfRule>
  </conditionalFormatting>
  <conditionalFormatting sqref="P42:P47">
    <cfRule type="cellIs" dxfId="1418" priority="5" operator="lessThan">
      <formula>0</formula>
    </cfRule>
  </conditionalFormatting>
  <conditionalFormatting sqref="Q42:Q48">
    <cfRule type="cellIs" dxfId="1417" priority="3" operator="greaterThan">
      <formula>1</formula>
    </cfRule>
    <cfRule type="cellIs" dxfId="1416" priority="4" operator="lessThan">
      <formula>0.8</formula>
    </cfRule>
  </conditionalFormatting>
  <conditionalFormatting sqref="R42:R48">
    <cfRule type="cellIs" dxfId="1415" priority="6" operator="lessThan">
      <formula>0.8</formula>
    </cfRule>
  </conditionalFormatting>
  <conditionalFormatting sqref="P48">
    <cfRule type="cellIs" dxfId="1414" priority="1" operator="lessThan">
      <formula>0</formula>
    </cfRule>
  </conditionalFormatting>
  <dataValidations count="1">
    <dataValidation type="list" allowBlank="1" showInputMessage="1" showErrorMessage="1" sqref="Z8 Y60:Z71 Y5:Z7 Y8:Y59 Z10:Z5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9"/>
  <sheetViews>
    <sheetView zoomScale="70" zoomScaleNormal="70" workbookViewId="0">
      <selection activeCell="J15" sqref="J15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170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61" t="s">
        <v>1687</v>
      </c>
      <c r="C3" s="420" t="str">
        <f>TEXT('0924 4度C'!A2,"yyyy.mm.ddaaaa")</f>
        <v>2025.09.24星期三</v>
      </c>
      <c r="D3" s="421"/>
      <c r="E3" s="361" t="s">
        <v>1688</v>
      </c>
      <c r="F3" s="422">
        <f>'0924 4度C'!D1</f>
        <v>188192</v>
      </c>
      <c r="G3" s="423"/>
      <c r="H3" s="361" t="s">
        <v>1689</v>
      </c>
      <c r="I3" s="424">
        <f>'0924 4度C'!F1</f>
        <v>6068582.8799999999</v>
      </c>
      <c r="J3" s="425"/>
      <c r="K3" s="45"/>
      <c r="L3" s="46"/>
      <c r="M3" s="47"/>
      <c r="N3" s="47"/>
    </row>
    <row r="4" spans="2:17" ht="28.5" customHeight="1">
      <c r="B4" s="426" t="s">
        <v>1690</v>
      </c>
      <c r="C4" s="429" t="s">
        <v>1691</v>
      </c>
      <c r="D4" s="430"/>
      <c r="E4" s="431" t="s">
        <v>1692</v>
      </c>
      <c r="F4" s="432"/>
      <c r="G4" s="431" t="s">
        <v>1693</v>
      </c>
      <c r="H4" s="432"/>
      <c r="I4" s="431" t="s">
        <v>1694</v>
      </c>
      <c r="J4" s="432"/>
      <c r="L4" s="47"/>
      <c r="M4" s="47"/>
      <c r="N4" s="47"/>
    </row>
    <row r="5" spans="2:17" ht="28.5" customHeight="1">
      <c r="B5" s="427"/>
      <c r="C5" s="429" t="s">
        <v>1695</v>
      </c>
      <c r="D5" s="430"/>
      <c r="E5" s="429" t="s">
        <v>1696</v>
      </c>
      <c r="F5" s="430"/>
      <c r="G5" s="433" t="s">
        <v>1697</v>
      </c>
      <c r="H5" s="434"/>
      <c r="I5" s="435" t="s">
        <v>1698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149.46276626419186</v>
      </c>
      <c r="F6" s="438">
        <f>AVERAGE(D27:O27,D13:J13)</f>
        <v>154.31766618097438</v>
      </c>
      <c r="G6" s="399">
        <f>AVERAGE(D13:J13)</f>
        <v>154.31766618097438</v>
      </c>
      <c r="H6" s="400"/>
      <c r="I6" s="399">
        <f>AVERAGE(K13:M13)</f>
        <v>138.1346664583659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143.14618065515725</v>
      </c>
      <c r="F7" s="406">
        <f>AVERAGE(D28:O28,D14:J14)</f>
        <v>147.82186120558148</v>
      </c>
      <c r="G7" s="407">
        <f>AVERAGE(D14:J14)</f>
        <v>147.82186120558148</v>
      </c>
      <c r="H7" s="408"/>
      <c r="I7" s="407">
        <f>AVERAGE(K14:M14)</f>
        <v>132.23625937083409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0.95744920025415359</v>
      </c>
      <c r="F8" s="410">
        <f>AVERAGE(D15:J15,D29:O29)</f>
        <v>0.95752259117291971</v>
      </c>
      <c r="G8" s="411">
        <f>AVERAGE(D15:J15)</f>
        <v>0.95752259117291971</v>
      </c>
      <c r="H8" s="412"/>
      <c r="I8" s="411">
        <f>AVERAGE(K15:M15)</f>
        <v>0.95727795477703259</v>
      </c>
      <c r="J8" s="412"/>
      <c r="K8" s="48" t="s">
        <v>1699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1700</v>
      </c>
      <c r="C10" s="414"/>
      <c r="D10" s="415" t="s">
        <v>1701</v>
      </c>
      <c r="E10" s="416"/>
      <c r="F10" s="416"/>
      <c r="G10" s="416"/>
      <c r="H10" s="416"/>
      <c r="I10" s="416"/>
      <c r="J10" s="417"/>
      <c r="K10" s="389" t="s">
        <v>1702</v>
      </c>
      <c r="L10" s="390"/>
      <c r="M10" s="391"/>
      <c r="P10" s="51"/>
      <c r="Q10" s="51"/>
    </row>
    <row r="11" spans="2:17" ht="17.25" customHeight="1">
      <c r="B11" s="392" t="s">
        <v>1703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1704</v>
      </c>
      <c r="C13" s="58" t="s">
        <v>1705</v>
      </c>
      <c r="D13" s="59">
        <f>SUMIFS('0924 4度C'!$K:$K,'0924 4度C'!$A:$A,"新豐6線",'0924 4度C'!$B:$B,"平均")</f>
        <v>125</v>
      </c>
      <c r="E13" s="60">
        <f>SUMIFS('0924 4度C'!$K:$K,'0924 4度C'!$A:$A,"新豐2線",'0924 4度C'!$B:$B,"平均")</f>
        <v>88.235294117647058</v>
      </c>
      <c r="F13" s="61">
        <f>SUMIFS('0924 4度C'!$K:$K,'0924 4度C'!$A:$A,"新豐5線",'0924 4度C'!$B:$B,"平均")</f>
        <v>88.541666666666671</v>
      </c>
      <c r="G13" s="61">
        <f>SUMIFS('0924 4度C'!$K:$K,'0924 4度C'!$A:$A,"新豐7線",'0924 4度C'!$B:$B,"平均")</f>
        <v>119.04761904761904</v>
      </c>
      <c r="H13" s="61">
        <f>SUMIFS('0924 4度C'!$K:$K,'0924 4度C'!$A:$A,"新豐3線",'0924 4度C'!$B:$B,"平均")</f>
        <v>310.34482758620692</v>
      </c>
      <c r="I13" s="61">
        <f>SUMIFS('0924 4度C'!$K:$K,'0924 4度C'!$A:$A,"新豐1線",'0924 4度C'!$B:$B,"平均")</f>
        <v>117.34693877551021</v>
      </c>
      <c r="J13" s="62">
        <f>SUMIFS('0924 4度C'!$K:$K,'0924 4度C'!$A:$A,"新豐10線",'0924 4度C'!$B:$B,"平均")</f>
        <v>231.70731707317074</v>
      </c>
      <c r="K13" s="63">
        <f>SUMIFS('0924 4度C'!$K:$K,'0924 4度C'!$A:$A,"新豐8線",'0924 4度C'!$B:$B,"平均")</f>
        <v>129.72972972972974</v>
      </c>
      <c r="L13" s="64">
        <f>SUMIFS('0924 4度C'!$K:$K,'0924 4度C'!$A:$A,"新豐9線",'0924 4度C'!$B:$B,"平均")</f>
        <v>145.94594594594597</v>
      </c>
      <c r="M13" s="62">
        <f>SUMIFS('0924 4度C'!$K:$K,'0924 4度C'!$A:$A,"新豐4線",'0924 4度C'!$B:$B,"平均")</f>
        <v>138.72832369942196</v>
      </c>
    </row>
    <row r="14" spans="2:17" ht="39.6" customHeight="1">
      <c r="B14" s="397"/>
      <c r="C14" s="65" t="s">
        <v>1706</v>
      </c>
      <c r="D14" s="66">
        <f>SUMIFS('0924 4度C'!$N:$N,'0924 4度C'!$A:$A,"新豐6線",'0924 4度C'!$B:$B,"平均")</f>
        <v>120.27878426472807</v>
      </c>
      <c r="E14" s="67">
        <f>SUMIFS('0924 4度C'!$N:$N,'0924 4度C'!$A:$A,"新豐2線",'0924 4度C'!$B:$B,"平均")</f>
        <v>83.939109190001872</v>
      </c>
      <c r="F14" s="67">
        <f>SUMIFS('0924 4度C'!$N:$N,'0924 4度C'!$A:$A,"新豐5線",'0924 4度C'!$B:$B,"平均")</f>
        <v>84.568080042184064</v>
      </c>
      <c r="G14" s="67">
        <f>SUMIFS('0924 4度C'!$N:$N,'0924 4度C'!$A:$A,"新豐7線",'0924 4度C'!$B:$B,"平均")</f>
        <v>114.03255579007457</v>
      </c>
      <c r="H14" s="67">
        <f>SUMIFS('0924 4度C'!$N:$N,'0924 4度C'!$A:$A,"新豐3線",'0924 4度C'!$B:$B,"平均")</f>
        <v>296.86801955120222</v>
      </c>
      <c r="I14" s="67">
        <f>SUMIFS('0924 4度C'!$N:$N,'0924 4度C'!$A:$A,"新豐1線",'0924 4度C'!$B:$B,"平均")</f>
        <v>112.57184927297165</v>
      </c>
      <c r="J14" s="68">
        <f>SUMIFS('0924 4度C'!$N:$N,'0924 4度C'!$A:$A,"新豐10線",'0924 4度C'!$B:$B,"平均")</f>
        <v>222.494630327908</v>
      </c>
      <c r="K14" s="69">
        <f>SUMIFS('0924 4度C'!$N:$N,'0924 4度C'!$A:$A,"新豐8線",'0924 4度C'!$B:$B,"平均")</f>
        <v>123.99118992498336</v>
      </c>
      <c r="L14" s="70">
        <f>SUMIFS('0924 4度C'!$N:$N,'0924 4度C'!$A:$A,"新豐9線",'0924 4度C'!$B:$B,"平均")</f>
        <v>139.61690048762392</v>
      </c>
      <c r="M14" s="68">
        <f>SUMIFS('0924 4度C'!$N:$N,'0924 4度C'!$A:$A,"新豐4線",'0924 4度C'!$B:$B,"平均")</f>
        <v>133.10068769989496</v>
      </c>
    </row>
    <row r="15" spans="2:17" ht="40.15" customHeight="1">
      <c r="B15" s="398"/>
      <c r="C15" s="71" t="s">
        <v>1707</v>
      </c>
      <c r="D15" s="72">
        <f t="shared" ref="D15:M15" si="0">D14/D13</f>
        <v>0.96223027411782458</v>
      </c>
      <c r="E15" s="73">
        <f t="shared" si="0"/>
        <v>0.95130990415335459</v>
      </c>
      <c r="F15" s="73">
        <f t="shared" si="0"/>
        <v>0.95512184518231413</v>
      </c>
      <c r="G15" s="73">
        <f t="shared" si="0"/>
        <v>0.95787346863662648</v>
      </c>
      <c r="H15" s="73">
        <f t="shared" si="0"/>
        <v>0.95657472966498491</v>
      </c>
      <c r="I15" s="73">
        <f t="shared" si="0"/>
        <v>0.95930793293488881</v>
      </c>
      <c r="J15" s="74">
        <f t="shared" si="0"/>
        <v>0.96023998352044504</v>
      </c>
      <c r="K15" s="72">
        <f t="shared" si="0"/>
        <v>0.95576542233841333</v>
      </c>
      <c r="L15" s="73">
        <f t="shared" si="0"/>
        <v>0.95663431815594158</v>
      </c>
      <c r="M15" s="74">
        <f t="shared" si="0"/>
        <v>0.95943412383674287</v>
      </c>
    </row>
    <row r="16" spans="2:17" ht="17.25" customHeight="1">
      <c r="B16" s="401" t="s">
        <v>1708</v>
      </c>
      <c r="C16" s="360" t="s">
        <v>193</v>
      </c>
      <c r="D16" s="76">
        <f>VLOOKUP("新豐6線",'0924 4度C'!$A:$T,19,0)</f>
        <v>0.70833333333333337</v>
      </c>
      <c r="E16" s="28">
        <f>VLOOKUP("新豐2線",'0924 4度C'!$A:$T,19,0)</f>
        <v>0.20833333333333334</v>
      </c>
      <c r="F16" s="28">
        <f>VLOOKUP("新豐5線",'0924 4度C'!$A:$T,19,0)</f>
        <v>0.16666666666666666</v>
      </c>
      <c r="G16" s="28">
        <f>VLOOKUP("新豐7線",'0924 4度C'!$A:$T,19,0)</f>
        <v>0.20833333333333334</v>
      </c>
      <c r="H16" s="28">
        <f>VLOOKUP("新豐3線",'0924 4度C'!$A:$T,19,0)</f>
        <v>8.3333333333333329E-2</v>
      </c>
      <c r="I16" s="28">
        <f>VLOOKUP("新豐1線",'0924 4度C'!$A:$T,19,0)</f>
        <v>0.29166666666666669</v>
      </c>
      <c r="J16" s="77">
        <f>VLOOKUP("新豐10線",'0924 4度C'!$A:$T,19,0)</f>
        <v>0.20833333333333334</v>
      </c>
      <c r="K16" s="78">
        <f>VLOOKUP("新豐8線",'0924 4度C'!$A:$T,19,0)</f>
        <v>8.3333333333333329E-2</v>
      </c>
      <c r="L16" s="79">
        <f>VLOOKUP("新豐9線",'0924 4度C'!$A:$T,19,0)</f>
        <v>8.3333333333333329E-2</v>
      </c>
      <c r="M16" s="80">
        <f>VLOOKUP("新豐4線",'0924 4度C'!$A:$T,19,0)</f>
        <v>8.3333333333333329E-2</v>
      </c>
    </row>
    <row r="17" spans="2:13" ht="17.25" customHeight="1">
      <c r="B17" s="402"/>
      <c r="C17" s="360" t="s">
        <v>1709</v>
      </c>
      <c r="D17" s="78">
        <f>LOOKUP(2,1/(('0924 4度C'!$A:$A="新豐6線")*('0924 4度C'!$T:$T&lt;&gt;"")),'0924 4度C'!$T:$T)</f>
        <v>0.8305555555555556</v>
      </c>
      <c r="E17" s="28">
        <f>LOOKUP(2,1/(('0924 4度C'!$A:$A="新豐2線")*('0924 4度C'!$T:$T&lt;&gt;"")),'0924 4度C'!$T:$T)</f>
        <v>0.42569444444444449</v>
      </c>
      <c r="F17" s="28">
        <f>LOOKUP(2,1/(('0924 4度C'!$A:$A="新豐5線")*('0924 4度C'!$T:$T&lt;&gt;"")),'0924 4度C'!$T:$T)</f>
        <v>0.84791666666666665</v>
      </c>
      <c r="G17" s="28">
        <f>LOOKUP(2,1/(('0924 4度C'!$A:$A="新豐7線")*('0924 4度C'!$T:$T&lt;&gt;"")),'0924 4度C'!$T:$T)</f>
        <v>0.77152777777777781</v>
      </c>
      <c r="H17" s="28">
        <f>LOOKUP(2,1/(('0924 4度C'!$A:$A="新豐3線")*('0924 4度C'!$T:$T&lt;&gt;"")),'0924 4度C'!$T:$T)</f>
        <v>0.47569444444444436</v>
      </c>
      <c r="I17" s="28">
        <f>LOOKUP(2,1/(('0924 4度C'!$A:$A="新豐1線")*('0924 4度C'!$T:$T&lt;&gt;"")),'0924 4度C'!$T:$T)</f>
        <v>0.83680555555555558</v>
      </c>
      <c r="J17" s="77">
        <f>LOOKUP(2,1/(('0924 4度C'!$A:$A="新豐10線")*('0924 4度C'!$T:$T&lt;&gt;"")),'0924 4度C'!$T:$T)</f>
        <v>0.42569444444444438</v>
      </c>
      <c r="K17" s="76">
        <f>LOOKUP(2,1/(('0924 4度C'!$A:$A="新豐8線")*('0924 4度C'!$T:$T&lt;&gt;"")),'0924 4度C'!$T:$T)</f>
        <v>0.76597222222222205</v>
      </c>
      <c r="L17" s="28">
        <f>LOOKUP(2,1/(('0924 4度C'!$A:$A="新豐9線")*('0924 4度C'!$T:$T&lt;&gt;"")),'0924 4度C'!$T:$T)</f>
        <v>0.7763888888888888</v>
      </c>
      <c r="M17" s="77">
        <f>LOOKUP(2,1/(('0924 4度C'!$A:$A="新豐4線")*('0924 4度C'!$T:$T&lt;&gt;"")),'0924 4度C'!$T:$T)</f>
        <v>0.7534722222222221</v>
      </c>
    </row>
    <row r="18" spans="2:13" ht="17.25" customHeight="1">
      <c r="B18" s="383" t="s">
        <v>1710</v>
      </c>
      <c r="C18" s="384"/>
      <c r="D18" s="81">
        <f>SUMIFS('0924 4度C'!$I:$I,'0924 4度C'!$A:$A,"新豐6線",'0924 4度C'!$B:$B,"平均")</f>
        <v>16</v>
      </c>
      <c r="E18" s="82">
        <f>SUMIFS('0924 4度C'!$I:$I,'0924 4度C'!$A:$A,"新豐2線",'0924 4度C'!$B:$B,"平均")</f>
        <v>17</v>
      </c>
      <c r="F18" s="82">
        <f>SUMIFS('0924 4度C'!$I:$I,'0924 4度C'!$A:$A,"新豐5線",'0924 4度C'!$B:$B,"平均")</f>
        <v>19.2</v>
      </c>
      <c r="G18" s="82">
        <f>SUMIFS('0924 4度C'!$I:$I,'0924 4度C'!$A:$A,"新豐7線",'0924 4度C'!$B:$B,"平均")</f>
        <v>16.8</v>
      </c>
      <c r="H18" s="82">
        <f>SUMIFS('0924 4度C'!$I:$I,'0924 4度C'!$A:$A,"新豐3線",'0924 4度C'!$B:$B,"平均")</f>
        <v>9.6666666666666661</v>
      </c>
      <c r="I18" s="82">
        <f>SUMIFS('0924 4度C'!$I:$I,'0924 4度C'!$A:$A,"新豐1線",'0924 4度C'!$B:$B,"平均")</f>
        <v>16.333333333333332</v>
      </c>
      <c r="J18" s="83">
        <f>SUMIFS('0924 4度C'!$I:$I,'0924 4度C'!$A:$A,"新豐10線",'0924 4度C'!$B:$B,"平均")</f>
        <v>10.25</v>
      </c>
      <c r="K18" s="81">
        <f>SUMIFS('0924 4度C'!$I:$I,'0924 4度C'!$A:$A,"新豐8線",'0924 4度C'!$B:$B,"平均")</f>
        <v>18.5</v>
      </c>
      <c r="L18" s="82">
        <f>SUMIFS('0924 4度C'!$I:$I,'0924 4度C'!$A:$A,"新豐9線",'0924 4度C'!$B:$B,"平均")</f>
        <v>16.444444444444443</v>
      </c>
      <c r="M18" s="83">
        <f>SUMIFS('0924 4度C'!$I:$I,'0924 4度C'!$A:$A,"新豐4線",'0924 4度C'!$B:$B,"平均")</f>
        <v>17.3</v>
      </c>
    </row>
    <row r="19" spans="2:13" ht="17.25" customHeight="1">
      <c r="B19" s="383" t="s">
        <v>1711</v>
      </c>
      <c r="C19" s="384"/>
      <c r="D19" s="84" t="s">
        <v>148</v>
      </c>
      <c r="E19" s="85" t="s">
        <v>149</v>
      </c>
      <c r="F19" s="85" t="s">
        <v>1712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1713</v>
      </c>
      <c r="L19" s="85" t="s">
        <v>198</v>
      </c>
      <c r="M19" s="86" t="s">
        <v>1713</v>
      </c>
    </row>
    <row r="20" spans="2:13" ht="17.25" customHeight="1">
      <c r="B20" s="383" t="s">
        <v>1714</v>
      </c>
      <c r="C20" s="384"/>
      <c r="D20" s="84"/>
      <c r="E20" s="85"/>
      <c r="F20" s="85" t="s">
        <v>1715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201</v>
      </c>
      <c r="C21" s="386"/>
      <c r="D21" s="87"/>
      <c r="E21" s="88" t="s">
        <v>1716</v>
      </c>
      <c r="F21" s="387" t="s">
        <v>157</v>
      </c>
      <c r="G21" s="388"/>
      <c r="H21" s="88" t="s">
        <v>1717</v>
      </c>
      <c r="I21" s="88" t="s">
        <v>1718</v>
      </c>
      <c r="J21" s="89" t="s">
        <v>1717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  <row r="56" spans="19:20">
      <c r="S56" s="42">
        <v>0.20833333333333334</v>
      </c>
      <c r="T56" s="42">
        <v>0.25</v>
      </c>
    </row>
    <row r="57" spans="19:20">
      <c r="S57" s="42">
        <v>0.25347222222222221</v>
      </c>
      <c r="T57" s="42">
        <v>0.28125</v>
      </c>
    </row>
    <row r="58" spans="19:20">
      <c r="S58" s="42">
        <v>0.28680555555555554</v>
      </c>
      <c r="T58" s="42">
        <v>0.3208333333333333</v>
      </c>
    </row>
    <row r="59" spans="19:20">
      <c r="S59" s="42">
        <v>0.32430555555555551</v>
      </c>
      <c r="T59" s="42">
        <v>0.42569444444444438</v>
      </c>
    </row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41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zoomScale="80" zoomScaleNormal="80" workbookViewId="0">
      <pane ySplit="4" topLeftCell="A35" activePane="bottomLeft" state="frozen"/>
      <selection sqref="A1:XFD1048576"/>
      <selection pane="bottomLeft" activeCell="H42" sqref="H42:H4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1719</v>
      </c>
      <c r="B1" s="1"/>
      <c r="C1" s="2" t="s">
        <v>1720</v>
      </c>
      <c r="D1" s="3">
        <f>SUM(F5:F71)</f>
        <v>188192</v>
      </c>
      <c r="E1" s="346" t="s">
        <v>1721</v>
      </c>
      <c r="F1" s="1">
        <f>SUM(G5:G71)</f>
        <v>6068582.8799999999</v>
      </c>
      <c r="G1" s="1" t="s">
        <v>1722</v>
      </c>
      <c r="H1" s="38">
        <v>157.49444444444447</v>
      </c>
      <c r="I1" s="482" t="s">
        <v>1723</v>
      </c>
      <c r="J1" s="482"/>
      <c r="K1" s="482"/>
      <c r="L1" s="482" t="s">
        <v>1724</v>
      </c>
      <c r="M1" s="482"/>
      <c r="N1" s="482"/>
      <c r="O1" s="482" t="s">
        <v>1725</v>
      </c>
      <c r="P1" s="482"/>
      <c r="Q1" s="482"/>
      <c r="R1" s="482"/>
      <c r="S1" s="482" t="s">
        <v>1726</v>
      </c>
      <c r="T1" s="482"/>
      <c r="U1" s="482"/>
      <c r="V1" s="482"/>
      <c r="W1" s="482"/>
      <c r="X1" s="482"/>
      <c r="Y1" s="482" t="s">
        <v>1727</v>
      </c>
      <c r="Z1" s="482"/>
      <c r="AA1" s="482" t="s">
        <v>1728</v>
      </c>
      <c r="AB1" s="483"/>
      <c r="AC1" s="483"/>
    </row>
    <row r="2" spans="1:29" ht="26.25" customHeight="1">
      <c r="A2" s="24">
        <v>45924</v>
      </c>
      <c r="B2" s="25" t="str">
        <f>TEXT(A2,"aaaa")</f>
        <v>星期三</v>
      </c>
      <c r="C2" s="2" t="s">
        <v>1729</v>
      </c>
      <c r="D2" s="6">
        <f>AVERAGE(N8,N10,N48,N55,N16,N60,N22,N31,N41,N71)</f>
        <v>143.14618065515725</v>
      </c>
      <c r="E2" s="7" t="s">
        <v>11</v>
      </c>
      <c r="F2" s="8">
        <f>F1/D1</f>
        <v>32.246763305560279</v>
      </c>
      <c r="G2" s="1" t="s">
        <v>1730</v>
      </c>
      <c r="H2" s="39">
        <v>9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1731</v>
      </c>
      <c r="B3" s="443" t="s">
        <v>1732</v>
      </c>
      <c r="C3" s="443" t="s">
        <v>1733</v>
      </c>
      <c r="D3" s="443"/>
      <c r="E3" s="484" t="s">
        <v>1734</v>
      </c>
      <c r="F3" s="443" t="s">
        <v>1735</v>
      </c>
      <c r="G3" s="484" t="s">
        <v>1736</v>
      </c>
      <c r="H3" s="487" t="s">
        <v>1737</v>
      </c>
      <c r="I3" s="474" t="s">
        <v>1738</v>
      </c>
      <c r="J3" s="479" t="s">
        <v>1739</v>
      </c>
      <c r="K3" s="481" t="s">
        <v>1704</v>
      </c>
      <c r="L3" s="474" t="s">
        <v>1738</v>
      </c>
      <c r="M3" s="479" t="s">
        <v>1739</v>
      </c>
      <c r="N3" s="481" t="s">
        <v>1704</v>
      </c>
      <c r="O3" s="474" t="s">
        <v>1738</v>
      </c>
      <c r="P3" s="481" t="s">
        <v>1704</v>
      </c>
      <c r="Q3" s="480" t="s">
        <v>1740</v>
      </c>
      <c r="R3" s="451" t="s">
        <v>1741</v>
      </c>
      <c r="S3" s="486" t="s">
        <v>25</v>
      </c>
      <c r="T3" s="486"/>
      <c r="U3" s="476" t="s">
        <v>26</v>
      </c>
      <c r="V3" s="476" t="s">
        <v>1660</v>
      </c>
      <c r="W3" s="443" t="s">
        <v>1742</v>
      </c>
      <c r="X3" s="443"/>
      <c r="Y3" s="477" t="s">
        <v>225</v>
      </c>
      <c r="Z3" s="478"/>
      <c r="AA3" s="479" t="s">
        <v>1743</v>
      </c>
      <c r="AB3" s="480" t="s">
        <v>1664</v>
      </c>
      <c r="AC3" s="451" t="s">
        <v>1665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57" t="s">
        <v>31</v>
      </c>
      <c r="T4" s="357" t="s">
        <v>32</v>
      </c>
      <c r="U4" s="476"/>
      <c r="V4" s="476"/>
      <c r="W4" s="346" t="s">
        <v>1744</v>
      </c>
      <c r="X4" s="346" t="s">
        <v>1745</v>
      </c>
      <c r="Y4" s="478"/>
      <c r="Z4" s="478"/>
      <c r="AA4" s="479"/>
      <c r="AB4" s="480"/>
      <c r="AC4" s="451"/>
    </row>
    <row r="5" spans="1:29">
      <c r="A5" s="473" t="s">
        <v>1746</v>
      </c>
      <c r="B5" s="31" t="s">
        <v>58</v>
      </c>
      <c r="C5" s="475" t="s">
        <v>104</v>
      </c>
      <c r="D5" s="475"/>
      <c r="E5" s="31">
        <v>46.93</v>
      </c>
      <c r="F5" s="357">
        <v>997</v>
      </c>
      <c r="G5" s="346">
        <f>E5*F5</f>
        <v>46789.21</v>
      </c>
      <c r="H5" s="359" t="s">
        <v>103</v>
      </c>
      <c r="I5" s="355">
        <v>16</v>
      </c>
      <c r="J5" s="26">
        <v>2000</v>
      </c>
      <c r="K5" s="10">
        <f>J5/I5</f>
        <v>125</v>
      </c>
      <c r="L5" s="355">
        <v>16</v>
      </c>
      <c r="M5" s="11">
        <f>F5/V5*60</f>
        <v>1929.6774193548354</v>
      </c>
      <c r="N5" s="10">
        <f>M5/L5</f>
        <v>120.60483870967721</v>
      </c>
      <c r="O5" s="12">
        <f t="shared" ref="O5:O7" si="0">L5-I5</f>
        <v>0</v>
      </c>
      <c r="P5" s="13">
        <f t="shared" ref="P5:P7" si="1">N5-K5</f>
        <v>-4.3951612903227897</v>
      </c>
      <c r="Q5" s="351">
        <f>N5/K5</f>
        <v>0.96483870967741769</v>
      </c>
      <c r="R5" s="442">
        <f>Q8</f>
        <v>0.96223027411782458</v>
      </c>
      <c r="S5" s="28">
        <v>0.70833333333333337</v>
      </c>
      <c r="T5" s="28">
        <v>0.72986111111111118</v>
      </c>
      <c r="U5" s="346"/>
      <c r="V5" s="356">
        <f>(T5-S5)*24*60</f>
        <v>31.00000000000005</v>
      </c>
      <c r="W5" s="16"/>
      <c r="X5" s="17"/>
      <c r="Y5" s="443"/>
      <c r="Z5" s="443"/>
      <c r="AA5" s="12">
        <f t="shared" ref="AA5:AA68" si="2">M5-J5</f>
        <v>-70.322580645164635</v>
      </c>
      <c r="AB5" s="351">
        <f t="shared" ref="AB5:AB7" si="3">M5/J5</f>
        <v>0.96483870967741769</v>
      </c>
      <c r="AC5" s="442">
        <f>AB8</f>
        <v>0.96223027411782458</v>
      </c>
    </row>
    <row r="6" spans="1:29">
      <c r="A6" s="474" t="s">
        <v>1747</v>
      </c>
      <c r="B6" s="31" t="s">
        <v>58</v>
      </c>
      <c r="C6" s="475" t="s">
        <v>105</v>
      </c>
      <c r="D6" s="475"/>
      <c r="E6" s="31">
        <v>50.49</v>
      </c>
      <c r="F6" s="357">
        <v>2261</v>
      </c>
      <c r="G6" s="346">
        <f t="shared" ref="G6:G7" si="4">E6*F6</f>
        <v>114157.89</v>
      </c>
      <c r="H6" s="359" t="s">
        <v>103</v>
      </c>
      <c r="I6" s="355">
        <v>15</v>
      </c>
      <c r="J6" s="26">
        <v>2000</v>
      </c>
      <c r="K6" s="10">
        <f t="shared" ref="K6:K7" si="5">J6/I6</f>
        <v>133.33333333333334</v>
      </c>
      <c r="L6" s="355">
        <v>15</v>
      </c>
      <c r="M6" s="11">
        <f>F6/V6*60</f>
        <v>1910.7042253521108</v>
      </c>
      <c r="N6" s="10">
        <f t="shared" ref="N6:N7" si="6">M6/L6</f>
        <v>127.38028169014072</v>
      </c>
      <c r="O6" s="12">
        <f t="shared" si="0"/>
        <v>0</v>
      </c>
      <c r="P6" s="13">
        <f t="shared" si="1"/>
        <v>-5.953051643192623</v>
      </c>
      <c r="Q6" s="351">
        <f t="shared" ref="Q6:Q7" si="7">N6/K6</f>
        <v>0.95535211267605535</v>
      </c>
      <c r="R6" s="442"/>
      <c r="S6" s="28">
        <v>0.73541666666666672</v>
      </c>
      <c r="T6" s="28">
        <v>0.78472222222222232</v>
      </c>
      <c r="U6" s="346">
        <f>(S6-T5)*24*60</f>
        <v>7.9999999999999716</v>
      </c>
      <c r="V6" s="356">
        <f>(T6-S6)*24*60</f>
        <v>71.000000000000071</v>
      </c>
      <c r="W6" s="16"/>
      <c r="X6" s="16"/>
      <c r="Y6" s="443"/>
      <c r="Z6" s="443"/>
      <c r="AA6" s="12">
        <f t="shared" si="2"/>
        <v>-89.295774647889175</v>
      </c>
      <c r="AB6" s="351">
        <f t="shared" si="3"/>
        <v>0.95535211267605546</v>
      </c>
      <c r="AC6" s="442"/>
    </row>
    <row r="7" spans="1:29">
      <c r="A7" s="474" t="s">
        <v>1747</v>
      </c>
      <c r="B7" s="31" t="s">
        <v>58</v>
      </c>
      <c r="C7" s="471" t="s">
        <v>106</v>
      </c>
      <c r="D7" s="472"/>
      <c r="E7" s="31">
        <v>50.67</v>
      </c>
      <c r="F7" s="357">
        <v>1933</v>
      </c>
      <c r="G7" s="346">
        <f t="shared" si="4"/>
        <v>97945.11</v>
      </c>
      <c r="H7" s="359" t="s">
        <v>103</v>
      </c>
      <c r="I7" s="355">
        <v>17</v>
      </c>
      <c r="J7" s="26">
        <v>2000</v>
      </c>
      <c r="K7" s="10">
        <f t="shared" si="5"/>
        <v>117.64705882352941</v>
      </c>
      <c r="L7" s="355">
        <v>17</v>
      </c>
      <c r="M7" s="11">
        <f t="shared" ref="M7" si="8">F7/V7*60</f>
        <v>1933.0000000000018</v>
      </c>
      <c r="N7" s="10">
        <f t="shared" si="6"/>
        <v>113.70588235294129</v>
      </c>
      <c r="O7" s="12">
        <f t="shared" si="0"/>
        <v>0</v>
      </c>
      <c r="P7" s="13">
        <f t="shared" si="1"/>
        <v>-3.9411764705881183</v>
      </c>
      <c r="Q7" s="351">
        <f t="shared" si="7"/>
        <v>0.96650000000000102</v>
      </c>
      <c r="R7" s="442"/>
      <c r="S7" s="28">
        <v>0.78888888888888897</v>
      </c>
      <c r="T7" s="28">
        <v>0.8305555555555556</v>
      </c>
      <c r="U7" s="346">
        <f t="shared" ref="U7" si="9">(S7-T6)*24*60</f>
        <v>5.9999999999999787</v>
      </c>
      <c r="V7" s="356">
        <f t="shared" ref="V7" si="10">(T7-S7)*24*60</f>
        <v>59.999999999999943</v>
      </c>
      <c r="W7" s="16"/>
      <c r="X7" s="16"/>
      <c r="Y7" s="447"/>
      <c r="Z7" s="448"/>
      <c r="AA7" s="12">
        <f t="shared" si="2"/>
        <v>-66.999999999998181</v>
      </c>
      <c r="AB7" s="351">
        <f t="shared" si="3"/>
        <v>0.96650000000000091</v>
      </c>
      <c r="AC7" s="442"/>
    </row>
    <row r="8" spans="1:29">
      <c r="A8" s="474" t="s">
        <v>1747</v>
      </c>
      <c r="B8" s="31" t="s">
        <v>1678</v>
      </c>
      <c r="C8" s="446"/>
      <c r="D8" s="446"/>
      <c r="E8" s="345"/>
      <c r="F8" s="33"/>
      <c r="G8" s="10"/>
      <c r="H8" s="357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1924.4605482356492</v>
      </c>
      <c r="N8" s="10">
        <f>M8/L8</f>
        <v>120.27878426472807</v>
      </c>
      <c r="O8" s="12">
        <f>L8-I8</f>
        <v>0</v>
      </c>
      <c r="P8" s="13">
        <f>N8-K8</f>
        <v>-4.721215735271926</v>
      </c>
      <c r="Q8" s="351">
        <f>N8/K8</f>
        <v>0.96223027411782458</v>
      </c>
      <c r="R8" s="442"/>
      <c r="S8" s="28"/>
      <c r="T8" s="28"/>
      <c r="U8" s="346"/>
      <c r="V8" s="356"/>
      <c r="W8" s="10"/>
      <c r="X8" s="10"/>
      <c r="Y8" s="443"/>
      <c r="Z8" s="443"/>
      <c r="AA8" s="12">
        <f t="shared" si="2"/>
        <v>-75.539451764350815</v>
      </c>
      <c r="AB8" s="351">
        <f>M8/J8</f>
        <v>0.96223027411782458</v>
      </c>
      <c r="AC8" s="442"/>
    </row>
    <row r="9" spans="1:29" ht="15.75" customHeight="1">
      <c r="A9" s="439" t="s">
        <v>1748</v>
      </c>
      <c r="B9" s="31" t="s">
        <v>53</v>
      </c>
      <c r="C9" s="471" t="s">
        <v>54</v>
      </c>
      <c r="D9" s="472"/>
      <c r="E9" s="31">
        <v>39.799999999999997</v>
      </c>
      <c r="F9" s="357">
        <v>7444</v>
      </c>
      <c r="G9" s="346">
        <f t="shared" ref="G9" si="11">E9*F9</f>
        <v>296271.19999999995</v>
      </c>
      <c r="H9" s="359" t="s">
        <v>103</v>
      </c>
      <c r="I9" s="355">
        <v>17</v>
      </c>
      <c r="J9" s="26">
        <v>1500</v>
      </c>
      <c r="K9" s="10">
        <f t="shared" ref="K9" si="12">J9/I9</f>
        <v>88.235294117647058</v>
      </c>
      <c r="L9" s="355">
        <v>17</v>
      </c>
      <c r="M9" s="11">
        <f t="shared" ref="M9" si="13">F9/V9*60</f>
        <v>1426.9648562300317</v>
      </c>
      <c r="N9" s="10">
        <f t="shared" ref="N9" si="14">M9/L9</f>
        <v>83.939109190001872</v>
      </c>
      <c r="O9" s="12">
        <f t="shared" ref="O9" si="15">L9-I9</f>
        <v>0</v>
      </c>
      <c r="P9" s="13">
        <f>N9-K9</f>
        <v>-4.2961849276451858</v>
      </c>
      <c r="Q9" s="351">
        <f>N9/K9</f>
        <v>0.95130990415335459</v>
      </c>
      <c r="R9" s="442">
        <f>Q10</f>
        <v>0.95130990415335459</v>
      </c>
      <c r="S9" s="28">
        <v>0.20833333333333334</v>
      </c>
      <c r="T9" s="28">
        <v>0.42569444444444449</v>
      </c>
      <c r="U9" s="346"/>
      <c r="V9" s="356">
        <f t="shared" ref="V9" si="16">(T9-S9)*24*60</f>
        <v>313.00000000000006</v>
      </c>
      <c r="W9" s="16"/>
      <c r="X9" s="16"/>
      <c r="Y9" s="443"/>
      <c r="Z9" s="443"/>
      <c r="AA9" s="12">
        <f t="shared" si="2"/>
        <v>-73.035143769968272</v>
      </c>
      <c r="AB9" s="351">
        <f>M9/J9</f>
        <v>0.95130990415335448</v>
      </c>
      <c r="AC9" s="442">
        <f>AB10</f>
        <v>0.95130990415335448</v>
      </c>
    </row>
    <row r="10" spans="1:29" ht="16.5" customHeight="1">
      <c r="A10" s="439" t="s">
        <v>1748</v>
      </c>
      <c r="B10" s="31" t="s">
        <v>1678</v>
      </c>
      <c r="C10" s="446"/>
      <c r="D10" s="446"/>
      <c r="E10" s="345"/>
      <c r="F10" s="26"/>
      <c r="G10" s="11"/>
      <c r="H10" s="357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1426.9648562300317</v>
      </c>
      <c r="N10" s="10">
        <f>M10/L10</f>
        <v>83.939109190001872</v>
      </c>
      <c r="O10" s="12">
        <f>L10-I10</f>
        <v>0</v>
      </c>
      <c r="P10" s="13">
        <f>N10-K10</f>
        <v>-4.2961849276451858</v>
      </c>
      <c r="Q10" s="351">
        <f>N10/K10</f>
        <v>0.95130990415335459</v>
      </c>
      <c r="R10" s="442"/>
      <c r="S10" s="28"/>
      <c r="T10" s="28"/>
      <c r="U10" s="10"/>
      <c r="V10" s="356"/>
      <c r="W10" s="10"/>
      <c r="X10" s="10"/>
      <c r="Y10" s="443"/>
      <c r="Z10" s="443"/>
      <c r="AA10" s="12">
        <f t="shared" si="2"/>
        <v>-73.035143769968272</v>
      </c>
      <c r="AB10" s="351">
        <f t="shared" ref="AB10:AB22" si="17">M10/J10</f>
        <v>0.95130990415335448</v>
      </c>
      <c r="AC10" s="442"/>
    </row>
    <row r="11" spans="1:29" ht="16.5" customHeight="1">
      <c r="A11" s="469" t="s">
        <v>1749</v>
      </c>
      <c r="B11" s="357" t="s">
        <v>56</v>
      </c>
      <c r="C11" s="464" t="s">
        <v>57</v>
      </c>
      <c r="D11" s="464"/>
      <c r="E11" s="31">
        <v>41</v>
      </c>
      <c r="F11" s="357">
        <v>2063</v>
      </c>
      <c r="G11" s="346">
        <f t="shared" ref="G11:G15" si="18">E11*F11</f>
        <v>84583</v>
      </c>
      <c r="H11" s="359" t="s">
        <v>103</v>
      </c>
      <c r="I11" s="355">
        <v>26</v>
      </c>
      <c r="J11" s="26">
        <v>1500</v>
      </c>
      <c r="K11" s="10">
        <f>J11/I11</f>
        <v>57.692307692307693</v>
      </c>
      <c r="L11" s="355">
        <v>26</v>
      </c>
      <c r="M11" s="11">
        <f>F11/V11*60</f>
        <v>1439.3023255813951</v>
      </c>
      <c r="N11" s="10">
        <f t="shared" ref="N11:N21" si="19">M11/L11</f>
        <v>55.357781753130581</v>
      </c>
      <c r="O11" s="12">
        <f t="shared" ref="O11" si="20">L11-I11</f>
        <v>0</v>
      </c>
      <c r="P11" s="13">
        <f t="shared" ref="P11" si="21">N11-K11</f>
        <v>-2.3345259391771123</v>
      </c>
      <c r="Q11" s="351">
        <f>N11/K11</f>
        <v>0.9595348837209301</v>
      </c>
      <c r="R11" s="442">
        <f>Q16</f>
        <v>0.95512184518231413</v>
      </c>
      <c r="S11" s="28">
        <v>0.16666666666666666</v>
      </c>
      <c r="T11" s="28">
        <v>0.22638888888888889</v>
      </c>
      <c r="U11" s="346"/>
      <c r="V11" s="356">
        <f>(T11-S11)*24*60</f>
        <v>86.000000000000014</v>
      </c>
      <c r="W11" s="16">
        <f>T11</f>
        <v>0.22638888888888889</v>
      </c>
      <c r="X11" s="16">
        <f>S12</f>
        <v>0.24513888888888891</v>
      </c>
      <c r="Y11" s="443"/>
      <c r="Z11" s="443"/>
      <c r="AA11" s="12">
        <f t="shared" si="2"/>
        <v>-60.697674418604947</v>
      </c>
      <c r="AB11" s="351">
        <f t="shared" si="17"/>
        <v>0.95953488372092999</v>
      </c>
      <c r="AC11" s="442">
        <f>AB16</f>
        <v>0.95512184518231402</v>
      </c>
    </row>
    <row r="12" spans="1:29" ht="16.5" customHeight="1">
      <c r="A12" s="470" t="s">
        <v>1749</v>
      </c>
      <c r="B12" s="357" t="s">
        <v>53</v>
      </c>
      <c r="C12" s="464" t="s">
        <v>107</v>
      </c>
      <c r="D12" s="464"/>
      <c r="E12" s="31">
        <v>39.619999999999997</v>
      </c>
      <c r="F12" s="357">
        <v>5010</v>
      </c>
      <c r="G12" s="346">
        <f t="shared" si="18"/>
        <v>198496.19999999998</v>
      </c>
      <c r="H12" s="359" t="s">
        <v>103</v>
      </c>
      <c r="I12" s="355">
        <v>19</v>
      </c>
      <c r="J12" s="26">
        <v>1500</v>
      </c>
      <c r="K12" s="10">
        <f>J12/I12</f>
        <v>78.94736842105263</v>
      </c>
      <c r="L12" s="355">
        <v>19</v>
      </c>
      <c r="M12" s="11">
        <f>F12/V12*60</f>
        <v>1431.4285714285711</v>
      </c>
      <c r="N12" s="10">
        <f t="shared" si="19"/>
        <v>75.338345864661633</v>
      </c>
      <c r="O12" s="12">
        <f>L12-I12</f>
        <v>0</v>
      </c>
      <c r="P12" s="13">
        <f>N12-K12</f>
        <v>-3.6090225563909968</v>
      </c>
      <c r="Q12" s="351">
        <f>N12/K12</f>
        <v>0.95428571428571407</v>
      </c>
      <c r="R12" s="442"/>
      <c r="S12" s="28">
        <v>0.24513888888888891</v>
      </c>
      <c r="T12" s="28">
        <v>0.39097222222222228</v>
      </c>
      <c r="U12" s="346">
        <f>IF(S12=TIME(17,0,0),"",(S12-T11)*24*60)</f>
        <v>27.000000000000025</v>
      </c>
      <c r="V12" s="356">
        <f>(T12-S12)*24*60</f>
        <v>210.00000000000006</v>
      </c>
      <c r="W12" s="16"/>
      <c r="X12" s="16"/>
      <c r="Y12" s="443"/>
      <c r="Z12" s="443"/>
      <c r="AA12" s="12">
        <f t="shared" si="2"/>
        <v>-68.571428571428896</v>
      </c>
      <c r="AB12" s="351">
        <f t="shared" si="17"/>
        <v>0.95428571428571407</v>
      </c>
      <c r="AC12" s="442"/>
    </row>
    <row r="13" spans="1:29" ht="16.5" customHeight="1">
      <c r="A13" s="470" t="s">
        <v>1749</v>
      </c>
      <c r="B13" s="357" t="s">
        <v>53</v>
      </c>
      <c r="C13" s="464" t="s">
        <v>163</v>
      </c>
      <c r="D13" s="464"/>
      <c r="E13" s="31">
        <v>39.36</v>
      </c>
      <c r="F13" s="357">
        <v>3830</v>
      </c>
      <c r="G13" s="346">
        <f t="shared" si="18"/>
        <v>150748.79999999999</v>
      </c>
      <c r="H13" s="359" t="s">
        <v>103</v>
      </c>
      <c r="I13" s="355">
        <v>20</v>
      </c>
      <c r="J13" s="26">
        <v>1500</v>
      </c>
      <c r="K13" s="10">
        <f t="shared" ref="K13:K15" si="22">J13/I13</f>
        <v>75</v>
      </c>
      <c r="L13" s="355">
        <v>20</v>
      </c>
      <c r="M13" s="11">
        <f t="shared" ref="M13:M15" si="23">F13/V13*60</f>
        <v>1427.3291925465846</v>
      </c>
      <c r="N13" s="10">
        <f t="shared" si="19"/>
        <v>71.366459627329235</v>
      </c>
      <c r="O13" s="12">
        <f t="shared" ref="O13:O15" si="24">L13-I13</f>
        <v>0</v>
      </c>
      <c r="P13" s="13">
        <f t="shared" ref="P13:P15" si="25">N13-K13</f>
        <v>-3.6335403726707654</v>
      </c>
      <c r="Q13" s="351">
        <f t="shared" ref="Q13:Q21" si="26">N13/K13</f>
        <v>0.9515527950310565</v>
      </c>
      <c r="R13" s="442"/>
      <c r="S13" s="28">
        <v>0.39652777777777781</v>
      </c>
      <c r="T13" s="28">
        <v>0.5083333333333333</v>
      </c>
      <c r="U13" s="346">
        <f t="shared" ref="U13:U15" si="27">IF(S13=TIME(17,0,0),"",(S13-T12)*24*60)</f>
        <v>7.9999999999999716</v>
      </c>
      <c r="V13" s="356">
        <f t="shared" ref="V13:V15" si="28">(T13-S13)*24*60</f>
        <v>160.99999999999991</v>
      </c>
      <c r="W13" s="16"/>
      <c r="X13" s="16"/>
      <c r="Y13" s="443"/>
      <c r="Z13" s="443"/>
      <c r="AA13" s="12">
        <f t="shared" si="2"/>
        <v>-72.670807453415364</v>
      </c>
      <c r="AB13" s="351">
        <f t="shared" si="17"/>
        <v>0.95155279503105639</v>
      </c>
      <c r="AC13" s="442"/>
    </row>
    <row r="14" spans="1:29" ht="16.5" customHeight="1">
      <c r="A14" s="470" t="s">
        <v>1749</v>
      </c>
      <c r="B14" s="357" t="s">
        <v>58</v>
      </c>
      <c r="C14" s="464" t="s">
        <v>59</v>
      </c>
      <c r="D14" s="464"/>
      <c r="E14" s="31">
        <v>50.98</v>
      </c>
      <c r="F14" s="357">
        <v>2994</v>
      </c>
      <c r="G14" s="346">
        <f t="shared" si="18"/>
        <v>152634.12</v>
      </c>
      <c r="H14" s="359" t="s">
        <v>103</v>
      </c>
      <c r="I14" s="355">
        <v>16</v>
      </c>
      <c r="J14" s="26">
        <v>2000</v>
      </c>
      <c r="K14" s="10">
        <f t="shared" si="22"/>
        <v>125</v>
      </c>
      <c r="L14" s="355">
        <v>16</v>
      </c>
      <c r="M14" s="11">
        <f t="shared" si="23"/>
        <v>1911.0638297872345</v>
      </c>
      <c r="N14" s="10">
        <f t="shared" si="19"/>
        <v>119.44148936170215</v>
      </c>
      <c r="O14" s="12">
        <f t="shared" si="24"/>
        <v>0</v>
      </c>
      <c r="P14" s="13">
        <f t="shared" si="25"/>
        <v>-5.5585106382978466</v>
      </c>
      <c r="Q14" s="351">
        <f t="shared" si="26"/>
        <v>0.95553191489361722</v>
      </c>
      <c r="R14" s="442"/>
      <c r="S14" s="28">
        <v>0.70833333333333337</v>
      </c>
      <c r="T14" s="28">
        <v>0.77361111111111114</v>
      </c>
      <c r="U14" s="346" t="str">
        <f t="shared" si="27"/>
        <v/>
      </c>
      <c r="V14" s="356">
        <f t="shared" si="28"/>
        <v>93.999999999999986</v>
      </c>
      <c r="W14" s="16"/>
      <c r="X14" s="16"/>
      <c r="Y14" s="443"/>
      <c r="Z14" s="443"/>
      <c r="AA14" s="12">
        <f t="shared" si="2"/>
        <v>-88.936170212765546</v>
      </c>
      <c r="AB14" s="351">
        <f t="shared" si="17"/>
        <v>0.95553191489361722</v>
      </c>
      <c r="AC14" s="442"/>
    </row>
    <row r="15" spans="1:29" ht="16.5" customHeight="1">
      <c r="A15" s="470" t="s">
        <v>1749</v>
      </c>
      <c r="B15" s="357" t="s">
        <v>58</v>
      </c>
      <c r="C15" s="464" t="s">
        <v>60</v>
      </c>
      <c r="D15" s="464"/>
      <c r="E15" s="31">
        <v>50.92</v>
      </c>
      <c r="F15" s="357">
        <v>3246</v>
      </c>
      <c r="G15" s="346">
        <f t="shared" si="18"/>
        <v>165286.32</v>
      </c>
      <c r="H15" s="359" t="s">
        <v>103</v>
      </c>
      <c r="I15" s="355">
        <v>15</v>
      </c>
      <c r="J15" s="26">
        <v>2000</v>
      </c>
      <c r="K15" s="10">
        <f t="shared" si="22"/>
        <v>133.33333333333334</v>
      </c>
      <c r="L15" s="355">
        <v>15</v>
      </c>
      <c r="M15" s="11">
        <f t="shared" si="23"/>
        <v>1909.4117647058833</v>
      </c>
      <c r="N15" s="10">
        <f t="shared" si="19"/>
        <v>127.29411764705888</v>
      </c>
      <c r="O15" s="12">
        <f t="shared" si="24"/>
        <v>0</v>
      </c>
      <c r="P15" s="13">
        <f t="shared" si="25"/>
        <v>-6.0392156862744599</v>
      </c>
      <c r="Q15" s="351">
        <f t="shared" si="26"/>
        <v>0.95470588235294152</v>
      </c>
      <c r="R15" s="442"/>
      <c r="S15" s="28">
        <v>0.77708333333333335</v>
      </c>
      <c r="T15" s="28">
        <v>0.84791666666666665</v>
      </c>
      <c r="U15" s="346">
        <f t="shared" si="27"/>
        <v>4.9999999999999822</v>
      </c>
      <c r="V15" s="356">
        <f t="shared" si="28"/>
        <v>101.99999999999996</v>
      </c>
      <c r="W15" s="16"/>
      <c r="X15" s="16"/>
      <c r="Y15" s="443"/>
      <c r="Z15" s="443"/>
      <c r="AA15" s="12">
        <f t="shared" si="2"/>
        <v>-90.588235294116657</v>
      </c>
      <c r="AB15" s="351">
        <f t="shared" si="17"/>
        <v>0.95470588235294163</v>
      </c>
      <c r="AC15" s="442"/>
    </row>
    <row r="16" spans="1:29" ht="16.5" customHeight="1">
      <c r="A16" s="470" t="s">
        <v>1749</v>
      </c>
      <c r="B16" s="31" t="s">
        <v>1678</v>
      </c>
      <c r="C16" s="446"/>
      <c r="D16" s="446"/>
      <c r="E16" s="345"/>
      <c r="F16" s="33"/>
      <c r="G16" s="10"/>
      <c r="H16" s="357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1623.7071368099339</v>
      </c>
      <c r="N16" s="10">
        <f t="shared" si="19"/>
        <v>84.568080042184064</v>
      </c>
      <c r="O16" s="12">
        <f>L16-I16</f>
        <v>0</v>
      </c>
      <c r="P16" s="13">
        <f>N16-K16</f>
        <v>-3.973586624482607</v>
      </c>
      <c r="Q16" s="351">
        <f t="shared" si="26"/>
        <v>0.95512184518231413</v>
      </c>
      <c r="R16" s="442"/>
      <c r="S16" s="28"/>
      <c r="T16" s="28"/>
      <c r="U16" s="346"/>
      <c r="V16" s="356"/>
      <c r="W16" s="10"/>
      <c r="X16" s="10"/>
      <c r="Y16" s="443"/>
      <c r="Z16" s="443"/>
      <c r="AA16" s="12">
        <f t="shared" si="2"/>
        <v>-76.2928631900661</v>
      </c>
      <c r="AB16" s="351">
        <f t="shared" si="17"/>
        <v>0.95512184518231402</v>
      </c>
      <c r="AC16" s="442"/>
    </row>
    <row r="17" spans="1:29" ht="15.75" customHeight="1">
      <c r="A17" s="467" t="s">
        <v>1750</v>
      </c>
      <c r="B17" s="31" t="s">
        <v>56</v>
      </c>
      <c r="C17" s="464" t="s">
        <v>61</v>
      </c>
      <c r="D17" s="464"/>
      <c r="E17" s="31">
        <v>43.14</v>
      </c>
      <c r="F17" s="357">
        <v>1407</v>
      </c>
      <c r="G17" s="346">
        <f t="shared" ref="G17:G21" si="29">E17*F17</f>
        <v>60697.98</v>
      </c>
      <c r="H17" s="359" t="s">
        <v>103</v>
      </c>
      <c r="I17" s="355">
        <v>17</v>
      </c>
      <c r="J17" s="26">
        <v>2000</v>
      </c>
      <c r="K17" s="10">
        <f t="shared" ref="K17:K22" si="30">J17/I17</f>
        <v>117.64705882352941</v>
      </c>
      <c r="L17" s="355">
        <v>17</v>
      </c>
      <c r="M17" s="11">
        <f t="shared" ref="M17:M21" si="31">F17/V17*60</f>
        <v>1918.6363636363635</v>
      </c>
      <c r="N17" s="10">
        <f t="shared" si="19"/>
        <v>112.86096256684492</v>
      </c>
      <c r="O17" s="12">
        <f t="shared" ref="O17:O21" si="32">L17-I17</f>
        <v>0</v>
      </c>
      <c r="P17" s="13">
        <f t="shared" ref="P17:P21" si="33">N17-K17</f>
        <v>-4.7860962566844876</v>
      </c>
      <c r="Q17" s="351">
        <f t="shared" si="26"/>
        <v>0.95931818181818185</v>
      </c>
      <c r="R17" s="442">
        <f>Q22</f>
        <v>0.95787346863662648</v>
      </c>
      <c r="S17" s="28">
        <v>0.20833333333333334</v>
      </c>
      <c r="T17" s="28">
        <v>0.2388888888888889</v>
      </c>
      <c r="U17" s="346"/>
      <c r="V17" s="356">
        <f>(T17-S17)*24*60</f>
        <v>44</v>
      </c>
      <c r="W17" s="18"/>
      <c r="X17" s="18"/>
      <c r="Y17" s="443"/>
      <c r="Z17" s="443"/>
      <c r="AA17" s="12">
        <f t="shared" si="2"/>
        <v>-81.363636363636488</v>
      </c>
      <c r="AB17" s="351">
        <f t="shared" si="17"/>
        <v>0.95931818181818174</v>
      </c>
      <c r="AC17" s="442">
        <f>AB22</f>
        <v>0.95787346863662637</v>
      </c>
    </row>
    <row r="18" spans="1:29" ht="15.75" customHeight="1">
      <c r="A18" s="468" t="s">
        <v>1750</v>
      </c>
      <c r="B18" s="31" t="s">
        <v>58</v>
      </c>
      <c r="C18" s="464" t="s">
        <v>62</v>
      </c>
      <c r="D18" s="464"/>
      <c r="E18" s="31">
        <v>57.73</v>
      </c>
      <c r="F18" s="357">
        <v>2893</v>
      </c>
      <c r="G18" s="346">
        <f t="shared" si="29"/>
        <v>167012.88999999998</v>
      </c>
      <c r="H18" s="359" t="s">
        <v>103</v>
      </c>
      <c r="I18" s="355">
        <v>15</v>
      </c>
      <c r="J18" s="26">
        <v>2000</v>
      </c>
      <c r="K18" s="10">
        <f t="shared" si="30"/>
        <v>133.33333333333334</v>
      </c>
      <c r="L18" s="355">
        <v>15</v>
      </c>
      <c r="M18" s="11">
        <f t="shared" si="31"/>
        <v>1907.4725274725274</v>
      </c>
      <c r="N18" s="10">
        <f t="shared" si="19"/>
        <v>127.16483516483517</v>
      </c>
      <c r="O18" s="12">
        <f t="shared" si="32"/>
        <v>0</v>
      </c>
      <c r="P18" s="13">
        <f t="shared" si="33"/>
        <v>-6.168498168498175</v>
      </c>
      <c r="Q18" s="351">
        <f t="shared" si="26"/>
        <v>0.95373626373626375</v>
      </c>
      <c r="R18" s="442"/>
      <c r="S18" s="28">
        <v>0.24305555555555558</v>
      </c>
      <c r="T18" s="28">
        <v>0.30625000000000002</v>
      </c>
      <c r="U18" s="346">
        <f>IF(S18=TIME(17,0,0),"",(S18-T17)*24*60)</f>
        <v>6.0000000000000187</v>
      </c>
      <c r="V18" s="356">
        <f t="shared" ref="V18:V21" si="34">(T18-S18)*24*60</f>
        <v>91</v>
      </c>
      <c r="W18" s="16"/>
      <c r="X18" s="346"/>
      <c r="Y18" s="443"/>
      <c r="Z18" s="443"/>
      <c r="AA18" s="12">
        <f t="shared" si="2"/>
        <v>-92.527472527472582</v>
      </c>
      <c r="AB18" s="351">
        <f t="shared" si="17"/>
        <v>0.95373626373626375</v>
      </c>
      <c r="AC18" s="442"/>
    </row>
    <row r="19" spans="1:29" ht="15.75" customHeight="1">
      <c r="A19" s="468" t="s">
        <v>1750</v>
      </c>
      <c r="B19" s="31" t="s">
        <v>58</v>
      </c>
      <c r="C19" s="464" t="s">
        <v>63</v>
      </c>
      <c r="D19" s="464"/>
      <c r="E19" s="31">
        <v>53.68</v>
      </c>
      <c r="F19" s="357">
        <v>1952</v>
      </c>
      <c r="G19" s="346">
        <f t="shared" si="29"/>
        <v>104783.36</v>
      </c>
      <c r="H19" s="359" t="s">
        <v>103</v>
      </c>
      <c r="I19" s="355">
        <v>16</v>
      </c>
      <c r="J19" s="26">
        <v>2000</v>
      </c>
      <c r="K19" s="10">
        <f t="shared" si="30"/>
        <v>125</v>
      </c>
      <c r="L19" s="355">
        <v>16</v>
      </c>
      <c r="M19" s="11">
        <f t="shared" si="31"/>
        <v>1919.9999999999993</v>
      </c>
      <c r="N19" s="10">
        <f t="shared" si="19"/>
        <v>119.99999999999996</v>
      </c>
      <c r="O19" s="12">
        <f t="shared" si="32"/>
        <v>0</v>
      </c>
      <c r="P19" s="13">
        <f t="shared" si="33"/>
        <v>-5.0000000000000426</v>
      </c>
      <c r="Q19" s="351">
        <f t="shared" si="26"/>
        <v>0.95999999999999963</v>
      </c>
      <c r="R19" s="442"/>
      <c r="S19" s="28">
        <v>0.31111111111111112</v>
      </c>
      <c r="T19" s="28">
        <v>0.35347222222222224</v>
      </c>
      <c r="U19" s="346">
        <f t="shared" ref="U19:U21" si="35">IF(S19=TIME(17,0,0),"",(S19-T18)*24*60)</f>
        <v>6.9999999999999751</v>
      </c>
      <c r="V19" s="356">
        <f t="shared" si="34"/>
        <v>61.000000000000021</v>
      </c>
      <c r="W19" s="16"/>
      <c r="X19" s="346"/>
      <c r="Y19" s="443"/>
      <c r="Z19" s="443"/>
      <c r="AA19" s="12">
        <f t="shared" si="2"/>
        <v>-80.000000000000682</v>
      </c>
      <c r="AB19" s="351">
        <f t="shared" si="17"/>
        <v>0.95999999999999963</v>
      </c>
      <c r="AC19" s="442"/>
    </row>
    <row r="20" spans="1:29" ht="15.75" customHeight="1">
      <c r="A20" s="468" t="s">
        <v>1750</v>
      </c>
      <c r="B20" s="31" t="s">
        <v>58</v>
      </c>
      <c r="C20" s="464" t="s">
        <v>1170</v>
      </c>
      <c r="D20" s="464"/>
      <c r="E20" s="31">
        <v>53.27</v>
      </c>
      <c r="F20" s="357">
        <v>2426</v>
      </c>
      <c r="G20" s="346">
        <f t="shared" si="29"/>
        <v>129233.02</v>
      </c>
      <c r="H20" s="359" t="s">
        <v>103</v>
      </c>
      <c r="I20" s="355">
        <v>17</v>
      </c>
      <c r="J20" s="26">
        <v>2000</v>
      </c>
      <c r="K20" s="10">
        <f t="shared" si="30"/>
        <v>117.64705882352941</v>
      </c>
      <c r="L20" s="355">
        <v>17</v>
      </c>
      <c r="M20" s="11">
        <f t="shared" si="31"/>
        <v>1915.2631578947376</v>
      </c>
      <c r="N20" s="10">
        <f t="shared" si="19"/>
        <v>112.66253869969044</v>
      </c>
      <c r="O20" s="12">
        <f t="shared" si="32"/>
        <v>0</v>
      </c>
      <c r="P20" s="13">
        <f t="shared" si="33"/>
        <v>-4.984520123838962</v>
      </c>
      <c r="Q20" s="351">
        <f t="shared" si="26"/>
        <v>0.95763157894736883</v>
      </c>
      <c r="R20" s="442"/>
      <c r="S20" s="28">
        <v>0.3576388888888889</v>
      </c>
      <c r="T20" s="28">
        <v>0.41041666666666665</v>
      </c>
      <c r="U20" s="346">
        <f t="shared" si="35"/>
        <v>5.9999999999999787</v>
      </c>
      <c r="V20" s="356">
        <f t="shared" si="34"/>
        <v>75.999999999999972</v>
      </c>
      <c r="W20" s="16"/>
      <c r="X20" s="346"/>
      <c r="Y20" s="443"/>
      <c r="Z20" s="443"/>
      <c r="AA20" s="12">
        <f t="shared" si="2"/>
        <v>-84.73684210526244</v>
      </c>
      <c r="AB20" s="351">
        <f t="shared" si="17"/>
        <v>0.95763157894736883</v>
      </c>
      <c r="AC20" s="442"/>
    </row>
    <row r="21" spans="1:29" ht="15.75" customHeight="1">
      <c r="A21" s="468" t="s">
        <v>1750</v>
      </c>
      <c r="B21" s="31" t="s">
        <v>58</v>
      </c>
      <c r="C21" s="464" t="s">
        <v>65</v>
      </c>
      <c r="D21" s="464"/>
      <c r="E21" s="31">
        <v>54.09</v>
      </c>
      <c r="F21" s="357">
        <v>2908</v>
      </c>
      <c r="G21" s="346">
        <f t="shared" si="29"/>
        <v>157293.72</v>
      </c>
      <c r="H21" s="359" t="s">
        <v>103</v>
      </c>
      <c r="I21" s="355">
        <v>19</v>
      </c>
      <c r="J21" s="26">
        <v>2000</v>
      </c>
      <c r="K21" s="10">
        <f t="shared" si="30"/>
        <v>105.26315789473684</v>
      </c>
      <c r="L21" s="355">
        <v>19</v>
      </c>
      <c r="M21" s="11">
        <f t="shared" si="31"/>
        <v>1917.3626373626373</v>
      </c>
      <c r="N21" s="10">
        <f t="shared" si="19"/>
        <v>100.91382301908618</v>
      </c>
      <c r="O21" s="12">
        <f t="shared" si="32"/>
        <v>0</v>
      </c>
      <c r="P21" s="13">
        <f t="shared" si="33"/>
        <v>-4.3493348756506549</v>
      </c>
      <c r="Q21" s="351">
        <f t="shared" si="26"/>
        <v>0.95868131868131878</v>
      </c>
      <c r="R21" s="442"/>
      <c r="S21" s="28">
        <v>0.70833333333333337</v>
      </c>
      <c r="T21" s="28">
        <v>0.77152777777777781</v>
      </c>
      <c r="U21" s="346" t="str">
        <f t="shared" si="35"/>
        <v/>
      </c>
      <c r="V21" s="356">
        <f t="shared" si="34"/>
        <v>91</v>
      </c>
      <c r="W21" s="16"/>
      <c r="X21" s="346"/>
      <c r="Y21" s="443"/>
      <c r="Z21" s="443"/>
      <c r="AA21" s="12">
        <f t="shared" si="2"/>
        <v>-82.637362637362685</v>
      </c>
      <c r="AB21" s="351">
        <f t="shared" si="17"/>
        <v>0.95868131868131867</v>
      </c>
      <c r="AC21" s="442"/>
    </row>
    <row r="22" spans="1:29" ht="15.75" customHeight="1">
      <c r="A22" s="468" t="s">
        <v>1750</v>
      </c>
      <c r="B22" s="31" t="s">
        <v>1678</v>
      </c>
      <c r="C22" s="446"/>
      <c r="D22" s="446"/>
      <c r="E22" s="345"/>
      <c r="F22" s="357"/>
      <c r="G22" s="346"/>
      <c r="H22" s="357"/>
      <c r="I22" s="19">
        <v>16.8</v>
      </c>
      <c r="J22" s="26">
        <v>2000</v>
      </c>
      <c r="K22" s="10">
        <f t="shared" si="30"/>
        <v>119.04761904761904</v>
      </c>
      <c r="L22" s="19">
        <v>16.8</v>
      </c>
      <c r="M22" s="11">
        <f>AVERAGE(M17:M21)</f>
        <v>1915.7469372732528</v>
      </c>
      <c r="N22" s="10">
        <f>M22/L22</f>
        <v>114.03255579007457</v>
      </c>
      <c r="O22" s="12">
        <f>L22-I22</f>
        <v>0</v>
      </c>
      <c r="P22" s="13">
        <f>N22-K22</f>
        <v>-5.0150632575444689</v>
      </c>
      <c r="Q22" s="351">
        <f>N22/K22</f>
        <v>0.95787346863662648</v>
      </c>
      <c r="R22" s="442"/>
      <c r="S22" s="28"/>
      <c r="T22" s="28"/>
      <c r="U22" s="10"/>
      <c r="V22" s="356"/>
      <c r="W22" s="10"/>
      <c r="X22" s="10"/>
      <c r="Y22" s="443"/>
      <c r="Z22" s="443"/>
      <c r="AA22" s="12">
        <f t="shared" si="2"/>
        <v>-84.253062726747203</v>
      </c>
      <c r="AB22" s="351">
        <f t="shared" si="17"/>
        <v>0.95787346863662637</v>
      </c>
      <c r="AC22" s="442"/>
    </row>
    <row r="23" spans="1:29" ht="15.75" customHeight="1">
      <c r="A23" s="463" t="s">
        <v>1751</v>
      </c>
      <c r="B23" s="31" t="s">
        <v>67</v>
      </c>
      <c r="C23" s="464" t="s">
        <v>68</v>
      </c>
      <c r="D23" s="464"/>
      <c r="E23" s="31">
        <v>26.2</v>
      </c>
      <c r="F23" s="357">
        <v>2600</v>
      </c>
      <c r="G23" s="346">
        <f t="shared" ref="G23:G30" si="36">E23*F23</f>
        <v>68120</v>
      </c>
      <c r="H23" s="359">
        <v>2</v>
      </c>
      <c r="I23" s="355">
        <v>20</v>
      </c>
      <c r="J23" s="26">
        <v>2400</v>
      </c>
      <c r="K23" s="10">
        <f>J23/I23</f>
        <v>120</v>
      </c>
      <c r="L23" s="355">
        <v>20</v>
      </c>
      <c r="M23" s="11">
        <f t="shared" ref="M23:M30" si="37">F23/V23*60</f>
        <v>2294.1176470588243</v>
      </c>
      <c r="N23" s="10">
        <f t="shared" ref="N23:N30" si="38">M23/L23</f>
        <v>114.70588235294122</v>
      </c>
      <c r="O23" s="12">
        <f t="shared" ref="O23:O30" si="39">L23-I23</f>
        <v>0</v>
      </c>
      <c r="P23" s="13">
        <f t="shared" ref="P23:P30" si="40">N23-K23</f>
        <v>-5.2941176470587834</v>
      </c>
      <c r="Q23" s="351">
        <f t="shared" ref="Q23:Q28" si="41">N23/K23</f>
        <v>0.95588235294117685</v>
      </c>
      <c r="R23" s="442">
        <f>Q31</f>
        <v>0.95576542233841333</v>
      </c>
      <c r="S23" s="28">
        <v>8.3333333333333329E-2</v>
      </c>
      <c r="T23" s="28">
        <v>0.13055555555555554</v>
      </c>
      <c r="U23" s="346"/>
      <c r="V23" s="356">
        <f t="shared" ref="V23:V30" si="42">(T23-S23)*24*60</f>
        <v>67.999999999999972</v>
      </c>
      <c r="W23" s="16">
        <f>T23</f>
        <v>0.13055555555555554</v>
      </c>
      <c r="X23" s="16">
        <f>S24</f>
        <v>0.15069444444444444</v>
      </c>
      <c r="Y23" s="443"/>
      <c r="Z23" s="443"/>
      <c r="AA23" s="12">
        <f t="shared" si="2"/>
        <v>-105.88235294117567</v>
      </c>
      <c r="AB23" s="351">
        <f>M23/J23</f>
        <v>0.95588235294117685</v>
      </c>
      <c r="AC23" s="442">
        <f>AB31</f>
        <v>0.95576542233841333</v>
      </c>
    </row>
    <row r="24" spans="1:29" ht="15.75" customHeight="1">
      <c r="A24" s="463" t="s">
        <v>1751</v>
      </c>
      <c r="B24" s="31" t="s">
        <v>67</v>
      </c>
      <c r="C24" s="464" t="s">
        <v>69</v>
      </c>
      <c r="D24" s="464"/>
      <c r="E24" s="31">
        <v>31.29</v>
      </c>
      <c r="F24" s="357">
        <v>5500</v>
      </c>
      <c r="G24" s="346">
        <f t="shared" si="36"/>
        <v>172095</v>
      </c>
      <c r="H24" s="359">
        <v>2</v>
      </c>
      <c r="I24" s="355">
        <v>18</v>
      </c>
      <c r="J24" s="26">
        <v>2400</v>
      </c>
      <c r="K24" s="10">
        <f t="shared" ref="K24:K31" si="43">J24/I24</f>
        <v>133.33333333333334</v>
      </c>
      <c r="L24" s="355">
        <v>18</v>
      </c>
      <c r="M24" s="11">
        <f t="shared" si="37"/>
        <v>2291.6666666666661</v>
      </c>
      <c r="N24" s="10">
        <f t="shared" si="38"/>
        <v>127.31481481481478</v>
      </c>
      <c r="O24" s="12">
        <f t="shared" si="39"/>
        <v>0</v>
      </c>
      <c r="P24" s="13">
        <f t="shared" si="40"/>
        <v>-6.0185185185185617</v>
      </c>
      <c r="Q24" s="351">
        <f t="shared" si="41"/>
        <v>0.95486111111111083</v>
      </c>
      <c r="R24" s="442"/>
      <c r="S24" s="28">
        <v>0.15069444444444444</v>
      </c>
      <c r="T24" s="28">
        <v>0.25069444444444444</v>
      </c>
      <c r="U24" s="346">
        <f>(S24-T23)*24*60</f>
        <v>29.000000000000018</v>
      </c>
      <c r="V24" s="356">
        <f t="shared" si="42"/>
        <v>144.00000000000003</v>
      </c>
      <c r="W24" s="16"/>
      <c r="X24" s="16"/>
      <c r="Y24" s="443"/>
      <c r="Z24" s="443"/>
      <c r="AA24" s="12">
        <f t="shared" si="2"/>
        <v>-108.33333333333394</v>
      </c>
      <c r="AB24" s="351">
        <f t="shared" ref="AB24:AB30" si="44">M24/J24</f>
        <v>0.95486111111111083</v>
      </c>
      <c r="AC24" s="442"/>
    </row>
    <row r="25" spans="1:29" ht="15.75" customHeight="1">
      <c r="A25" s="463" t="s">
        <v>1751</v>
      </c>
      <c r="B25" s="31" t="s">
        <v>67</v>
      </c>
      <c r="C25" s="464" t="s">
        <v>101</v>
      </c>
      <c r="D25" s="464"/>
      <c r="E25" s="31">
        <v>25</v>
      </c>
      <c r="F25" s="357">
        <v>4596</v>
      </c>
      <c r="G25" s="346">
        <f t="shared" si="36"/>
        <v>114900</v>
      </c>
      <c r="H25" s="359" t="s">
        <v>103</v>
      </c>
      <c r="I25" s="355">
        <v>15</v>
      </c>
      <c r="J25" s="26">
        <v>2400</v>
      </c>
      <c r="K25" s="10">
        <f t="shared" si="43"/>
        <v>160</v>
      </c>
      <c r="L25" s="355">
        <v>15</v>
      </c>
      <c r="M25" s="11">
        <f t="shared" si="37"/>
        <v>2298.0000000000009</v>
      </c>
      <c r="N25" s="10">
        <f t="shared" si="38"/>
        <v>153.20000000000007</v>
      </c>
      <c r="O25" s="12">
        <f t="shared" si="39"/>
        <v>0</v>
      </c>
      <c r="P25" s="13">
        <f t="shared" si="40"/>
        <v>-6.7999999999999261</v>
      </c>
      <c r="Q25" s="351">
        <f t="shared" si="41"/>
        <v>0.95750000000000046</v>
      </c>
      <c r="R25" s="442"/>
      <c r="S25" s="28">
        <v>0.25416666666666665</v>
      </c>
      <c r="T25" s="28">
        <v>0.33749999999999997</v>
      </c>
      <c r="U25" s="346">
        <f t="shared" ref="U25:U30" si="45">(S25-T24)*24*60</f>
        <v>4.9999999999999822</v>
      </c>
      <c r="V25" s="356">
        <f t="shared" si="42"/>
        <v>119.99999999999997</v>
      </c>
      <c r="W25" s="16"/>
      <c r="X25" s="16"/>
      <c r="Y25" s="443"/>
      <c r="Z25" s="443"/>
      <c r="AA25" s="12">
        <f t="shared" si="2"/>
        <v>-101.99999999999909</v>
      </c>
      <c r="AB25" s="351">
        <f t="shared" si="44"/>
        <v>0.95750000000000035</v>
      </c>
      <c r="AC25" s="442"/>
    </row>
    <row r="26" spans="1:29" ht="15.75" customHeight="1">
      <c r="A26" s="463" t="s">
        <v>1751</v>
      </c>
      <c r="B26" s="31" t="s">
        <v>67</v>
      </c>
      <c r="C26" s="464" t="s">
        <v>165</v>
      </c>
      <c r="D26" s="464"/>
      <c r="E26" s="31">
        <v>26.18</v>
      </c>
      <c r="F26" s="357">
        <v>4985</v>
      </c>
      <c r="G26" s="346">
        <f t="shared" si="36"/>
        <v>130507.3</v>
      </c>
      <c r="H26" s="359" t="s">
        <v>103</v>
      </c>
      <c r="I26" s="355">
        <v>19</v>
      </c>
      <c r="J26" s="26">
        <v>2400</v>
      </c>
      <c r="K26" s="10">
        <f t="shared" si="43"/>
        <v>126.31578947368421</v>
      </c>
      <c r="L26" s="355">
        <v>19</v>
      </c>
      <c r="M26" s="11">
        <f t="shared" si="37"/>
        <v>2300.7692307692305</v>
      </c>
      <c r="N26" s="10">
        <f t="shared" si="38"/>
        <v>121.09311740890686</v>
      </c>
      <c r="O26" s="12">
        <f t="shared" si="39"/>
        <v>0</v>
      </c>
      <c r="P26" s="13">
        <f t="shared" si="40"/>
        <v>-5.2226720647773419</v>
      </c>
      <c r="Q26" s="351">
        <f t="shared" si="41"/>
        <v>0.95865384615384608</v>
      </c>
      <c r="R26" s="442"/>
      <c r="S26" s="28">
        <v>0.34097222222222218</v>
      </c>
      <c r="T26" s="28">
        <v>0.43124999999999997</v>
      </c>
      <c r="U26" s="346">
        <f t="shared" si="45"/>
        <v>4.9999999999999822</v>
      </c>
      <c r="V26" s="356">
        <f t="shared" si="42"/>
        <v>130.00000000000003</v>
      </c>
      <c r="W26" s="16"/>
      <c r="X26" s="16"/>
      <c r="Y26" s="443"/>
      <c r="Z26" s="443"/>
      <c r="AA26" s="12">
        <f t="shared" si="2"/>
        <v>-99.230769230769511</v>
      </c>
      <c r="AB26" s="351">
        <f t="shared" si="44"/>
        <v>0.95865384615384608</v>
      </c>
      <c r="AC26" s="442"/>
    </row>
    <row r="27" spans="1:29" ht="15.75" customHeight="1">
      <c r="A27" s="463" t="s">
        <v>1751</v>
      </c>
      <c r="B27" s="31" t="s">
        <v>67</v>
      </c>
      <c r="C27" s="464" t="s">
        <v>77</v>
      </c>
      <c r="D27" s="464"/>
      <c r="E27" s="31">
        <v>26.2</v>
      </c>
      <c r="F27" s="357">
        <v>4660</v>
      </c>
      <c r="G27" s="346">
        <f t="shared" si="36"/>
        <v>122092</v>
      </c>
      <c r="H27" s="359" t="s">
        <v>103</v>
      </c>
      <c r="I27" s="355">
        <v>19</v>
      </c>
      <c r="J27" s="26">
        <v>2400</v>
      </c>
      <c r="K27" s="10">
        <f t="shared" si="43"/>
        <v>126.31578947368421</v>
      </c>
      <c r="L27" s="355">
        <v>19</v>
      </c>
      <c r="M27" s="11">
        <f t="shared" si="37"/>
        <v>2291.8032786885251</v>
      </c>
      <c r="N27" s="10">
        <f t="shared" si="38"/>
        <v>120.6212251941329</v>
      </c>
      <c r="O27" s="12">
        <f t="shared" si="39"/>
        <v>0</v>
      </c>
      <c r="P27" s="13">
        <f t="shared" si="40"/>
        <v>-5.694564279551301</v>
      </c>
      <c r="Q27" s="351">
        <f t="shared" si="41"/>
        <v>0.95491803278688558</v>
      </c>
      <c r="R27" s="442"/>
      <c r="S27" s="28">
        <v>0.4368055555555555</v>
      </c>
      <c r="T27" s="28">
        <v>0.5215277777777777</v>
      </c>
      <c r="U27" s="346">
        <f t="shared" si="45"/>
        <v>7.9999999999999716</v>
      </c>
      <c r="V27" s="356">
        <f t="shared" si="42"/>
        <v>121.99999999999997</v>
      </c>
      <c r="W27" s="16">
        <f>T27</f>
        <v>0.5215277777777777</v>
      </c>
      <c r="X27" s="16">
        <f>S28</f>
        <v>0.56249999999999989</v>
      </c>
      <c r="Y27" s="443"/>
      <c r="Z27" s="443"/>
      <c r="AA27" s="12">
        <f t="shared" si="2"/>
        <v>-108.1967213114749</v>
      </c>
      <c r="AB27" s="351">
        <f t="shared" si="44"/>
        <v>0.95491803278688547</v>
      </c>
      <c r="AC27" s="442"/>
    </row>
    <row r="28" spans="1:29" ht="15.75" customHeight="1">
      <c r="A28" s="463" t="s">
        <v>1751</v>
      </c>
      <c r="B28" s="31" t="s">
        <v>67</v>
      </c>
      <c r="C28" s="464" t="s">
        <v>69</v>
      </c>
      <c r="D28" s="464"/>
      <c r="E28" s="31">
        <v>31.29</v>
      </c>
      <c r="F28" s="357">
        <v>4821</v>
      </c>
      <c r="G28" s="346">
        <f t="shared" si="36"/>
        <v>150849.09</v>
      </c>
      <c r="H28" s="359" t="s">
        <v>103</v>
      </c>
      <c r="I28" s="355">
        <v>18</v>
      </c>
      <c r="J28" s="26">
        <v>2400</v>
      </c>
      <c r="K28" s="10">
        <f t="shared" si="43"/>
        <v>133.33333333333334</v>
      </c>
      <c r="L28" s="355">
        <v>18</v>
      </c>
      <c r="M28" s="11">
        <f t="shared" si="37"/>
        <v>2295.7142857142853</v>
      </c>
      <c r="N28" s="10">
        <f t="shared" si="38"/>
        <v>127.53968253968252</v>
      </c>
      <c r="O28" s="12">
        <f t="shared" si="39"/>
        <v>0</v>
      </c>
      <c r="P28" s="13">
        <f t="shared" si="40"/>
        <v>-5.7936507936508264</v>
      </c>
      <c r="Q28" s="351">
        <f t="shared" si="41"/>
        <v>0.95654761904761876</v>
      </c>
      <c r="R28" s="442"/>
      <c r="S28" s="28">
        <v>0.56249999999999989</v>
      </c>
      <c r="T28" s="28">
        <v>0.64999999999999991</v>
      </c>
      <c r="U28" s="346">
        <f t="shared" si="45"/>
        <v>58.99999999999995</v>
      </c>
      <c r="V28" s="356">
        <f t="shared" si="42"/>
        <v>126.00000000000003</v>
      </c>
      <c r="W28" s="16"/>
      <c r="X28" s="16"/>
      <c r="Y28" s="443"/>
      <c r="Z28" s="443"/>
      <c r="AA28" s="12">
        <f t="shared" si="2"/>
        <v>-104.28571428571468</v>
      </c>
      <c r="AB28" s="351">
        <f t="shared" si="44"/>
        <v>0.95654761904761887</v>
      </c>
      <c r="AC28" s="442"/>
    </row>
    <row r="29" spans="1:29" ht="15.75" customHeight="1">
      <c r="A29" s="463" t="s">
        <v>1751</v>
      </c>
      <c r="B29" s="31" t="s">
        <v>67</v>
      </c>
      <c r="C29" s="464" t="s">
        <v>68</v>
      </c>
      <c r="D29" s="464"/>
      <c r="E29" s="31">
        <v>26.2</v>
      </c>
      <c r="F29" s="357">
        <v>2288</v>
      </c>
      <c r="G29" s="346">
        <f t="shared" si="36"/>
        <v>59945.599999999999</v>
      </c>
      <c r="H29" s="359" t="s">
        <v>103</v>
      </c>
      <c r="I29" s="355">
        <v>20</v>
      </c>
      <c r="J29" s="26">
        <v>2400</v>
      </c>
      <c r="K29" s="10">
        <f t="shared" si="43"/>
        <v>120</v>
      </c>
      <c r="L29" s="355">
        <v>20</v>
      </c>
      <c r="M29" s="11">
        <f t="shared" si="37"/>
        <v>2288.0000000000023</v>
      </c>
      <c r="N29" s="10">
        <f t="shared" si="38"/>
        <v>114.40000000000012</v>
      </c>
      <c r="O29" s="12">
        <f t="shared" si="39"/>
        <v>0</v>
      </c>
      <c r="P29" s="13">
        <f t="shared" si="40"/>
        <v>-5.5999999999998806</v>
      </c>
      <c r="Q29" s="351">
        <f>N29/K29</f>
        <v>0.95333333333333437</v>
      </c>
      <c r="R29" s="442"/>
      <c r="S29" s="28">
        <v>0.65347222222222212</v>
      </c>
      <c r="T29" s="28">
        <v>0.69513888888888875</v>
      </c>
      <c r="U29" s="346">
        <f t="shared" si="45"/>
        <v>4.9999999999999822</v>
      </c>
      <c r="V29" s="356">
        <f t="shared" si="42"/>
        <v>59.999999999999943</v>
      </c>
      <c r="W29" s="16"/>
      <c r="X29" s="16"/>
      <c r="Y29" s="443"/>
      <c r="Z29" s="443"/>
      <c r="AA29" s="12">
        <f t="shared" si="2"/>
        <v>-111.99999999999773</v>
      </c>
      <c r="AB29" s="351">
        <f t="shared" si="44"/>
        <v>0.95333333333333425</v>
      </c>
      <c r="AC29" s="442"/>
    </row>
    <row r="30" spans="1:29" ht="15.75" customHeight="1">
      <c r="A30" s="463" t="s">
        <v>1751</v>
      </c>
      <c r="B30" s="31" t="s">
        <v>67</v>
      </c>
      <c r="C30" s="464" t="s">
        <v>75</v>
      </c>
      <c r="D30" s="464"/>
      <c r="E30" s="31">
        <v>26.39</v>
      </c>
      <c r="F30" s="357">
        <v>3665</v>
      </c>
      <c r="G30" s="346">
        <f t="shared" si="36"/>
        <v>96719.35</v>
      </c>
      <c r="H30" s="359" t="s">
        <v>103</v>
      </c>
      <c r="I30" s="355">
        <v>19</v>
      </c>
      <c r="J30" s="26">
        <v>2400</v>
      </c>
      <c r="K30" s="10">
        <f t="shared" si="43"/>
        <v>126.31578947368421</v>
      </c>
      <c r="L30" s="355">
        <v>19</v>
      </c>
      <c r="M30" s="11">
        <f t="shared" si="37"/>
        <v>2290.6250000000005</v>
      </c>
      <c r="N30" s="10">
        <f t="shared" si="38"/>
        <v>120.55921052631581</v>
      </c>
      <c r="O30" s="12">
        <f t="shared" si="39"/>
        <v>0</v>
      </c>
      <c r="P30" s="13">
        <f t="shared" si="40"/>
        <v>-5.7565789473683964</v>
      </c>
      <c r="Q30" s="351">
        <f>N30/K30</f>
        <v>0.95442708333333348</v>
      </c>
      <c r="R30" s="442"/>
      <c r="S30" s="28">
        <v>0.6993055555555554</v>
      </c>
      <c r="T30" s="28">
        <v>0.76597222222222205</v>
      </c>
      <c r="U30" s="346">
        <f t="shared" si="45"/>
        <v>5.9999999999999787</v>
      </c>
      <c r="V30" s="356">
        <f t="shared" si="42"/>
        <v>95.999999999999972</v>
      </c>
      <c r="W30" s="16"/>
      <c r="X30" s="16"/>
      <c r="Y30" s="443"/>
      <c r="Z30" s="443"/>
      <c r="AA30" s="12">
        <f t="shared" si="2"/>
        <v>-109.37499999999955</v>
      </c>
      <c r="AB30" s="351">
        <f t="shared" si="44"/>
        <v>0.95442708333333348</v>
      </c>
      <c r="AC30" s="442"/>
    </row>
    <row r="31" spans="1:29" ht="15.75" customHeight="1">
      <c r="A31" s="463" t="s">
        <v>1751</v>
      </c>
      <c r="B31" s="31" t="s">
        <v>1678</v>
      </c>
      <c r="C31" s="446"/>
      <c r="D31" s="446"/>
      <c r="E31" s="345"/>
      <c r="F31" s="357"/>
      <c r="G31" s="346"/>
      <c r="H31" s="357"/>
      <c r="I31" s="19">
        <v>18.5</v>
      </c>
      <c r="J31" s="26">
        <v>2400</v>
      </c>
      <c r="K31" s="10">
        <f t="shared" si="43"/>
        <v>129.72972972972974</v>
      </c>
      <c r="L31" s="19">
        <v>18.5</v>
      </c>
      <c r="M31" s="11">
        <f>AVERAGE(M23:M30)</f>
        <v>2293.8370136121921</v>
      </c>
      <c r="N31" s="10">
        <f>M31/L31</f>
        <v>123.99118992498336</v>
      </c>
      <c r="O31" s="12">
        <f>L31-I31</f>
        <v>0</v>
      </c>
      <c r="P31" s="13">
        <f>N31-K31</f>
        <v>-5.7385398047463809</v>
      </c>
      <c r="Q31" s="351">
        <f>N31/K31</f>
        <v>0.95576542233841333</v>
      </c>
      <c r="R31" s="442"/>
      <c r="S31" s="28"/>
      <c r="T31" s="28"/>
      <c r="U31" s="346"/>
      <c r="V31" s="356"/>
      <c r="W31" s="346"/>
      <c r="X31" s="346"/>
      <c r="Y31" s="443"/>
      <c r="Z31" s="443"/>
      <c r="AA31" s="12">
        <f t="shared" si="2"/>
        <v>-106.1629863878079</v>
      </c>
      <c r="AB31" s="351">
        <f>M31/J31</f>
        <v>0.95576542233841333</v>
      </c>
      <c r="AC31" s="442"/>
    </row>
    <row r="32" spans="1:29" ht="15.75" customHeight="1">
      <c r="A32" s="461" t="s">
        <v>1675</v>
      </c>
      <c r="B32" s="31" t="s">
        <v>67</v>
      </c>
      <c r="C32" s="441" t="s">
        <v>73</v>
      </c>
      <c r="D32" s="441"/>
      <c r="E32" s="31">
        <v>26.2</v>
      </c>
      <c r="F32" s="357">
        <v>3800</v>
      </c>
      <c r="G32" s="346">
        <f t="shared" ref="G32:G40" si="46">E32*F32</f>
        <v>99560</v>
      </c>
      <c r="H32" s="359">
        <v>2</v>
      </c>
      <c r="I32" s="355">
        <v>18</v>
      </c>
      <c r="J32" s="26">
        <v>2400</v>
      </c>
      <c r="K32" s="10">
        <f>J32/I32</f>
        <v>133.33333333333334</v>
      </c>
      <c r="L32" s="355">
        <v>18</v>
      </c>
      <c r="M32" s="11">
        <f>F32/V32*60</f>
        <v>2303.030303030303</v>
      </c>
      <c r="N32" s="10">
        <f>M32/L32</f>
        <v>127.94612794612794</v>
      </c>
      <c r="O32" s="12">
        <f t="shared" ref="O32:O40" si="47">L32-I32</f>
        <v>0</v>
      </c>
      <c r="P32" s="13">
        <f t="shared" ref="P32:P48" si="48">N32-K32</f>
        <v>-5.3872053872053982</v>
      </c>
      <c r="Q32" s="351">
        <f t="shared" ref="Q32:Q48" si="49">N32/K32</f>
        <v>0.95959595959595956</v>
      </c>
      <c r="R32" s="442">
        <f>Q41</f>
        <v>0.95663431815594158</v>
      </c>
      <c r="S32" s="28">
        <v>8.3333333333333329E-2</v>
      </c>
      <c r="T32" s="28">
        <v>0.15208333333333332</v>
      </c>
      <c r="U32" s="346"/>
      <c r="V32" s="356">
        <f t="shared" ref="V32:V40" si="50">(T32-S32)*24*60</f>
        <v>99</v>
      </c>
      <c r="W32" s="18">
        <f>T32</f>
        <v>0.15208333333333332</v>
      </c>
      <c r="X32" s="18">
        <f>S33</f>
        <v>0.17083333333333334</v>
      </c>
      <c r="Y32" s="443"/>
      <c r="Z32" s="443"/>
      <c r="AA32" s="12">
        <f t="shared" si="2"/>
        <v>-96.969696969696997</v>
      </c>
      <c r="AB32" s="351">
        <f>M32/J32</f>
        <v>0.95959595959595956</v>
      </c>
      <c r="AC32" s="442">
        <f>AB41</f>
        <v>0.95663431815594147</v>
      </c>
    </row>
    <row r="33" spans="1:29" ht="15.75" customHeight="1">
      <c r="A33" s="461" t="s">
        <v>1675</v>
      </c>
      <c r="B33" s="31" t="s">
        <v>67</v>
      </c>
      <c r="C33" s="441" t="s">
        <v>75</v>
      </c>
      <c r="D33" s="441"/>
      <c r="E33" s="31">
        <v>26.39</v>
      </c>
      <c r="F33" s="357">
        <v>3500</v>
      </c>
      <c r="G33" s="346">
        <f t="shared" si="46"/>
        <v>92365</v>
      </c>
      <c r="H33" s="359">
        <v>2</v>
      </c>
      <c r="I33" s="355">
        <v>19</v>
      </c>
      <c r="J33" s="26">
        <v>2400</v>
      </c>
      <c r="K33" s="10">
        <f t="shared" ref="K33:K47" si="51">J33/I33</f>
        <v>126.31578947368421</v>
      </c>
      <c r="L33" s="355">
        <v>19</v>
      </c>
      <c r="M33" s="11">
        <f t="shared" ref="M33:M40" si="52">F33/V33*60</f>
        <v>2282.608695652174</v>
      </c>
      <c r="N33" s="10">
        <f t="shared" ref="N33:N40" si="53">M33/L33</f>
        <v>120.13729977116705</v>
      </c>
      <c r="O33" s="12">
        <f t="shared" si="47"/>
        <v>0</v>
      </c>
      <c r="P33" s="13">
        <f t="shared" si="48"/>
        <v>-6.1784897025171546</v>
      </c>
      <c r="Q33" s="351">
        <f t="shared" si="49"/>
        <v>0.95108695652173925</v>
      </c>
      <c r="R33" s="442"/>
      <c r="S33" s="28">
        <v>0.17083333333333334</v>
      </c>
      <c r="T33" s="28">
        <v>0.23472222222222222</v>
      </c>
      <c r="U33" s="346">
        <f>(S33-T32)*24*60</f>
        <v>27.000000000000025</v>
      </c>
      <c r="V33" s="356">
        <f t="shared" si="50"/>
        <v>92</v>
      </c>
      <c r="W33" s="346"/>
      <c r="X33" s="346"/>
      <c r="Y33" s="443"/>
      <c r="Z33" s="443"/>
      <c r="AA33" s="12">
        <f t="shared" si="2"/>
        <v>-117.39130434782601</v>
      </c>
      <c r="AB33" s="351">
        <f t="shared" ref="AB33:AB60" si="54">M33/J33</f>
        <v>0.95108695652173914</v>
      </c>
      <c r="AC33" s="442"/>
    </row>
    <row r="34" spans="1:29">
      <c r="A34" s="462" t="s">
        <v>1675</v>
      </c>
      <c r="B34" s="31" t="s">
        <v>67</v>
      </c>
      <c r="C34" s="441" t="s">
        <v>76</v>
      </c>
      <c r="D34" s="441"/>
      <c r="E34" s="31">
        <v>20.52</v>
      </c>
      <c r="F34" s="357">
        <v>3693</v>
      </c>
      <c r="G34" s="346">
        <f t="shared" si="46"/>
        <v>75780.36</v>
      </c>
      <c r="H34" s="359" t="s">
        <v>103</v>
      </c>
      <c r="I34" s="355">
        <v>18</v>
      </c>
      <c r="J34" s="26">
        <v>2400</v>
      </c>
      <c r="K34" s="10">
        <f t="shared" si="51"/>
        <v>133.33333333333334</v>
      </c>
      <c r="L34" s="355">
        <v>18</v>
      </c>
      <c r="M34" s="11">
        <f t="shared" si="52"/>
        <v>2284.3298969072162</v>
      </c>
      <c r="N34" s="10">
        <f t="shared" si="53"/>
        <v>126.90721649484534</v>
      </c>
      <c r="O34" s="12">
        <f t="shared" si="47"/>
        <v>0</v>
      </c>
      <c r="P34" s="13">
        <f t="shared" si="48"/>
        <v>-6.4261168384879994</v>
      </c>
      <c r="Q34" s="351">
        <f t="shared" si="49"/>
        <v>0.95180412371134004</v>
      </c>
      <c r="R34" s="442"/>
      <c r="S34" s="28">
        <v>0.24027777777777778</v>
      </c>
      <c r="T34" s="28">
        <v>0.30763888888888891</v>
      </c>
      <c r="U34" s="346">
        <f t="shared" ref="U34:U40" si="55">(S34-T33)*24*60</f>
        <v>8.0000000000000107</v>
      </c>
      <c r="V34" s="356">
        <f t="shared" si="50"/>
        <v>97.000000000000014</v>
      </c>
      <c r="W34" s="346"/>
      <c r="X34" s="346"/>
      <c r="Y34" s="443"/>
      <c r="Z34" s="443"/>
      <c r="AA34" s="12">
        <f t="shared" si="2"/>
        <v>-115.67010309278385</v>
      </c>
      <c r="AB34" s="351">
        <f t="shared" si="54"/>
        <v>0.95180412371134004</v>
      </c>
      <c r="AC34" s="442"/>
    </row>
    <row r="35" spans="1:29">
      <c r="A35" s="462" t="s">
        <v>1675</v>
      </c>
      <c r="B35" s="31" t="s">
        <v>67</v>
      </c>
      <c r="C35" s="441" t="s">
        <v>1167</v>
      </c>
      <c r="D35" s="441"/>
      <c r="E35" s="31">
        <v>24.43</v>
      </c>
      <c r="F35" s="357">
        <v>4800</v>
      </c>
      <c r="G35" s="346">
        <f t="shared" si="46"/>
        <v>117264</v>
      </c>
      <c r="H35" s="359">
        <v>2</v>
      </c>
      <c r="I35" s="355">
        <v>15</v>
      </c>
      <c r="J35" s="26">
        <v>2400</v>
      </c>
      <c r="K35" s="10">
        <f t="shared" si="51"/>
        <v>160</v>
      </c>
      <c r="L35" s="355">
        <v>15</v>
      </c>
      <c r="M35" s="11">
        <f t="shared" si="52"/>
        <v>2285.7142857142853</v>
      </c>
      <c r="N35" s="10">
        <f t="shared" si="53"/>
        <v>152.38095238095235</v>
      </c>
      <c r="O35" s="12">
        <f t="shared" si="47"/>
        <v>0</v>
      </c>
      <c r="P35" s="13">
        <f t="shared" si="48"/>
        <v>-7.6190476190476488</v>
      </c>
      <c r="Q35" s="351">
        <f t="shared" si="49"/>
        <v>0.95238095238095222</v>
      </c>
      <c r="R35" s="442"/>
      <c r="S35" s="28">
        <v>0.31180555555555556</v>
      </c>
      <c r="T35" s="28">
        <v>0.39930555555555558</v>
      </c>
      <c r="U35" s="346">
        <f t="shared" si="55"/>
        <v>5.9999999999999787</v>
      </c>
      <c r="V35" s="356">
        <f t="shared" si="50"/>
        <v>126.00000000000003</v>
      </c>
      <c r="W35" s="16"/>
      <c r="X35" s="16"/>
      <c r="Y35" s="443"/>
      <c r="Z35" s="443"/>
      <c r="AA35" s="12">
        <f t="shared" si="2"/>
        <v>-114.28571428571468</v>
      </c>
      <c r="AB35" s="351">
        <f t="shared" si="54"/>
        <v>0.95238095238095222</v>
      </c>
      <c r="AC35" s="442"/>
    </row>
    <row r="36" spans="1:29">
      <c r="A36" s="462" t="s">
        <v>1675</v>
      </c>
      <c r="B36" s="31" t="s">
        <v>67</v>
      </c>
      <c r="C36" s="441" t="s">
        <v>1616</v>
      </c>
      <c r="D36" s="441"/>
      <c r="E36" s="31">
        <v>23.16</v>
      </c>
      <c r="F36" s="357">
        <v>4300</v>
      </c>
      <c r="G36" s="346">
        <f t="shared" si="46"/>
        <v>99588</v>
      </c>
      <c r="H36" s="359">
        <v>2</v>
      </c>
      <c r="I36" s="355">
        <v>14</v>
      </c>
      <c r="J36" s="26">
        <v>2400</v>
      </c>
      <c r="K36" s="10">
        <f t="shared" si="51"/>
        <v>171.42857142857142</v>
      </c>
      <c r="L36" s="355">
        <v>14</v>
      </c>
      <c r="M36" s="11">
        <f t="shared" si="52"/>
        <v>2303.5714285714289</v>
      </c>
      <c r="N36" s="10">
        <f t="shared" si="53"/>
        <v>164.54081632653063</v>
      </c>
      <c r="O36" s="12">
        <f t="shared" si="47"/>
        <v>0</v>
      </c>
      <c r="P36" s="13">
        <f t="shared" si="48"/>
        <v>-6.887755102040785</v>
      </c>
      <c r="Q36" s="351">
        <f t="shared" si="49"/>
        <v>0.95982142857142871</v>
      </c>
      <c r="R36" s="442"/>
      <c r="S36" s="28">
        <v>0.40347222222222223</v>
      </c>
      <c r="T36" s="28">
        <v>0.48125000000000001</v>
      </c>
      <c r="U36" s="346">
        <f t="shared" si="55"/>
        <v>5.9999999999999787</v>
      </c>
      <c r="V36" s="356">
        <f t="shared" si="50"/>
        <v>112</v>
      </c>
      <c r="W36" s="16"/>
      <c r="X36" s="16"/>
      <c r="Y36" s="443"/>
      <c r="Z36" s="443"/>
      <c r="AA36" s="12">
        <f t="shared" si="2"/>
        <v>-96.428571428571104</v>
      </c>
      <c r="AB36" s="351">
        <f t="shared" si="54"/>
        <v>0.95982142857142871</v>
      </c>
      <c r="AC36" s="442"/>
    </row>
    <row r="37" spans="1:29">
      <c r="A37" s="462" t="s">
        <v>1675</v>
      </c>
      <c r="B37" s="31" t="s">
        <v>67</v>
      </c>
      <c r="C37" s="441" t="s">
        <v>78</v>
      </c>
      <c r="D37" s="441"/>
      <c r="E37" s="31">
        <v>25.98</v>
      </c>
      <c r="F37" s="357">
        <v>2580</v>
      </c>
      <c r="G37" s="346">
        <f t="shared" si="46"/>
        <v>67028.399999999994</v>
      </c>
      <c r="H37" s="359" t="s">
        <v>103</v>
      </c>
      <c r="I37" s="355">
        <v>17</v>
      </c>
      <c r="J37" s="26">
        <v>2400</v>
      </c>
      <c r="K37" s="10">
        <f t="shared" si="51"/>
        <v>141.1764705882353</v>
      </c>
      <c r="L37" s="355">
        <v>17</v>
      </c>
      <c r="M37" s="11">
        <f t="shared" si="52"/>
        <v>2310.4477611940301</v>
      </c>
      <c r="N37" s="10">
        <f t="shared" si="53"/>
        <v>135.90869183494294</v>
      </c>
      <c r="O37" s="12">
        <f t="shared" si="47"/>
        <v>0</v>
      </c>
      <c r="P37" s="13">
        <f t="shared" si="48"/>
        <v>-5.2677787532923617</v>
      </c>
      <c r="Q37" s="351">
        <f t="shared" si="49"/>
        <v>0.96268656716417911</v>
      </c>
      <c r="R37" s="442"/>
      <c r="S37" s="28">
        <v>0.48472222222222222</v>
      </c>
      <c r="T37" s="28">
        <v>0.53125</v>
      </c>
      <c r="U37" s="346">
        <f t="shared" si="55"/>
        <v>4.9999999999999822</v>
      </c>
      <c r="V37" s="356">
        <f t="shared" si="50"/>
        <v>67</v>
      </c>
      <c r="W37" s="16">
        <f>T37</f>
        <v>0.53125</v>
      </c>
      <c r="X37" s="16">
        <f>S38</f>
        <v>0.57152777777777775</v>
      </c>
      <c r="Y37" s="443"/>
      <c r="Z37" s="443"/>
      <c r="AA37" s="12">
        <f t="shared" si="2"/>
        <v>-89.552238805969864</v>
      </c>
      <c r="AB37" s="351">
        <f t="shared" si="54"/>
        <v>0.96268656716417922</v>
      </c>
      <c r="AC37" s="442"/>
    </row>
    <row r="38" spans="1:29">
      <c r="A38" s="462" t="s">
        <v>1675</v>
      </c>
      <c r="B38" s="31" t="s">
        <v>67</v>
      </c>
      <c r="C38" s="441" t="s">
        <v>1616</v>
      </c>
      <c r="D38" s="441"/>
      <c r="E38" s="31">
        <v>23.16</v>
      </c>
      <c r="F38" s="357">
        <v>3670</v>
      </c>
      <c r="G38" s="346">
        <f t="shared" si="46"/>
        <v>84997.2</v>
      </c>
      <c r="H38" s="359" t="s">
        <v>103</v>
      </c>
      <c r="I38" s="355">
        <v>14</v>
      </c>
      <c r="J38" s="26">
        <v>2400</v>
      </c>
      <c r="K38" s="10">
        <f t="shared" si="51"/>
        <v>171.42857142857142</v>
      </c>
      <c r="L38" s="355">
        <v>14</v>
      </c>
      <c r="M38" s="11">
        <f t="shared" si="52"/>
        <v>2293.7500000000009</v>
      </c>
      <c r="N38" s="10">
        <f t="shared" si="53"/>
        <v>163.83928571428578</v>
      </c>
      <c r="O38" s="12">
        <f t="shared" si="47"/>
        <v>0</v>
      </c>
      <c r="P38" s="13">
        <f t="shared" si="48"/>
        <v>-7.5892857142856371</v>
      </c>
      <c r="Q38" s="351">
        <f t="shared" si="49"/>
        <v>0.95572916666666707</v>
      </c>
      <c r="R38" s="442"/>
      <c r="S38" s="28">
        <v>0.57152777777777775</v>
      </c>
      <c r="T38" s="28">
        <v>0.6381944444444444</v>
      </c>
      <c r="U38" s="346">
        <f t="shared" si="55"/>
        <v>57.999999999999957</v>
      </c>
      <c r="V38" s="356">
        <f t="shared" si="50"/>
        <v>95.999999999999972</v>
      </c>
      <c r="W38" s="16"/>
      <c r="X38" s="16"/>
      <c r="Y38" s="447"/>
      <c r="Z38" s="448"/>
      <c r="AA38" s="12">
        <f t="shared" si="2"/>
        <v>-106.24999999999909</v>
      </c>
      <c r="AB38" s="351">
        <f t="shared" si="54"/>
        <v>0.95572916666666707</v>
      </c>
      <c r="AC38" s="442"/>
    </row>
    <row r="39" spans="1:29">
      <c r="A39" s="462" t="s">
        <v>1675</v>
      </c>
      <c r="B39" s="31" t="s">
        <v>67</v>
      </c>
      <c r="C39" s="441" t="s">
        <v>1167</v>
      </c>
      <c r="D39" s="441"/>
      <c r="E39" s="31">
        <v>24.43</v>
      </c>
      <c r="F39" s="357">
        <v>3678</v>
      </c>
      <c r="G39" s="346">
        <f t="shared" si="46"/>
        <v>89853.54</v>
      </c>
      <c r="H39" s="359" t="s">
        <v>103</v>
      </c>
      <c r="I39" s="355">
        <v>15</v>
      </c>
      <c r="J39" s="26">
        <v>2400</v>
      </c>
      <c r="K39" s="10">
        <f t="shared" si="51"/>
        <v>160</v>
      </c>
      <c r="L39" s="355">
        <v>15</v>
      </c>
      <c r="M39" s="11">
        <f t="shared" si="52"/>
        <v>2298.7500000000009</v>
      </c>
      <c r="N39" s="10">
        <f t="shared" si="53"/>
        <v>153.25000000000006</v>
      </c>
      <c r="O39" s="12">
        <f t="shared" si="47"/>
        <v>0</v>
      </c>
      <c r="P39" s="13">
        <f t="shared" si="48"/>
        <v>-6.7499999999999432</v>
      </c>
      <c r="Q39" s="351">
        <f t="shared" si="49"/>
        <v>0.9578125000000004</v>
      </c>
      <c r="R39" s="442"/>
      <c r="S39" s="28">
        <v>0.64236111111111105</v>
      </c>
      <c r="T39" s="28">
        <v>0.7090277777777777</v>
      </c>
      <c r="U39" s="346">
        <f t="shared" si="55"/>
        <v>5.9999999999999787</v>
      </c>
      <c r="V39" s="356">
        <f t="shared" si="50"/>
        <v>95.999999999999972</v>
      </c>
      <c r="W39" s="16"/>
      <c r="X39" s="16"/>
      <c r="Y39" s="447"/>
      <c r="Z39" s="448"/>
      <c r="AA39" s="12">
        <f t="shared" si="2"/>
        <v>-101.24999999999909</v>
      </c>
      <c r="AB39" s="351">
        <f t="shared" si="54"/>
        <v>0.9578125000000004</v>
      </c>
      <c r="AC39" s="442"/>
    </row>
    <row r="40" spans="1:29">
      <c r="A40" s="462" t="s">
        <v>1675</v>
      </c>
      <c r="B40" s="31" t="s">
        <v>67</v>
      </c>
      <c r="C40" s="441" t="s">
        <v>73</v>
      </c>
      <c r="D40" s="441"/>
      <c r="E40" s="31">
        <v>26.2</v>
      </c>
      <c r="F40" s="357">
        <v>3490</v>
      </c>
      <c r="G40" s="346">
        <f t="shared" si="46"/>
        <v>91438</v>
      </c>
      <c r="H40" s="359" t="s">
        <v>103</v>
      </c>
      <c r="I40" s="355">
        <v>18</v>
      </c>
      <c r="J40" s="26">
        <v>2400</v>
      </c>
      <c r="K40" s="10">
        <f t="shared" si="51"/>
        <v>133.33333333333334</v>
      </c>
      <c r="L40" s="355">
        <v>18</v>
      </c>
      <c r="M40" s="11">
        <f t="shared" si="52"/>
        <v>2301.098901098901</v>
      </c>
      <c r="N40" s="10">
        <f t="shared" si="53"/>
        <v>127.83882783882784</v>
      </c>
      <c r="O40" s="12">
        <f t="shared" si="47"/>
        <v>0</v>
      </c>
      <c r="P40" s="13">
        <f t="shared" si="48"/>
        <v>-5.4945054945055034</v>
      </c>
      <c r="Q40" s="351">
        <f t="shared" si="49"/>
        <v>0.95879120879120872</v>
      </c>
      <c r="R40" s="442"/>
      <c r="S40" s="28">
        <v>0.71319444444444435</v>
      </c>
      <c r="T40" s="28">
        <v>0.7763888888888888</v>
      </c>
      <c r="U40" s="346">
        <f t="shared" si="55"/>
        <v>5.9999999999999787</v>
      </c>
      <c r="V40" s="356">
        <f t="shared" si="50"/>
        <v>91</v>
      </c>
      <c r="W40" s="16"/>
      <c r="X40" s="16"/>
      <c r="Y40" s="447"/>
      <c r="Z40" s="448"/>
      <c r="AA40" s="12">
        <f t="shared" si="2"/>
        <v>-98.901098901098976</v>
      </c>
      <c r="AB40" s="351">
        <f t="shared" si="54"/>
        <v>0.95879120879120872</v>
      </c>
      <c r="AC40" s="442"/>
    </row>
    <row r="41" spans="1:29">
      <c r="A41" s="462" t="s">
        <v>1675</v>
      </c>
      <c r="B41" s="33" t="s">
        <v>1678</v>
      </c>
      <c r="C41" s="446"/>
      <c r="D41" s="446"/>
      <c r="E41" s="345"/>
      <c r="F41" s="33"/>
      <c r="G41" s="10"/>
      <c r="H41" s="357"/>
      <c r="I41" s="19">
        <v>16.444444444444443</v>
      </c>
      <c r="J41" s="26">
        <v>2400</v>
      </c>
      <c r="K41" s="10">
        <f t="shared" si="51"/>
        <v>145.94594594594597</v>
      </c>
      <c r="L41" s="19">
        <v>16.444444444444443</v>
      </c>
      <c r="M41" s="11">
        <f>AVERAGE(M32:M40)</f>
        <v>2295.9223635742596</v>
      </c>
      <c r="N41" s="10">
        <f>M41/L41</f>
        <v>139.61690048762392</v>
      </c>
      <c r="O41" s="12">
        <f>L41-I41</f>
        <v>0</v>
      </c>
      <c r="P41" s="13">
        <f t="shared" si="48"/>
        <v>-6.3290454583220424</v>
      </c>
      <c r="Q41" s="351">
        <f t="shared" si="49"/>
        <v>0.95663431815594158</v>
      </c>
      <c r="R41" s="442"/>
      <c r="S41" s="28"/>
      <c r="T41" s="28"/>
      <c r="U41" s="10"/>
      <c r="V41" s="356"/>
      <c r="W41" s="10"/>
      <c r="X41" s="10"/>
      <c r="Y41" s="443"/>
      <c r="Z41" s="443"/>
      <c r="AA41" s="12">
        <f t="shared" si="2"/>
        <v>-104.07763642574037</v>
      </c>
      <c r="AB41" s="351">
        <f t="shared" si="54"/>
        <v>0.95663431815594147</v>
      </c>
      <c r="AC41" s="442"/>
    </row>
    <row r="42" spans="1:29" ht="15.75" customHeight="1">
      <c r="A42" s="453" t="s">
        <v>1679</v>
      </c>
      <c r="B42" s="31" t="s">
        <v>79</v>
      </c>
      <c r="C42" s="444" t="s">
        <v>80</v>
      </c>
      <c r="D42" s="445"/>
      <c r="E42" s="31">
        <v>21.13</v>
      </c>
      <c r="F42" s="357">
        <v>5449</v>
      </c>
      <c r="G42" s="357">
        <f t="shared" ref="G42:G47" si="56">E42*F42</f>
        <v>115137.37</v>
      </c>
      <c r="H42" s="359"/>
      <c r="I42" s="19">
        <v>10</v>
      </c>
      <c r="J42" s="26">
        <v>3000</v>
      </c>
      <c r="K42" s="33">
        <f t="shared" si="51"/>
        <v>300</v>
      </c>
      <c r="L42" s="19">
        <v>10</v>
      </c>
      <c r="M42" s="26">
        <f t="shared" ref="M42:M47" si="57">F42/V42*60</f>
        <v>2867.8947368421059</v>
      </c>
      <c r="N42" s="26">
        <f t="shared" ref="N42:N48" si="58">M42/L42</f>
        <v>286.78947368421058</v>
      </c>
      <c r="O42" s="379">
        <f t="shared" ref="O42:O48" si="59">L42-I42</f>
        <v>0</v>
      </c>
      <c r="P42" s="380">
        <f t="shared" si="48"/>
        <v>-13.210526315789423</v>
      </c>
      <c r="Q42" s="381">
        <f t="shared" si="49"/>
        <v>0.95596491228070191</v>
      </c>
      <c r="R42" s="488">
        <f>Q48</f>
        <v>0.95657472966498491</v>
      </c>
      <c r="S42" s="28">
        <v>8.3333333333333329E-2</v>
      </c>
      <c r="T42" s="28">
        <v>0.16249999999999998</v>
      </c>
      <c r="U42" s="28"/>
      <c r="V42" s="359">
        <f t="shared" ref="V42:V47" si="60">(T42-S42)*24*60</f>
        <v>113.99999999999997</v>
      </c>
      <c r="W42" s="16">
        <f>T42</f>
        <v>0.16249999999999998</v>
      </c>
      <c r="X42" s="16">
        <f>S43</f>
        <v>0.18263888888888888</v>
      </c>
      <c r="Y42" s="447"/>
      <c r="Z42" s="448"/>
      <c r="AA42" s="12">
        <f t="shared" si="2"/>
        <v>-132.10526315789411</v>
      </c>
      <c r="AB42" s="351">
        <f t="shared" si="54"/>
        <v>0.95596491228070202</v>
      </c>
      <c r="AC42" s="456">
        <f>AB48</f>
        <v>0.95657472966498491</v>
      </c>
    </row>
    <row r="43" spans="1:29" ht="15.75" customHeight="1">
      <c r="A43" s="454" t="s">
        <v>1679</v>
      </c>
      <c r="B43" s="31" t="s">
        <v>79</v>
      </c>
      <c r="C43" s="444" t="s">
        <v>81</v>
      </c>
      <c r="D43" s="445"/>
      <c r="E43" s="31">
        <v>27.17</v>
      </c>
      <c r="F43" s="357">
        <v>7144</v>
      </c>
      <c r="G43" s="357">
        <f t="shared" si="56"/>
        <v>194102.48</v>
      </c>
      <c r="H43" s="359"/>
      <c r="I43" s="19">
        <v>10</v>
      </c>
      <c r="J43" s="26">
        <v>3000</v>
      </c>
      <c r="K43" s="33">
        <f t="shared" si="51"/>
        <v>300</v>
      </c>
      <c r="L43" s="19">
        <v>10</v>
      </c>
      <c r="M43" s="26">
        <f t="shared" si="57"/>
        <v>2857.6</v>
      </c>
      <c r="N43" s="26">
        <f t="shared" si="58"/>
        <v>285.76</v>
      </c>
      <c r="O43" s="379">
        <f t="shared" si="59"/>
        <v>0</v>
      </c>
      <c r="P43" s="380">
        <f t="shared" si="48"/>
        <v>-14.240000000000009</v>
      </c>
      <c r="Q43" s="381">
        <f t="shared" si="49"/>
        <v>0.95253333333333334</v>
      </c>
      <c r="R43" s="489"/>
      <c r="S43" s="28">
        <v>0.18263888888888888</v>
      </c>
      <c r="T43" s="28">
        <v>0.28680555555555554</v>
      </c>
      <c r="U43" s="357">
        <f>(S43-T42)*24*60</f>
        <v>29.000000000000018</v>
      </c>
      <c r="V43" s="359">
        <f t="shared" si="60"/>
        <v>150</v>
      </c>
      <c r="W43" s="16"/>
      <c r="X43" s="16"/>
      <c r="Y43" s="447"/>
      <c r="Z43" s="448"/>
      <c r="AA43" s="12">
        <f t="shared" si="2"/>
        <v>-142.40000000000009</v>
      </c>
      <c r="AB43" s="351">
        <f t="shared" si="54"/>
        <v>0.95253333333333334</v>
      </c>
      <c r="AC43" s="457"/>
    </row>
    <row r="44" spans="1:29" ht="15.75" customHeight="1">
      <c r="A44" s="454" t="s">
        <v>1679</v>
      </c>
      <c r="B44" s="31" t="s">
        <v>79</v>
      </c>
      <c r="C44" s="444" t="s">
        <v>82</v>
      </c>
      <c r="D44" s="445"/>
      <c r="E44" s="31">
        <v>35.119999999999997</v>
      </c>
      <c r="F44" s="357">
        <v>4804</v>
      </c>
      <c r="G44" s="357">
        <f t="shared" si="56"/>
        <v>168716.47999999998</v>
      </c>
      <c r="H44" s="359"/>
      <c r="I44" s="19">
        <v>10</v>
      </c>
      <c r="J44" s="26">
        <v>3000</v>
      </c>
      <c r="K44" s="33">
        <f t="shared" si="51"/>
        <v>300</v>
      </c>
      <c r="L44" s="19">
        <v>10</v>
      </c>
      <c r="M44" s="26">
        <f>F44/V44*60</f>
        <v>2853.8613861386148</v>
      </c>
      <c r="N44" s="26">
        <f t="shared" si="58"/>
        <v>285.38613861386148</v>
      </c>
      <c r="O44" s="379">
        <f t="shared" si="59"/>
        <v>0</v>
      </c>
      <c r="P44" s="380">
        <f t="shared" si="48"/>
        <v>-14.613861386138524</v>
      </c>
      <c r="Q44" s="381">
        <f t="shared" si="49"/>
        <v>0.95128712871287158</v>
      </c>
      <c r="R44" s="489"/>
      <c r="S44" s="28">
        <v>0.29097222222222219</v>
      </c>
      <c r="T44" s="28">
        <v>0.36111111111111105</v>
      </c>
      <c r="U44" s="357">
        <f t="shared" ref="U44:U47" si="61">(S44-T43)*24*60</f>
        <v>5.9999999999999787</v>
      </c>
      <c r="V44" s="359">
        <f t="shared" si="60"/>
        <v>100.99999999999996</v>
      </c>
      <c r="W44" s="16"/>
      <c r="X44" s="16"/>
      <c r="Y44" s="447"/>
      <c r="Z44" s="448"/>
      <c r="AA44" s="12">
        <f t="shared" si="2"/>
        <v>-146.13861386138524</v>
      </c>
      <c r="AB44" s="351">
        <f t="shared" si="54"/>
        <v>0.95128712871287158</v>
      </c>
      <c r="AC44" s="457"/>
    </row>
    <row r="45" spans="1:29" ht="15.75" customHeight="1">
      <c r="A45" s="454" t="s">
        <v>1679</v>
      </c>
      <c r="B45" s="31" t="s">
        <v>79</v>
      </c>
      <c r="C45" s="444" t="s">
        <v>85</v>
      </c>
      <c r="D45" s="445"/>
      <c r="E45" s="31">
        <v>35.869999999999997</v>
      </c>
      <c r="F45" s="357">
        <v>3096</v>
      </c>
      <c r="G45" s="357">
        <f t="shared" si="56"/>
        <v>111053.51999999999</v>
      </c>
      <c r="H45" s="359"/>
      <c r="I45" s="19">
        <v>10</v>
      </c>
      <c r="J45" s="26">
        <v>3000</v>
      </c>
      <c r="K45" s="33">
        <f t="shared" si="51"/>
        <v>300</v>
      </c>
      <c r="L45" s="19">
        <v>10</v>
      </c>
      <c r="M45" s="26">
        <f t="shared" si="57"/>
        <v>2857.8461538461529</v>
      </c>
      <c r="N45" s="26">
        <f t="shared" si="58"/>
        <v>285.78461538461528</v>
      </c>
      <c r="O45" s="379">
        <f t="shared" si="59"/>
        <v>0</v>
      </c>
      <c r="P45" s="380">
        <f t="shared" si="48"/>
        <v>-14.215384615384721</v>
      </c>
      <c r="Q45" s="381">
        <f t="shared" si="49"/>
        <v>0.95261538461538431</v>
      </c>
      <c r="R45" s="489"/>
      <c r="S45" s="28">
        <v>0.36458333333333326</v>
      </c>
      <c r="T45" s="28">
        <v>0.40972222222222215</v>
      </c>
      <c r="U45" s="357">
        <f t="shared" si="61"/>
        <v>4.9999999999999822</v>
      </c>
      <c r="V45" s="359">
        <f t="shared" si="60"/>
        <v>65.000000000000014</v>
      </c>
      <c r="W45" s="16"/>
      <c r="X45" s="16"/>
      <c r="Y45" s="447"/>
      <c r="Z45" s="448"/>
      <c r="AA45" s="12">
        <f t="shared" si="2"/>
        <v>-142.1538461538471</v>
      </c>
      <c r="AB45" s="351">
        <f t="shared" si="54"/>
        <v>0.95261538461538431</v>
      </c>
      <c r="AC45" s="457"/>
    </row>
    <row r="46" spans="1:29" ht="15.75" customHeight="1">
      <c r="A46" s="454" t="s">
        <v>1679</v>
      </c>
      <c r="B46" s="31" t="s">
        <v>79</v>
      </c>
      <c r="C46" s="444" t="s">
        <v>86</v>
      </c>
      <c r="D46" s="445"/>
      <c r="E46" s="31">
        <v>36.14</v>
      </c>
      <c r="F46" s="357">
        <v>2172</v>
      </c>
      <c r="G46" s="357">
        <f t="shared" si="56"/>
        <v>78496.08</v>
      </c>
      <c r="H46" s="359"/>
      <c r="I46" s="19">
        <v>8</v>
      </c>
      <c r="J46" s="26">
        <v>3000</v>
      </c>
      <c r="K46" s="33">
        <f t="shared" si="51"/>
        <v>375</v>
      </c>
      <c r="L46" s="19">
        <v>8</v>
      </c>
      <c r="M46" s="26">
        <f t="shared" si="57"/>
        <v>2896</v>
      </c>
      <c r="N46" s="26">
        <f t="shared" si="58"/>
        <v>362</v>
      </c>
      <c r="O46" s="379">
        <f t="shared" si="59"/>
        <v>0</v>
      </c>
      <c r="P46" s="380">
        <f t="shared" si="48"/>
        <v>-13</v>
      </c>
      <c r="Q46" s="381">
        <f>N46/K46</f>
        <v>0.96533333333333338</v>
      </c>
      <c r="R46" s="489"/>
      <c r="S46" s="28">
        <v>0.41458333333333325</v>
      </c>
      <c r="T46" s="28">
        <v>0.44583333333333325</v>
      </c>
      <c r="U46" s="357">
        <f t="shared" si="61"/>
        <v>6.9999999999999751</v>
      </c>
      <c r="V46" s="359">
        <f t="shared" si="60"/>
        <v>45</v>
      </c>
      <c r="W46" s="16"/>
      <c r="X46" s="16"/>
      <c r="Y46" s="447"/>
      <c r="Z46" s="448"/>
      <c r="AA46" s="12">
        <f t="shared" si="2"/>
        <v>-104</v>
      </c>
      <c r="AB46" s="351">
        <f t="shared" si="54"/>
        <v>0.96533333333333338</v>
      </c>
      <c r="AC46" s="457"/>
    </row>
    <row r="47" spans="1:29" ht="15.75" customHeight="1">
      <c r="A47" s="454" t="s">
        <v>1679</v>
      </c>
      <c r="B47" s="31" t="s">
        <v>79</v>
      </c>
      <c r="C47" s="444" t="s">
        <v>95</v>
      </c>
      <c r="D47" s="445"/>
      <c r="E47" s="31">
        <v>35.369999999999997</v>
      </c>
      <c r="F47" s="357">
        <v>1683</v>
      </c>
      <c r="G47" s="357">
        <f t="shared" si="56"/>
        <v>59527.71</v>
      </c>
      <c r="H47" s="359"/>
      <c r="I47" s="19">
        <v>10</v>
      </c>
      <c r="J47" s="26">
        <v>3000</v>
      </c>
      <c r="K47" s="33">
        <f t="shared" si="51"/>
        <v>300</v>
      </c>
      <c r="L47" s="19">
        <v>10</v>
      </c>
      <c r="M47" s="26">
        <f t="shared" si="57"/>
        <v>2885.1428571428542</v>
      </c>
      <c r="N47" s="26">
        <f t="shared" si="58"/>
        <v>288.51428571428539</v>
      </c>
      <c r="O47" s="379">
        <f t="shared" si="59"/>
        <v>0</v>
      </c>
      <c r="P47" s="380">
        <f t="shared" si="48"/>
        <v>-11.485714285714607</v>
      </c>
      <c r="Q47" s="381">
        <f t="shared" si="49"/>
        <v>0.96171428571428463</v>
      </c>
      <c r="R47" s="489"/>
      <c r="S47" s="28">
        <v>0.45138888888888878</v>
      </c>
      <c r="T47" s="28">
        <v>0.47569444444444436</v>
      </c>
      <c r="U47" s="357">
        <f t="shared" si="61"/>
        <v>7.9999999999999716</v>
      </c>
      <c r="V47" s="359">
        <f t="shared" si="60"/>
        <v>35.000000000000036</v>
      </c>
      <c r="W47" s="16"/>
      <c r="X47" s="16"/>
      <c r="Y47" s="447"/>
      <c r="Z47" s="448"/>
      <c r="AA47" s="12">
        <f t="shared" si="2"/>
        <v>-114.85714285714585</v>
      </c>
      <c r="AB47" s="351">
        <f t="shared" si="54"/>
        <v>0.96171428571428474</v>
      </c>
      <c r="AC47" s="457"/>
    </row>
    <row r="48" spans="1:29" ht="15.75" customHeight="1">
      <c r="A48" s="455" t="s">
        <v>1679</v>
      </c>
      <c r="B48" s="31" t="s">
        <v>1678</v>
      </c>
      <c r="C48" s="459"/>
      <c r="D48" s="460"/>
      <c r="E48" s="352"/>
      <c r="F48" s="357"/>
      <c r="G48" s="357"/>
      <c r="H48" s="357"/>
      <c r="I48" s="19">
        <v>9.6666666666666661</v>
      </c>
      <c r="J48" s="26">
        <v>3000</v>
      </c>
      <c r="K48" s="33">
        <f>J48/I48</f>
        <v>310.34482758620692</v>
      </c>
      <c r="L48" s="19">
        <v>9.6666666666666661</v>
      </c>
      <c r="M48" s="26">
        <f>AVERAGE(M42:M47)</f>
        <v>2869.7241889949546</v>
      </c>
      <c r="N48" s="33">
        <f t="shared" si="58"/>
        <v>296.86801955120222</v>
      </c>
      <c r="O48" s="379">
        <f t="shared" si="59"/>
        <v>0</v>
      </c>
      <c r="P48" s="380">
        <f t="shared" si="48"/>
        <v>-13.476808035004694</v>
      </c>
      <c r="Q48" s="381">
        <f t="shared" si="49"/>
        <v>0.95657472966498491</v>
      </c>
      <c r="R48" s="490"/>
      <c r="S48" s="28"/>
      <c r="T48" s="28"/>
      <c r="U48" s="357"/>
      <c r="V48" s="359"/>
      <c r="W48" s="16"/>
      <c r="X48" s="16"/>
      <c r="Y48" s="447"/>
      <c r="Z48" s="448"/>
      <c r="AA48" s="12">
        <f t="shared" si="2"/>
        <v>-130.2758110050454</v>
      </c>
      <c r="AB48" s="351">
        <f t="shared" si="54"/>
        <v>0.95657472966498491</v>
      </c>
      <c r="AC48" s="458"/>
    </row>
    <row r="49" spans="1:29" ht="15.75" customHeight="1">
      <c r="A49" s="451" t="s">
        <v>1682</v>
      </c>
      <c r="B49" s="31" t="s">
        <v>53</v>
      </c>
      <c r="C49" s="441" t="s">
        <v>87</v>
      </c>
      <c r="D49" s="441"/>
      <c r="E49" s="31">
        <v>46</v>
      </c>
      <c r="F49" s="35">
        <v>3377</v>
      </c>
      <c r="G49" s="346">
        <f t="shared" ref="G49:G54" si="62">E49*F49</f>
        <v>155342</v>
      </c>
      <c r="H49" s="359" t="s">
        <v>103</v>
      </c>
      <c r="I49" s="19">
        <v>17</v>
      </c>
      <c r="J49" s="26">
        <v>2000</v>
      </c>
      <c r="K49" s="10">
        <f t="shared" ref="K49:K54" si="63">J49/I49</f>
        <v>117.64705882352941</v>
      </c>
      <c r="L49" s="19">
        <v>17</v>
      </c>
      <c r="M49" s="11">
        <f t="shared" ref="M49:M54" si="64">F49/V49*60</f>
        <v>1911.5094339622635</v>
      </c>
      <c r="N49" s="11">
        <f>M49/L49</f>
        <v>112.44173140954491</v>
      </c>
      <c r="O49" s="12">
        <f>L49-I49</f>
        <v>0</v>
      </c>
      <c r="P49" s="13">
        <f>N49-K49</f>
        <v>-5.2053274139844916</v>
      </c>
      <c r="Q49" s="351">
        <f>N49/K49</f>
        <v>0.95575471698113179</v>
      </c>
      <c r="R49" s="442">
        <f>Q55</f>
        <v>0.95930793293488881</v>
      </c>
      <c r="S49" s="28">
        <v>0.29166666666666669</v>
      </c>
      <c r="T49" s="28">
        <v>0.36527777777777781</v>
      </c>
      <c r="U49" s="18"/>
      <c r="V49" s="356">
        <f t="shared" ref="V49:V54" si="65">(T49-S49)*24*60</f>
        <v>106.00000000000003</v>
      </c>
      <c r="W49" s="18"/>
      <c r="X49" s="18"/>
      <c r="Y49" s="443"/>
      <c r="Z49" s="443"/>
      <c r="AA49" s="12">
        <f t="shared" si="2"/>
        <v>-88.490566037736471</v>
      </c>
      <c r="AB49" s="351">
        <f t="shared" si="54"/>
        <v>0.95575471698113179</v>
      </c>
      <c r="AC49" s="442">
        <f>AB55</f>
        <v>0.95930793293488881</v>
      </c>
    </row>
    <row r="50" spans="1:29" ht="15.75" customHeight="1">
      <c r="A50" s="451" t="s">
        <v>1682</v>
      </c>
      <c r="B50" s="31" t="s">
        <v>53</v>
      </c>
      <c r="C50" s="441" t="s">
        <v>88</v>
      </c>
      <c r="D50" s="441"/>
      <c r="E50" s="31">
        <v>46</v>
      </c>
      <c r="F50" s="35">
        <v>3457</v>
      </c>
      <c r="G50" s="346">
        <f t="shared" si="62"/>
        <v>159022</v>
      </c>
      <c r="H50" s="359" t="s">
        <v>103</v>
      </c>
      <c r="I50" s="355">
        <v>17</v>
      </c>
      <c r="J50" s="26">
        <v>2000</v>
      </c>
      <c r="K50" s="10">
        <f t="shared" si="63"/>
        <v>117.64705882352941</v>
      </c>
      <c r="L50" s="19">
        <v>17</v>
      </c>
      <c r="M50" s="11">
        <f t="shared" si="64"/>
        <v>1920.5555555555552</v>
      </c>
      <c r="N50" s="11">
        <f t="shared" ref="N50:N54" si="66">M50/L50</f>
        <v>112.97385620915031</v>
      </c>
      <c r="O50" s="12">
        <f t="shared" ref="O50:O54" si="67">L50-I50</f>
        <v>0</v>
      </c>
      <c r="P50" s="13">
        <f t="shared" ref="P50:P54" si="68">N50-K50</f>
        <v>-4.6732026143790932</v>
      </c>
      <c r="Q50" s="351">
        <f t="shared" ref="Q50:Q54" si="69">N50/K50</f>
        <v>0.96027777777777767</v>
      </c>
      <c r="R50" s="442"/>
      <c r="S50" s="28">
        <v>0.36944444444444446</v>
      </c>
      <c r="T50" s="28">
        <v>0.44444444444444448</v>
      </c>
      <c r="U50" s="346">
        <f>IF(S50=TIME(17,0,0),"",(S50-T49)*24*60)</f>
        <v>5.9999999999999787</v>
      </c>
      <c r="V50" s="356">
        <f t="shared" si="65"/>
        <v>108.00000000000001</v>
      </c>
      <c r="W50" s="16"/>
      <c r="X50" s="16"/>
      <c r="Y50" s="443"/>
      <c r="Z50" s="443"/>
      <c r="AA50" s="12">
        <f t="shared" si="2"/>
        <v>-79.444444444444798</v>
      </c>
      <c r="AB50" s="351">
        <f t="shared" si="54"/>
        <v>0.96027777777777756</v>
      </c>
      <c r="AC50" s="442"/>
    </row>
    <row r="51" spans="1:29" ht="15.75" customHeight="1">
      <c r="A51" s="451" t="s">
        <v>1682</v>
      </c>
      <c r="B51" s="31" t="s">
        <v>58</v>
      </c>
      <c r="C51" s="444" t="s">
        <v>168</v>
      </c>
      <c r="D51" s="445"/>
      <c r="E51" s="31">
        <v>54.09</v>
      </c>
      <c r="F51" s="35">
        <v>1634</v>
      </c>
      <c r="G51" s="346">
        <f t="shared" si="62"/>
        <v>88383.060000000012</v>
      </c>
      <c r="H51" s="359" t="s">
        <v>103</v>
      </c>
      <c r="I51" s="355">
        <v>16</v>
      </c>
      <c r="J51" s="26">
        <v>2000</v>
      </c>
      <c r="K51" s="10">
        <f t="shared" si="63"/>
        <v>125</v>
      </c>
      <c r="L51" s="355">
        <v>16</v>
      </c>
      <c r="M51" s="11">
        <f t="shared" si="64"/>
        <v>1922.3529411764714</v>
      </c>
      <c r="N51" s="11">
        <f t="shared" si="66"/>
        <v>120.14705882352946</v>
      </c>
      <c r="O51" s="12">
        <f t="shared" si="67"/>
        <v>0</v>
      </c>
      <c r="P51" s="13">
        <f t="shared" si="68"/>
        <v>-4.8529411764705372</v>
      </c>
      <c r="Q51" s="351">
        <f t="shared" si="69"/>
        <v>0.96117647058823574</v>
      </c>
      <c r="R51" s="442"/>
      <c r="S51" s="28">
        <v>0.44861111111111113</v>
      </c>
      <c r="T51" s="28">
        <v>0.48402777777777778</v>
      </c>
      <c r="U51" s="346">
        <f t="shared" ref="U51:U54" si="70">IF(S51=TIME(17,0,0),"",(S51-T50)*24*60)</f>
        <v>5.9999999999999787</v>
      </c>
      <c r="V51" s="356">
        <f t="shared" si="65"/>
        <v>50.999999999999979</v>
      </c>
      <c r="W51" s="16"/>
      <c r="X51" s="16"/>
      <c r="Y51" s="349"/>
      <c r="Z51" s="350"/>
      <c r="AA51" s="12">
        <f t="shared" si="2"/>
        <v>-77.647058823528596</v>
      </c>
      <c r="AB51" s="351">
        <f t="shared" si="54"/>
        <v>0.96117647058823574</v>
      </c>
      <c r="AC51" s="442"/>
    </row>
    <row r="52" spans="1:29" ht="15.75" customHeight="1">
      <c r="A52" s="451" t="s">
        <v>1682</v>
      </c>
      <c r="B52" s="31" t="s">
        <v>58</v>
      </c>
      <c r="C52" s="347" t="s">
        <v>89</v>
      </c>
      <c r="D52" s="348"/>
      <c r="E52" s="31">
        <v>55.56</v>
      </c>
      <c r="F52" s="35">
        <v>2271</v>
      </c>
      <c r="G52" s="346">
        <f t="shared" si="62"/>
        <v>126176.76000000001</v>
      </c>
      <c r="H52" s="359" t="s">
        <v>103</v>
      </c>
      <c r="I52" s="355">
        <v>17</v>
      </c>
      <c r="J52" s="26">
        <v>2000</v>
      </c>
      <c r="K52" s="10">
        <f t="shared" si="63"/>
        <v>117.64705882352941</v>
      </c>
      <c r="L52" s="355">
        <v>17</v>
      </c>
      <c r="M52" s="11">
        <f t="shared" si="64"/>
        <v>1919.154929577463</v>
      </c>
      <c r="N52" s="11">
        <f t="shared" si="66"/>
        <v>112.89146644573312</v>
      </c>
      <c r="O52" s="12">
        <f t="shared" si="67"/>
        <v>0</v>
      </c>
      <c r="P52" s="13">
        <f t="shared" si="68"/>
        <v>-4.7555923777962903</v>
      </c>
      <c r="Q52" s="351">
        <f t="shared" si="69"/>
        <v>0.95957746478873152</v>
      </c>
      <c r="R52" s="442"/>
      <c r="S52" s="28">
        <v>0.70833333333333337</v>
      </c>
      <c r="T52" s="28">
        <v>0.75763888888888897</v>
      </c>
      <c r="U52" s="346" t="str">
        <f t="shared" si="70"/>
        <v/>
      </c>
      <c r="V52" s="356">
        <f t="shared" si="65"/>
        <v>71.000000000000071</v>
      </c>
      <c r="W52" s="16"/>
      <c r="X52" s="16"/>
      <c r="Y52" s="349"/>
      <c r="Z52" s="350"/>
      <c r="AA52" s="12">
        <f t="shared" si="2"/>
        <v>-80.845070422536992</v>
      </c>
      <c r="AB52" s="351">
        <f t="shared" si="54"/>
        <v>0.95957746478873152</v>
      </c>
      <c r="AC52" s="442"/>
    </row>
    <row r="53" spans="1:29" ht="15.75" customHeight="1">
      <c r="A53" s="451" t="s">
        <v>1682</v>
      </c>
      <c r="B53" s="31" t="s">
        <v>58</v>
      </c>
      <c r="C53" s="347" t="s">
        <v>90</v>
      </c>
      <c r="D53" s="348"/>
      <c r="E53" s="31">
        <v>55.32</v>
      </c>
      <c r="F53" s="35">
        <v>1704</v>
      </c>
      <c r="G53" s="346">
        <f t="shared" si="62"/>
        <v>94265.279999999999</v>
      </c>
      <c r="H53" s="359" t="s">
        <v>103</v>
      </c>
      <c r="I53" s="355">
        <v>15</v>
      </c>
      <c r="J53" s="26">
        <v>2000</v>
      </c>
      <c r="K53" s="10">
        <f t="shared" si="63"/>
        <v>133.33333333333334</v>
      </c>
      <c r="L53" s="355">
        <v>15</v>
      </c>
      <c r="M53" s="11">
        <f t="shared" si="64"/>
        <v>1929.0566037735859</v>
      </c>
      <c r="N53" s="11">
        <f t="shared" si="66"/>
        <v>128.60377358490572</v>
      </c>
      <c r="O53" s="12">
        <f t="shared" si="67"/>
        <v>0</v>
      </c>
      <c r="P53" s="13">
        <f t="shared" si="68"/>
        <v>-4.7295597484276186</v>
      </c>
      <c r="Q53" s="351">
        <f t="shared" si="69"/>
        <v>0.96452830188679284</v>
      </c>
      <c r="R53" s="442"/>
      <c r="S53" s="28">
        <v>0.76111111111111118</v>
      </c>
      <c r="T53" s="28">
        <v>0.79791666666666672</v>
      </c>
      <c r="U53" s="346">
        <f t="shared" si="70"/>
        <v>4.9999999999999822</v>
      </c>
      <c r="V53" s="356">
        <f t="shared" si="65"/>
        <v>52.999999999999972</v>
      </c>
      <c r="W53" s="16"/>
      <c r="X53" s="16"/>
      <c r="Y53" s="349"/>
      <c r="Z53" s="350"/>
      <c r="AA53" s="12">
        <f t="shared" si="2"/>
        <v>-70.943396226414052</v>
      </c>
      <c r="AB53" s="351">
        <f t="shared" si="54"/>
        <v>0.96452830188679295</v>
      </c>
      <c r="AC53" s="442"/>
    </row>
    <row r="54" spans="1:29" ht="15.75" customHeight="1">
      <c r="A54" s="451" t="s">
        <v>1682</v>
      </c>
      <c r="B54" s="31" t="s">
        <v>58</v>
      </c>
      <c r="C54" s="444" t="s">
        <v>91</v>
      </c>
      <c r="D54" s="445"/>
      <c r="E54" s="31">
        <v>57.73</v>
      </c>
      <c r="F54" s="35">
        <v>1215</v>
      </c>
      <c r="G54" s="346">
        <f t="shared" si="62"/>
        <v>70141.95</v>
      </c>
      <c r="H54" s="359" t="s">
        <v>103</v>
      </c>
      <c r="I54" s="355">
        <v>16</v>
      </c>
      <c r="J54" s="26">
        <v>1500</v>
      </c>
      <c r="K54" s="10">
        <f t="shared" si="63"/>
        <v>93.75</v>
      </c>
      <c r="L54" s="355">
        <v>16</v>
      </c>
      <c r="M54" s="11">
        <f t="shared" si="64"/>
        <v>1429.4117647058831</v>
      </c>
      <c r="N54" s="11">
        <f t="shared" si="66"/>
        <v>89.338235294117695</v>
      </c>
      <c r="O54" s="12">
        <f t="shared" si="67"/>
        <v>0</v>
      </c>
      <c r="P54" s="13">
        <f t="shared" si="68"/>
        <v>-4.4117647058823053</v>
      </c>
      <c r="Q54" s="351">
        <f t="shared" si="69"/>
        <v>0.95294117647058874</v>
      </c>
      <c r="R54" s="442"/>
      <c r="S54" s="28">
        <v>0.80138888888888893</v>
      </c>
      <c r="T54" s="28">
        <v>0.83680555555555558</v>
      </c>
      <c r="U54" s="346">
        <f t="shared" si="70"/>
        <v>4.9999999999999822</v>
      </c>
      <c r="V54" s="356">
        <f t="shared" si="65"/>
        <v>50.999999999999979</v>
      </c>
      <c r="W54" s="16"/>
      <c r="X54" s="16"/>
      <c r="Y54" s="447"/>
      <c r="Z54" s="448"/>
      <c r="AA54" s="12">
        <f t="shared" si="2"/>
        <v>-70.588235294116885</v>
      </c>
      <c r="AB54" s="351">
        <f t="shared" si="54"/>
        <v>0.95294117647058874</v>
      </c>
      <c r="AC54" s="442"/>
    </row>
    <row r="55" spans="1:29">
      <c r="A55" s="452" t="s">
        <v>1682</v>
      </c>
      <c r="B55" s="31" t="s">
        <v>1678</v>
      </c>
      <c r="C55" s="446"/>
      <c r="D55" s="446"/>
      <c r="E55" s="345"/>
      <c r="F55" s="33"/>
      <c r="G55" s="10"/>
      <c r="H55" s="357"/>
      <c r="I55" s="19">
        <v>16.333333333333332</v>
      </c>
      <c r="J55" s="26">
        <v>1916.6666666666667</v>
      </c>
      <c r="K55" s="10">
        <f>J55/I55</f>
        <v>117.34693877551021</v>
      </c>
      <c r="L55" s="19">
        <v>16.333333333333332</v>
      </c>
      <c r="M55" s="11">
        <f>AVERAGE(M49:M54)</f>
        <v>1838.6735381252035</v>
      </c>
      <c r="N55" s="10">
        <f>M55/L55</f>
        <v>112.57184927297165</v>
      </c>
      <c r="O55" s="12">
        <f>L55-I55</f>
        <v>0</v>
      </c>
      <c r="P55" s="13">
        <f>N55-K55</f>
        <v>-4.7750895025385631</v>
      </c>
      <c r="Q55" s="351">
        <f>N55/K55</f>
        <v>0.95930793293488881</v>
      </c>
      <c r="R55" s="442"/>
      <c r="S55" s="29"/>
      <c r="T55" s="28"/>
      <c r="U55" s="10"/>
      <c r="V55" s="356"/>
      <c r="W55" s="10"/>
      <c r="X55" s="10"/>
      <c r="Y55" s="443"/>
      <c r="Z55" s="443"/>
      <c r="AA55" s="12">
        <f t="shared" si="2"/>
        <v>-77.993128541463193</v>
      </c>
      <c r="AB55" s="351">
        <f t="shared" si="54"/>
        <v>0.95930793293488881</v>
      </c>
      <c r="AC55" s="442"/>
    </row>
    <row r="56" spans="1:29" ht="15.75" customHeight="1">
      <c r="A56" s="449" t="s">
        <v>1683</v>
      </c>
      <c r="B56" s="357" t="s">
        <v>79</v>
      </c>
      <c r="C56" s="441" t="s">
        <v>94</v>
      </c>
      <c r="D56" s="441"/>
      <c r="E56" s="31">
        <v>26.78</v>
      </c>
      <c r="F56" s="35">
        <v>2866</v>
      </c>
      <c r="G56" s="346">
        <f t="shared" ref="G56:G59" si="71">E56*F56</f>
        <v>76751.48000000001</v>
      </c>
      <c r="H56" s="359" t="s">
        <v>103</v>
      </c>
      <c r="I56" s="355">
        <v>10</v>
      </c>
      <c r="J56" s="26">
        <v>3000</v>
      </c>
      <c r="K56" s="10">
        <f t="shared" ref="K56:K59" si="72">J56/I56</f>
        <v>300</v>
      </c>
      <c r="L56" s="19">
        <v>10</v>
      </c>
      <c r="M56" s="11">
        <f t="shared" ref="M56:M59" si="73">F56/V56*60</f>
        <v>2866.0000000000009</v>
      </c>
      <c r="N56" s="10">
        <f>M56/L56</f>
        <v>286.60000000000008</v>
      </c>
      <c r="O56" s="12">
        <f t="shared" ref="O56:O59" si="74">L56-I56</f>
        <v>0</v>
      </c>
      <c r="P56" s="13">
        <f t="shared" ref="P56:P59" si="75">N56-K56</f>
        <v>-13.39999999999992</v>
      </c>
      <c r="Q56" s="351">
        <f>N56/K56</f>
        <v>0.95533333333333359</v>
      </c>
      <c r="R56" s="442">
        <f>Q60</f>
        <v>0.96023998352044504</v>
      </c>
      <c r="S56" s="28">
        <v>0.20833333333333334</v>
      </c>
      <c r="T56" s="28">
        <v>0.25</v>
      </c>
      <c r="U56" s="346"/>
      <c r="V56" s="356">
        <f t="shared" ref="V56:V59" si="76">(T56-S56)*24*60</f>
        <v>59.999999999999986</v>
      </c>
      <c r="W56" s="18"/>
      <c r="X56" s="18"/>
      <c r="Y56" s="443"/>
      <c r="Z56" s="443"/>
      <c r="AA56" s="12">
        <f t="shared" si="2"/>
        <v>-133.99999999999909</v>
      </c>
      <c r="AB56" s="351">
        <f t="shared" si="54"/>
        <v>0.95533333333333359</v>
      </c>
      <c r="AC56" s="442">
        <f>AB60</f>
        <v>0.96023998352044504</v>
      </c>
    </row>
    <row r="57" spans="1:29" ht="15.75" customHeight="1">
      <c r="A57" s="449" t="s">
        <v>1683</v>
      </c>
      <c r="B57" s="357" t="s">
        <v>79</v>
      </c>
      <c r="C57" s="441" t="s">
        <v>97</v>
      </c>
      <c r="D57" s="441"/>
      <c r="E57" s="31">
        <v>35.119999999999997</v>
      </c>
      <c r="F57" s="35">
        <v>1286</v>
      </c>
      <c r="G57" s="346">
        <f t="shared" si="71"/>
        <v>45164.32</v>
      </c>
      <c r="H57" s="359" t="s">
        <v>103</v>
      </c>
      <c r="I57" s="355">
        <v>13</v>
      </c>
      <c r="J57" s="26">
        <v>2000</v>
      </c>
      <c r="K57" s="10">
        <f t="shared" si="72"/>
        <v>153.84615384615384</v>
      </c>
      <c r="L57" s="19">
        <v>13</v>
      </c>
      <c r="M57" s="11">
        <f t="shared" si="73"/>
        <v>1928.9999999999995</v>
      </c>
      <c r="N57" s="10">
        <f t="shared" ref="N57:N59" si="77">M57/L57</f>
        <v>148.38461538461536</v>
      </c>
      <c r="O57" s="12">
        <f t="shared" si="74"/>
        <v>0</v>
      </c>
      <c r="P57" s="13">
        <f t="shared" si="75"/>
        <v>-5.4615384615384812</v>
      </c>
      <c r="Q57" s="351">
        <f t="shared" ref="Q57:Q59" si="78">N57/K57</f>
        <v>0.96449999999999991</v>
      </c>
      <c r="R57" s="442"/>
      <c r="S57" s="28">
        <v>0.25347222222222221</v>
      </c>
      <c r="T57" s="28">
        <v>0.28125</v>
      </c>
      <c r="U57" s="346">
        <f>(S57-T56)*24*60</f>
        <v>4.9999999999999822</v>
      </c>
      <c r="V57" s="356">
        <f t="shared" si="76"/>
        <v>40.000000000000014</v>
      </c>
      <c r="W57" s="346"/>
      <c r="X57" s="346"/>
      <c r="Y57" s="443"/>
      <c r="Z57" s="443"/>
      <c r="AA57" s="12">
        <f t="shared" si="2"/>
        <v>-71.000000000000455</v>
      </c>
      <c r="AB57" s="351">
        <f t="shared" si="54"/>
        <v>0.9644999999999998</v>
      </c>
      <c r="AC57" s="442"/>
    </row>
    <row r="58" spans="1:29" ht="15.75" customHeight="1">
      <c r="A58" s="449" t="s">
        <v>1683</v>
      </c>
      <c r="B58" s="357" t="s">
        <v>79</v>
      </c>
      <c r="C58" s="441" t="s">
        <v>98</v>
      </c>
      <c r="D58" s="441"/>
      <c r="E58" s="31">
        <v>35.869999999999997</v>
      </c>
      <c r="F58" s="35">
        <v>2366</v>
      </c>
      <c r="G58" s="346">
        <f t="shared" si="71"/>
        <v>84868.42</v>
      </c>
      <c r="H58" s="359" t="s">
        <v>103</v>
      </c>
      <c r="I58" s="355">
        <v>10</v>
      </c>
      <c r="J58" s="26">
        <v>3000</v>
      </c>
      <c r="K58" s="10">
        <f t="shared" si="72"/>
        <v>300</v>
      </c>
      <c r="L58" s="19">
        <v>10</v>
      </c>
      <c r="M58" s="11">
        <f t="shared" si="73"/>
        <v>2897.1428571428578</v>
      </c>
      <c r="N58" s="10">
        <f t="shared" si="77"/>
        <v>289.71428571428578</v>
      </c>
      <c r="O58" s="12">
        <f t="shared" si="74"/>
        <v>0</v>
      </c>
      <c r="P58" s="13">
        <f t="shared" si="75"/>
        <v>-10.285714285714221</v>
      </c>
      <c r="Q58" s="351">
        <f t="shared" si="78"/>
        <v>0.96571428571428597</v>
      </c>
      <c r="R58" s="442"/>
      <c r="S58" s="28">
        <v>0.28680555555555554</v>
      </c>
      <c r="T58" s="28">
        <v>0.3208333333333333</v>
      </c>
      <c r="U58" s="346">
        <f t="shared" ref="U58:U59" si="79">(S58-T57)*24*60</f>
        <v>7.9999999999999716</v>
      </c>
      <c r="V58" s="356">
        <f t="shared" si="76"/>
        <v>48.999999999999986</v>
      </c>
      <c r="W58" s="16"/>
      <c r="X58" s="16"/>
      <c r="Y58" s="443"/>
      <c r="Z58" s="443"/>
      <c r="AA58" s="12">
        <f t="shared" si="2"/>
        <v>-102.85714285714221</v>
      </c>
      <c r="AB58" s="351">
        <f t="shared" si="54"/>
        <v>0.96571428571428597</v>
      </c>
      <c r="AC58" s="442"/>
    </row>
    <row r="59" spans="1:29" ht="15.75" customHeight="1">
      <c r="A59" s="449" t="s">
        <v>1683</v>
      </c>
      <c r="B59" s="357" t="s">
        <v>53</v>
      </c>
      <c r="C59" s="441" t="s">
        <v>96</v>
      </c>
      <c r="D59" s="441"/>
      <c r="E59" s="31">
        <v>26.97</v>
      </c>
      <c r="F59" s="35">
        <v>3480</v>
      </c>
      <c r="G59" s="346">
        <f t="shared" si="71"/>
        <v>93855.599999999991</v>
      </c>
      <c r="H59" s="359" t="s">
        <v>103</v>
      </c>
      <c r="I59" s="355">
        <v>8</v>
      </c>
      <c r="J59" s="26">
        <v>1500</v>
      </c>
      <c r="K59" s="10">
        <f t="shared" si="72"/>
        <v>187.5</v>
      </c>
      <c r="L59" s="19">
        <v>8</v>
      </c>
      <c r="M59" s="11">
        <f t="shared" si="73"/>
        <v>1430.1369863013701</v>
      </c>
      <c r="N59" s="10">
        <f t="shared" si="77"/>
        <v>178.76712328767127</v>
      </c>
      <c r="O59" s="12">
        <f t="shared" si="74"/>
        <v>0</v>
      </c>
      <c r="P59" s="13">
        <f t="shared" si="75"/>
        <v>-8.7328767123287321</v>
      </c>
      <c r="Q59" s="351">
        <f t="shared" si="78"/>
        <v>0.95342465753424677</v>
      </c>
      <c r="R59" s="442"/>
      <c r="S59" s="28">
        <v>0.32430555555555551</v>
      </c>
      <c r="T59" s="28">
        <v>0.42569444444444438</v>
      </c>
      <c r="U59" s="346">
        <f t="shared" si="79"/>
        <v>4.9999999999999822</v>
      </c>
      <c r="V59" s="356">
        <f t="shared" si="76"/>
        <v>145.99999999999997</v>
      </c>
      <c r="W59" s="346"/>
      <c r="X59" s="346"/>
      <c r="Y59" s="443"/>
      <c r="Z59" s="443"/>
      <c r="AA59" s="12">
        <f t="shared" si="2"/>
        <v>-69.863013698629857</v>
      </c>
      <c r="AB59" s="351">
        <f t="shared" si="54"/>
        <v>0.95342465753424677</v>
      </c>
      <c r="AC59" s="442"/>
    </row>
    <row r="60" spans="1:29">
      <c r="A60" s="450" t="s">
        <v>1683</v>
      </c>
      <c r="B60" s="31" t="s">
        <v>1678</v>
      </c>
      <c r="C60" s="446"/>
      <c r="D60" s="446"/>
      <c r="E60" s="345"/>
      <c r="F60" s="33"/>
      <c r="G60" s="10"/>
      <c r="H60" s="357"/>
      <c r="I60" s="19">
        <v>10.25</v>
      </c>
      <c r="J60" s="26">
        <v>2375</v>
      </c>
      <c r="K60" s="10">
        <f>J60/I60</f>
        <v>231.70731707317074</v>
      </c>
      <c r="L60" s="19">
        <v>10.25</v>
      </c>
      <c r="M60" s="11">
        <f>AVERAGE(M56:M59)</f>
        <v>2280.5699608610571</v>
      </c>
      <c r="N60" s="10">
        <f>M60/L60</f>
        <v>222.494630327908</v>
      </c>
      <c r="O60" s="12">
        <f>L60-I60</f>
        <v>0</v>
      </c>
      <c r="P60" s="13">
        <f>N60-K60</f>
        <v>-9.2126867452627437</v>
      </c>
      <c r="Q60" s="351">
        <f>N60/K60</f>
        <v>0.96023998352044504</v>
      </c>
      <c r="R60" s="442"/>
      <c r="S60" s="28"/>
      <c r="T60" s="28"/>
      <c r="U60" s="10"/>
      <c r="V60" s="356"/>
      <c r="W60" s="10"/>
      <c r="X60" s="10"/>
      <c r="Y60" s="443"/>
      <c r="Z60" s="443"/>
      <c r="AA60" s="12">
        <f t="shared" si="2"/>
        <v>-94.430039138942902</v>
      </c>
      <c r="AB60" s="351">
        <f t="shared" si="54"/>
        <v>0.96023998352044504</v>
      </c>
      <c r="AC60" s="442"/>
    </row>
    <row r="61" spans="1:29" ht="15.75" customHeight="1">
      <c r="A61" s="439" t="s">
        <v>1686</v>
      </c>
      <c r="B61" s="357" t="s">
        <v>67</v>
      </c>
      <c r="C61" s="441" t="s">
        <v>99</v>
      </c>
      <c r="D61" s="441"/>
      <c r="E61" s="31">
        <v>20.2</v>
      </c>
      <c r="F61" s="357">
        <v>2687</v>
      </c>
      <c r="G61" s="346">
        <f t="shared" ref="G61:G70" si="80">E61*F61</f>
        <v>54277.4</v>
      </c>
      <c r="H61" s="359" t="s">
        <v>103</v>
      </c>
      <c r="I61" s="355">
        <v>19</v>
      </c>
      <c r="J61" s="26">
        <v>2400</v>
      </c>
      <c r="K61" s="10">
        <f t="shared" ref="K61:K63" si="81">J61/I61</f>
        <v>126.31578947368421</v>
      </c>
      <c r="L61" s="19">
        <v>19</v>
      </c>
      <c r="M61" s="11">
        <f>F61/V61*60</f>
        <v>2303.1428571428569</v>
      </c>
      <c r="N61" s="10">
        <f t="shared" ref="N61:N70" si="82">M61/L61</f>
        <v>121.21804511278194</v>
      </c>
      <c r="O61" s="12">
        <f t="shared" ref="O61:O70" si="83">L61-I61</f>
        <v>0</v>
      </c>
      <c r="P61" s="13">
        <f t="shared" ref="P61:P70" si="84">N61-K61</f>
        <v>-5.0977443609022686</v>
      </c>
      <c r="Q61" s="351">
        <f>N61/K61</f>
        <v>0.95964285714285702</v>
      </c>
      <c r="R61" s="442">
        <f>Q71</f>
        <v>0.95943412383674287</v>
      </c>
      <c r="S61" s="28">
        <v>8.3333333333333329E-2</v>
      </c>
      <c r="T61" s="28">
        <v>0.13194444444444445</v>
      </c>
      <c r="U61" s="18"/>
      <c r="V61" s="356">
        <f t="shared" ref="V61:V70" si="85">(T61-S61)*24*60</f>
        <v>70.000000000000014</v>
      </c>
      <c r="W61" s="16">
        <f>T61</f>
        <v>0.13194444444444445</v>
      </c>
      <c r="X61" s="16">
        <f>S62</f>
        <v>0.14930555555555552</v>
      </c>
      <c r="Y61" s="443"/>
      <c r="Z61" s="443"/>
      <c r="AA61" s="12">
        <f t="shared" si="2"/>
        <v>-96.857142857143117</v>
      </c>
      <c r="AB61" s="351">
        <f>M61/J61</f>
        <v>0.95964285714285702</v>
      </c>
      <c r="AC61" s="442">
        <f>AB71</f>
        <v>0.95943412383674287</v>
      </c>
    </row>
    <row r="62" spans="1:29" ht="15.75" customHeight="1">
      <c r="A62" s="439" t="s">
        <v>1686</v>
      </c>
      <c r="B62" s="357" t="s">
        <v>67</v>
      </c>
      <c r="C62" s="441" t="s">
        <v>100</v>
      </c>
      <c r="D62" s="441"/>
      <c r="E62" s="31">
        <v>19.02</v>
      </c>
      <c r="F62" s="357">
        <v>5600</v>
      </c>
      <c r="G62" s="346">
        <f t="shared" si="80"/>
        <v>106512</v>
      </c>
      <c r="H62" s="359">
        <v>2</v>
      </c>
      <c r="I62" s="355">
        <v>15</v>
      </c>
      <c r="J62" s="26">
        <v>2400</v>
      </c>
      <c r="K62" s="10">
        <f t="shared" si="81"/>
        <v>160</v>
      </c>
      <c r="L62" s="19">
        <v>15</v>
      </c>
      <c r="M62" s="11">
        <f t="shared" ref="M62:M70" si="86">F62/V62*60</f>
        <v>2285.7142857142853</v>
      </c>
      <c r="N62" s="10">
        <f t="shared" si="82"/>
        <v>152.38095238095235</v>
      </c>
      <c r="O62" s="12">
        <f t="shared" si="83"/>
        <v>0</v>
      </c>
      <c r="P62" s="13">
        <f t="shared" si="84"/>
        <v>-7.6190476190476488</v>
      </c>
      <c r="Q62" s="351">
        <f t="shared" ref="Q62:Q71" si="87">N62/K62</f>
        <v>0.95238095238095222</v>
      </c>
      <c r="R62" s="442"/>
      <c r="S62" s="28">
        <v>0.14930555555555552</v>
      </c>
      <c r="T62" s="28">
        <v>0.25138888888888888</v>
      </c>
      <c r="U62" s="346">
        <f>(S62-T61)*24*60</f>
        <v>24.99999999999995</v>
      </c>
      <c r="V62" s="356">
        <f t="shared" si="85"/>
        <v>147.00000000000003</v>
      </c>
      <c r="W62" s="16"/>
      <c r="X62" s="16"/>
      <c r="Y62" s="443"/>
      <c r="Z62" s="443"/>
      <c r="AA62" s="12">
        <f t="shared" si="2"/>
        <v>-114.28571428571468</v>
      </c>
      <c r="AB62" s="351">
        <f t="shared" ref="AB62:AB71" si="88">M62/J62</f>
        <v>0.95238095238095222</v>
      </c>
      <c r="AC62" s="442"/>
    </row>
    <row r="63" spans="1:29" ht="15.75" customHeight="1">
      <c r="A63" s="439" t="s">
        <v>1686</v>
      </c>
      <c r="B63" s="357" t="s">
        <v>67</v>
      </c>
      <c r="C63" s="441" t="s">
        <v>70</v>
      </c>
      <c r="D63" s="441"/>
      <c r="E63" s="31">
        <v>24.25</v>
      </c>
      <c r="F63" s="357">
        <v>3538</v>
      </c>
      <c r="G63" s="346">
        <f t="shared" si="80"/>
        <v>85796.5</v>
      </c>
      <c r="H63" s="359" t="s">
        <v>103</v>
      </c>
      <c r="I63" s="355">
        <v>18</v>
      </c>
      <c r="J63" s="26">
        <v>2400</v>
      </c>
      <c r="K63" s="10">
        <f t="shared" si="81"/>
        <v>133.33333333333334</v>
      </c>
      <c r="L63" s="19">
        <v>18</v>
      </c>
      <c r="M63" s="11">
        <f t="shared" si="86"/>
        <v>2307.391304347826</v>
      </c>
      <c r="N63" s="10">
        <f t="shared" si="82"/>
        <v>128.18840579710144</v>
      </c>
      <c r="O63" s="12">
        <f t="shared" si="83"/>
        <v>0</v>
      </c>
      <c r="P63" s="13">
        <f t="shared" si="84"/>
        <v>-5.1449275362319042</v>
      </c>
      <c r="Q63" s="351">
        <f t="shared" si="87"/>
        <v>0.96141304347826073</v>
      </c>
      <c r="R63" s="442"/>
      <c r="S63" s="28">
        <v>0.25624999999999998</v>
      </c>
      <c r="T63" s="28">
        <v>0.32013888888888886</v>
      </c>
      <c r="U63" s="346">
        <f t="shared" ref="U63:U70" si="89">(S63-T62)*24*60</f>
        <v>6.9999999999999751</v>
      </c>
      <c r="V63" s="356">
        <f t="shared" si="85"/>
        <v>92</v>
      </c>
      <c r="W63" s="16"/>
      <c r="X63" s="16"/>
      <c r="Y63" s="443"/>
      <c r="Z63" s="443"/>
      <c r="AA63" s="12">
        <f t="shared" si="2"/>
        <v>-92.608695652173992</v>
      </c>
      <c r="AB63" s="351">
        <f t="shared" si="88"/>
        <v>0.96141304347826084</v>
      </c>
      <c r="AC63" s="442"/>
    </row>
    <row r="64" spans="1:29" ht="15.75" customHeight="1">
      <c r="A64" s="439" t="s">
        <v>1686</v>
      </c>
      <c r="B64" s="357" t="s">
        <v>67</v>
      </c>
      <c r="C64" s="441" t="s">
        <v>102</v>
      </c>
      <c r="D64" s="441"/>
      <c r="E64" s="31">
        <v>20.52</v>
      </c>
      <c r="F64" s="357">
        <v>2400</v>
      </c>
      <c r="G64" s="346">
        <f t="shared" si="80"/>
        <v>49248</v>
      </c>
      <c r="H64" s="359">
        <v>2</v>
      </c>
      <c r="I64" s="355">
        <v>18</v>
      </c>
      <c r="J64" s="26">
        <v>2400</v>
      </c>
      <c r="K64" s="10">
        <f>J64/I64</f>
        <v>133.33333333333334</v>
      </c>
      <c r="L64" s="19">
        <v>18</v>
      </c>
      <c r="M64" s="11">
        <f t="shared" si="86"/>
        <v>2285.7142857142853</v>
      </c>
      <c r="N64" s="10">
        <f t="shared" si="82"/>
        <v>126.98412698412696</v>
      </c>
      <c r="O64" s="12">
        <f t="shared" si="83"/>
        <v>0</v>
      </c>
      <c r="P64" s="13">
        <f t="shared" si="84"/>
        <v>-6.3492063492063835</v>
      </c>
      <c r="Q64" s="351">
        <f t="shared" si="87"/>
        <v>0.95238095238095211</v>
      </c>
      <c r="R64" s="442"/>
      <c r="S64" s="28">
        <v>0.32430555555555551</v>
      </c>
      <c r="T64" s="28">
        <v>0.36805555555555552</v>
      </c>
      <c r="U64" s="346">
        <f t="shared" si="89"/>
        <v>5.9999999999999787</v>
      </c>
      <c r="V64" s="356">
        <f t="shared" si="85"/>
        <v>63.000000000000014</v>
      </c>
      <c r="W64" s="16"/>
      <c r="X64" s="16"/>
      <c r="Y64" s="443"/>
      <c r="Z64" s="443"/>
      <c r="AA64" s="12">
        <f t="shared" si="2"/>
        <v>-114.28571428571468</v>
      </c>
      <c r="AB64" s="351">
        <f t="shared" si="88"/>
        <v>0.95238095238095222</v>
      </c>
      <c r="AC64" s="442"/>
    </row>
    <row r="65" spans="1:29" ht="15.75" customHeight="1">
      <c r="A65" s="439" t="s">
        <v>1686</v>
      </c>
      <c r="B65" s="357" t="s">
        <v>67</v>
      </c>
      <c r="C65" s="441" t="s">
        <v>1161</v>
      </c>
      <c r="D65" s="441"/>
      <c r="E65" s="31">
        <v>24.25</v>
      </c>
      <c r="F65" s="357">
        <v>3100</v>
      </c>
      <c r="G65" s="346">
        <f t="shared" si="80"/>
        <v>75175</v>
      </c>
      <c r="H65" s="359">
        <v>2</v>
      </c>
      <c r="I65" s="355">
        <v>17</v>
      </c>
      <c r="J65" s="26">
        <v>2400</v>
      </c>
      <c r="K65" s="10">
        <f t="shared" ref="K65:K71" si="90">J65/I65</f>
        <v>141.1764705882353</v>
      </c>
      <c r="L65" s="19">
        <v>17</v>
      </c>
      <c r="M65" s="11">
        <f t="shared" si="86"/>
        <v>2296.2962962962956</v>
      </c>
      <c r="N65" s="10">
        <f t="shared" si="82"/>
        <v>135.07625272331151</v>
      </c>
      <c r="O65" s="12">
        <f t="shared" si="83"/>
        <v>0</v>
      </c>
      <c r="P65" s="13">
        <f t="shared" si="84"/>
        <v>-6.1002178649237919</v>
      </c>
      <c r="Q65" s="351">
        <f t="shared" si="87"/>
        <v>0.95679012345678982</v>
      </c>
      <c r="R65" s="442"/>
      <c r="S65" s="28">
        <v>0.37222222222222218</v>
      </c>
      <c r="T65" s="28">
        <v>0.4284722222222222</v>
      </c>
      <c r="U65" s="346">
        <f t="shared" si="89"/>
        <v>5.9999999999999787</v>
      </c>
      <c r="V65" s="356">
        <f t="shared" si="85"/>
        <v>81.000000000000028</v>
      </c>
      <c r="W65" s="16"/>
      <c r="X65" s="16"/>
      <c r="Y65" s="443"/>
      <c r="Z65" s="443"/>
      <c r="AA65" s="12">
        <f t="shared" si="2"/>
        <v>-103.70370370370438</v>
      </c>
      <c r="AB65" s="351">
        <f t="shared" si="88"/>
        <v>0.95679012345678982</v>
      </c>
      <c r="AC65" s="442"/>
    </row>
    <row r="66" spans="1:29" ht="15.75" customHeight="1">
      <c r="A66" s="439" t="s">
        <v>1686</v>
      </c>
      <c r="B66" s="357" t="s">
        <v>67</v>
      </c>
      <c r="C66" s="441" t="s">
        <v>71</v>
      </c>
      <c r="D66" s="441"/>
      <c r="E66" s="31">
        <v>22.35</v>
      </c>
      <c r="F66" s="357">
        <v>2050</v>
      </c>
      <c r="G66" s="346">
        <f t="shared" si="80"/>
        <v>45817.5</v>
      </c>
      <c r="H66" s="359" t="s">
        <v>103</v>
      </c>
      <c r="I66" s="355">
        <v>16</v>
      </c>
      <c r="J66" s="26">
        <v>2400</v>
      </c>
      <c r="K66" s="10">
        <f t="shared" si="90"/>
        <v>150</v>
      </c>
      <c r="L66" s="19">
        <v>16</v>
      </c>
      <c r="M66" s="11">
        <f t="shared" si="86"/>
        <v>2320.7547169811332</v>
      </c>
      <c r="N66" s="10">
        <f t="shared" si="82"/>
        <v>145.04716981132083</v>
      </c>
      <c r="O66" s="12">
        <f t="shared" si="83"/>
        <v>0</v>
      </c>
      <c r="P66" s="13">
        <f t="shared" si="84"/>
        <v>-4.9528301886791724</v>
      </c>
      <c r="Q66" s="351">
        <f t="shared" si="87"/>
        <v>0.96698113207547221</v>
      </c>
      <c r="R66" s="442"/>
      <c r="S66" s="28">
        <v>0.43194444444444441</v>
      </c>
      <c r="T66" s="28">
        <v>0.46874999999999994</v>
      </c>
      <c r="U66" s="346">
        <f t="shared" si="89"/>
        <v>4.9999999999999822</v>
      </c>
      <c r="V66" s="356">
        <f t="shared" si="85"/>
        <v>52.999999999999972</v>
      </c>
      <c r="W66" s="16"/>
      <c r="X66" s="16"/>
      <c r="Y66" s="443"/>
      <c r="Z66" s="443"/>
      <c r="AA66" s="12">
        <f t="shared" si="2"/>
        <v>-79.245283018866758</v>
      </c>
      <c r="AB66" s="351">
        <f t="shared" si="88"/>
        <v>0.96698113207547221</v>
      </c>
      <c r="AC66" s="442"/>
    </row>
    <row r="67" spans="1:29" ht="15.75" customHeight="1">
      <c r="A67" s="439" t="s">
        <v>1686</v>
      </c>
      <c r="B67" s="357" t="s">
        <v>67</v>
      </c>
      <c r="C67" s="444" t="s">
        <v>74</v>
      </c>
      <c r="D67" s="445"/>
      <c r="E67" s="31">
        <v>24.45</v>
      </c>
      <c r="F67" s="357">
        <v>2461</v>
      </c>
      <c r="G67" s="346">
        <f t="shared" si="80"/>
        <v>60171.45</v>
      </c>
      <c r="H67" s="359" t="s">
        <v>103</v>
      </c>
      <c r="I67" s="355">
        <v>20</v>
      </c>
      <c r="J67" s="26">
        <v>2400</v>
      </c>
      <c r="K67" s="10">
        <f t="shared" si="90"/>
        <v>120</v>
      </c>
      <c r="L67" s="19">
        <v>20</v>
      </c>
      <c r="M67" s="11">
        <f t="shared" si="86"/>
        <v>2307.1874999999995</v>
      </c>
      <c r="N67" s="10">
        <f t="shared" si="82"/>
        <v>115.35937499999997</v>
      </c>
      <c r="O67" s="12">
        <f t="shared" si="83"/>
        <v>0</v>
      </c>
      <c r="P67" s="13">
        <f t="shared" si="84"/>
        <v>-4.6406250000000284</v>
      </c>
      <c r="Q67" s="351">
        <f t="shared" si="87"/>
        <v>0.96132812499999976</v>
      </c>
      <c r="R67" s="442"/>
      <c r="S67" s="28">
        <v>0.4729166666666666</v>
      </c>
      <c r="T67" s="28">
        <v>0.51736111111111105</v>
      </c>
      <c r="U67" s="346">
        <f t="shared" si="89"/>
        <v>5.9999999999999787</v>
      </c>
      <c r="V67" s="356">
        <f t="shared" si="85"/>
        <v>64.000000000000014</v>
      </c>
      <c r="W67" s="16">
        <f>T67</f>
        <v>0.51736111111111105</v>
      </c>
      <c r="X67" s="16">
        <f>S68</f>
        <v>0.55694444444444435</v>
      </c>
      <c r="Y67" s="447"/>
      <c r="Z67" s="448"/>
      <c r="AA67" s="12">
        <f t="shared" si="2"/>
        <v>-92.812500000000455</v>
      </c>
      <c r="AB67" s="351">
        <f t="shared" si="88"/>
        <v>0.96132812499999976</v>
      </c>
      <c r="AC67" s="442"/>
    </row>
    <row r="68" spans="1:29" ht="15.75" customHeight="1">
      <c r="A68" s="439" t="s">
        <v>1686</v>
      </c>
      <c r="B68" s="357" t="s">
        <v>67</v>
      </c>
      <c r="C68" s="444" t="s">
        <v>100</v>
      </c>
      <c r="D68" s="445"/>
      <c r="E68" s="31">
        <v>19.02</v>
      </c>
      <c r="F68" s="357">
        <v>5432</v>
      </c>
      <c r="G68" s="346">
        <f t="shared" si="80"/>
        <v>103316.64</v>
      </c>
      <c r="H68" s="359" t="s">
        <v>103</v>
      </c>
      <c r="I68" s="355">
        <v>15</v>
      </c>
      <c r="J68" s="26">
        <v>2400</v>
      </c>
      <c r="K68" s="10">
        <f t="shared" si="90"/>
        <v>160</v>
      </c>
      <c r="L68" s="19">
        <v>15</v>
      </c>
      <c r="M68" s="11">
        <f t="shared" si="86"/>
        <v>2295.2112676056345</v>
      </c>
      <c r="N68" s="10">
        <f t="shared" si="82"/>
        <v>153.0140845070423</v>
      </c>
      <c r="O68" s="12">
        <f t="shared" si="83"/>
        <v>0</v>
      </c>
      <c r="P68" s="13">
        <f t="shared" si="84"/>
        <v>-6.9859154929577016</v>
      </c>
      <c r="Q68" s="351">
        <f t="shared" si="87"/>
        <v>0.95633802816901436</v>
      </c>
      <c r="R68" s="442"/>
      <c r="S68" s="28">
        <v>0.55694444444444435</v>
      </c>
      <c r="T68" s="28">
        <v>0.65555555555555545</v>
      </c>
      <c r="U68" s="346">
        <f t="shared" si="89"/>
        <v>56.999999999999957</v>
      </c>
      <c r="V68" s="356">
        <f t="shared" si="85"/>
        <v>141.99999999999997</v>
      </c>
      <c r="W68" s="16"/>
      <c r="X68" s="16"/>
      <c r="Y68" s="447"/>
      <c r="Z68" s="448"/>
      <c r="AA68" s="12">
        <f t="shared" si="2"/>
        <v>-104.78873239436552</v>
      </c>
      <c r="AB68" s="351">
        <f t="shared" si="88"/>
        <v>0.95633802816901436</v>
      </c>
      <c r="AC68" s="442"/>
    </row>
    <row r="69" spans="1:29" ht="15.75" customHeight="1">
      <c r="A69" s="439" t="s">
        <v>1686</v>
      </c>
      <c r="B69" s="357" t="s">
        <v>67</v>
      </c>
      <c r="C69" s="444" t="s">
        <v>102</v>
      </c>
      <c r="D69" s="445"/>
      <c r="E69" s="31">
        <v>20.52</v>
      </c>
      <c r="F69" s="357">
        <v>3036</v>
      </c>
      <c r="G69" s="346">
        <f t="shared" si="80"/>
        <v>62298.720000000001</v>
      </c>
      <c r="H69" s="359" t="s">
        <v>103</v>
      </c>
      <c r="I69" s="355">
        <v>18</v>
      </c>
      <c r="J69" s="26">
        <v>2400</v>
      </c>
      <c r="K69" s="10">
        <f t="shared" si="90"/>
        <v>133.33333333333334</v>
      </c>
      <c r="L69" s="19">
        <v>18</v>
      </c>
      <c r="M69" s="11">
        <f t="shared" si="86"/>
        <v>2305.8227848101251</v>
      </c>
      <c r="N69" s="10">
        <f t="shared" si="82"/>
        <v>128.10126582278474</v>
      </c>
      <c r="O69" s="12">
        <f t="shared" si="83"/>
        <v>0</v>
      </c>
      <c r="P69" s="13">
        <f t="shared" si="84"/>
        <v>-5.2320675105486032</v>
      </c>
      <c r="Q69" s="351">
        <f t="shared" si="87"/>
        <v>0.96075949367088553</v>
      </c>
      <c r="R69" s="442"/>
      <c r="S69" s="28">
        <v>0.65902777777777766</v>
      </c>
      <c r="T69" s="28">
        <v>0.7138888888888888</v>
      </c>
      <c r="U69" s="346">
        <f t="shared" si="89"/>
        <v>4.9999999999999822</v>
      </c>
      <c r="V69" s="356">
        <f t="shared" si="85"/>
        <v>79.000000000000043</v>
      </c>
      <c r="W69" s="16"/>
      <c r="X69" s="16"/>
      <c r="Y69" s="447"/>
      <c r="Z69" s="448"/>
      <c r="AA69" s="12">
        <f t="shared" ref="AA69:AA71" si="91">M69-J69</f>
        <v>-94.177215189874914</v>
      </c>
      <c r="AB69" s="351">
        <f t="shared" si="88"/>
        <v>0.96075949367088542</v>
      </c>
      <c r="AC69" s="442"/>
    </row>
    <row r="70" spans="1:29" ht="15.75" customHeight="1">
      <c r="A70" s="439" t="s">
        <v>1686</v>
      </c>
      <c r="B70" s="357" t="s">
        <v>67</v>
      </c>
      <c r="C70" s="444" t="s">
        <v>1161</v>
      </c>
      <c r="D70" s="445"/>
      <c r="E70" s="31">
        <v>24.25</v>
      </c>
      <c r="F70" s="357">
        <v>1894</v>
      </c>
      <c r="G70" s="346">
        <f t="shared" si="80"/>
        <v>45929.5</v>
      </c>
      <c r="H70" s="359" t="s">
        <v>103</v>
      </c>
      <c r="I70" s="355">
        <v>17</v>
      </c>
      <c r="J70" s="26">
        <v>2400</v>
      </c>
      <c r="K70" s="10">
        <f t="shared" si="90"/>
        <v>141.1764705882353</v>
      </c>
      <c r="L70" s="19">
        <v>17</v>
      </c>
      <c r="M70" s="11">
        <f t="shared" si="86"/>
        <v>2319.1836734693884</v>
      </c>
      <c r="N70" s="10">
        <f t="shared" si="82"/>
        <v>136.42256902761108</v>
      </c>
      <c r="O70" s="12">
        <f t="shared" si="83"/>
        <v>0</v>
      </c>
      <c r="P70" s="13">
        <f t="shared" si="84"/>
        <v>-4.7539015606242288</v>
      </c>
      <c r="Q70" s="351">
        <f t="shared" si="87"/>
        <v>0.96632653061224505</v>
      </c>
      <c r="R70" s="442"/>
      <c r="S70" s="28">
        <v>0.71944444444444433</v>
      </c>
      <c r="T70" s="28">
        <v>0.7534722222222221</v>
      </c>
      <c r="U70" s="346">
        <f t="shared" si="89"/>
        <v>7.9999999999999716</v>
      </c>
      <c r="V70" s="356">
        <f t="shared" si="85"/>
        <v>48.999999999999986</v>
      </c>
      <c r="W70" s="16"/>
      <c r="X70" s="16"/>
      <c r="Y70" s="447"/>
      <c r="Z70" s="448"/>
      <c r="AA70" s="12">
        <f t="shared" si="91"/>
        <v>-80.816326530611605</v>
      </c>
      <c r="AB70" s="351">
        <f t="shared" si="88"/>
        <v>0.96632653061224516</v>
      </c>
      <c r="AC70" s="442"/>
    </row>
    <row r="71" spans="1:29" ht="16.5" customHeight="1">
      <c r="A71" s="440" t="s">
        <v>1686</v>
      </c>
      <c r="B71" s="31" t="s">
        <v>1678</v>
      </c>
      <c r="C71" s="446"/>
      <c r="D71" s="446"/>
      <c r="E71" s="345"/>
      <c r="F71" s="33"/>
      <c r="G71" s="10"/>
      <c r="H71" s="357"/>
      <c r="I71" s="19">
        <v>17.3</v>
      </c>
      <c r="J71" s="26">
        <v>2400</v>
      </c>
      <c r="K71" s="10">
        <f t="shared" si="90"/>
        <v>138.72832369942196</v>
      </c>
      <c r="L71" s="19">
        <v>17.3</v>
      </c>
      <c r="M71" s="11">
        <f>AVERAGE(M61:M70)</f>
        <v>2302.6418972081829</v>
      </c>
      <c r="N71" s="10">
        <f>M71/L71</f>
        <v>133.10068769989496</v>
      </c>
      <c r="O71" s="12">
        <f>L71-I71</f>
        <v>0</v>
      </c>
      <c r="P71" s="13">
        <f>N71-K71</f>
        <v>-5.6276359995270013</v>
      </c>
      <c r="Q71" s="351">
        <f t="shared" si="87"/>
        <v>0.95943412383674287</v>
      </c>
      <c r="R71" s="442"/>
      <c r="S71" s="28"/>
      <c r="T71" s="28"/>
      <c r="U71" s="10"/>
      <c r="V71" s="356"/>
      <c r="W71" s="10"/>
      <c r="X71" s="10"/>
      <c r="Y71" s="443"/>
      <c r="Z71" s="443"/>
      <c r="AA71" s="12">
        <f t="shared" si="91"/>
        <v>-97.358102791817146</v>
      </c>
      <c r="AB71" s="351">
        <f t="shared" si="88"/>
        <v>0.95943412383674287</v>
      </c>
      <c r="AC71" s="442"/>
    </row>
    <row r="72" spans="1:29">
      <c r="D72" s="22"/>
      <c r="E72" s="22"/>
    </row>
  </sheetData>
  <mergeCells count="190">
    <mergeCell ref="AC61:AC71"/>
    <mergeCell ref="C62:D62"/>
    <mergeCell ref="Y62:Z62"/>
    <mergeCell ref="C63:D63"/>
    <mergeCell ref="Y63:Z63"/>
    <mergeCell ref="C64:D64"/>
    <mergeCell ref="C71:D71"/>
    <mergeCell ref="Y71:Z71"/>
    <mergeCell ref="C68:D68"/>
    <mergeCell ref="Y68:Z68"/>
    <mergeCell ref="C69:D69"/>
    <mergeCell ref="Y69:Z69"/>
    <mergeCell ref="C70:D70"/>
    <mergeCell ref="Y70:Z70"/>
    <mergeCell ref="Y64:Z64"/>
    <mergeCell ref="C65:D65"/>
    <mergeCell ref="Y65:Z65"/>
    <mergeCell ref="C66:D66"/>
    <mergeCell ref="Y66:Z66"/>
    <mergeCell ref="C67:D67"/>
    <mergeCell ref="A56:A60"/>
    <mergeCell ref="C56:D56"/>
    <mergeCell ref="R56:R60"/>
    <mergeCell ref="Y56:Z56"/>
    <mergeCell ref="A49:A55"/>
    <mergeCell ref="C49:D49"/>
    <mergeCell ref="R49:R55"/>
    <mergeCell ref="Y49:Z49"/>
    <mergeCell ref="Y67:Z67"/>
    <mergeCell ref="A61:A71"/>
    <mergeCell ref="C61:D61"/>
    <mergeCell ref="R61:R71"/>
    <mergeCell ref="Y61:Z61"/>
    <mergeCell ref="AC56:AC60"/>
    <mergeCell ref="C57:D57"/>
    <mergeCell ref="Y57:Z57"/>
    <mergeCell ref="C58:D58"/>
    <mergeCell ref="Y58:Z58"/>
    <mergeCell ref="C59:D59"/>
    <mergeCell ref="Y59:Z59"/>
    <mergeCell ref="C60:D60"/>
    <mergeCell ref="Y60:Z60"/>
    <mergeCell ref="AC49:AC55"/>
    <mergeCell ref="C50:D50"/>
    <mergeCell ref="Y50:Z50"/>
    <mergeCell ref="C51:D51"/>
    <mergeCell ref="C54:D54"/>
    <mergeCell ref="Y54:Z54"/>
    <mergeCell ref="Y45:Z45"/>
    <mergeCell ref="C46:D46"/>
    <mergeCell ref="Y46:Z46"/>
    <mergeCell ref="C47:D47"/>
    <mergeCell ref="Y47:Z47"/>
    <mergeCell ref="C48:D48"/>
    <mergeCell ref="Y48:Z48"/>
    <mergeCell ref="C55:D55"/>
    <mergeCell ref="Y55:Z55"/>
    <mergeCell ref="A42:A48"/>
    <mergeCell ref="C42:D42"/>
    <mergeCell ref="R42:R48"/>
    <mergeCell ref="Y42:Z42"/>
    <mergeCell ref="AC42:AC48"/>
    <mergeCell ref="C43:D43"/>
    <mergeCell ref="Y43:Z43"/>
    <mergeCell ref="C44:D44"/>
    <mergeCell ref="Y44:Z44"/>
    <mergeCell ref="C45:D45"/>
    <mergeCell ref="AC32:AC41"/>
    <mergeCell ref="C33:D33"/>
    <mergeCell ref="Y33:Z33"/>
    <mergeCell ref="C34:D34"/>
    <mergeCell ref="Y34:Z34"/>
    <mergeCell ref="C35:D35"/>
    <mergeCell ref="Y35:Z35"/>
    <mergeCell ref="C36:D36"/>
    <mergeCell ref="Y36:Z36"/>
    <mergeCell ref="C37:D37"/>
    <mergeCell ref="A23:A31"/>
    <mergeCell ref="C23:D23"/>
    <mergeCell ref="R23:R31"/>
    <mergeCell ref="Y23:Z23"/>
    <mergeCell ref="C30:D30"/>
    <mergeCell ref="Y30:Z30"/>
    <mergeCell ref="C31:D31"/>
    <mergeCell ref="Y31:Z31"/>
    <mergeCell ref="A32:A41"/>
    <mergeCell ref="C32:D32"/>
    <mergeCell ref="R32:R41"/>
    <mergeCell ref="Y32:Z32"/>
    <mergeCell ref="Y37:Z37"/>
    <mergeCell ref="C38:D38"/>
    <mergeCell ref="Y38:Z38"/>
    <mergeCell ref="C39:D39"/>
    <mergeCell ref="Y39:Z39"/>
    <mergeCell ref="C40:D40"/>
    <mergeCell ref="Y40:Z40"/>
    <mergeCell ref="C41:D41"/>
    <mergeCell ref="Y41:Z41"/>
    <mergeCell ref="AC23:AC31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6:Z26"/>
    <mergeCell ref="C27:D27"/>
    <mergeCell ref="Y27:Z27"/>
    <mergeCell ref="C28:D28"/>
    <mergeCell ref="Y28:Z28"/>
    <mergeCell ref="C29:D29"/>
    <mergeCell ref="Y29:Z29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9:O66 O71 O5:O12 O16:O41 O49:O56">
    <cfRule type="cellIs" dxfId="1412" priority="58" operator="greaterThan">
      <formula>0</formula>
    </cfRule>
  </conditionalFormatting>
  <conditionalFormatting sqref="P5:P7 P59 AA59 P61:P66 P23:P30 P56 P9:P12 AA61:AA71 P17:P21 P49:P54 P32:P41 AA5:AA56">
    <cfRule type="cellIs" dxfId="1411" priority="62" operator="lessThan">
      <formula>0</formula>
    </cfRule>
  </conditionalFormatting>
  <conditionalFormatting sqref="AB59 Q59:Q66 Q71 Q5:Q12 AB61:AB71 Q16:Q41 AB5:AB56 Q49:Q56">
    <cfRule type="cellIs" dxfId="1410" priority="59" operator="greaterThan">
      <formula>1</formula>
    </cfRule>
    <cfRule type="cellIs" dxfId="1409" priority="60" operator="lessThan">
      <formula>0.8</formula>
    </cfRule>
  </conditionalFormatting>
  <conditionalFormatting sqref="AC11:AC12 R11:R12 AC59 R59:R66 R16:R39 AC16:AC39 R71 AC5:AC9 R5:R9 AC41:AC56 R41:R56">
    <cfRule type="cellIs" dxfId="1408" priority="64" operator="lessThan">
      <formula>0.8</formula>
    </cfRule>
  </conditionalFormatting>
  <conditionalFormatting sqref="AC42">
    <cfRule type="cellIs" dxfId="1407" priority="66" operator="lessThan">
      <formula>0.8</formula>
    </cfRule>
  </conditionalFormatting>
  <conditionalFormatting sqref="AC17:AC21">
    <cfRule type="cellIs" dxfId="1406" priority="63" operator="lessThan">
      <formula>0.8</formula>
    </cfRule>
  </conditionalFormatting>
  <conditionalFormatting sqref="AC23">
    <cfRule type="cellIs" dxfId="1405" priority="65" operator="lessThan">
      <formula>0.8</formula>
    </cfRule>
  </conditionalFormatting>
  <conditionalFormatting sqref="AC32:AC39">
    <cfRule type="cellIs" dxfId="1404" priority="61" operator="lessThan">
      <formula>0.8</formula>
    </cfRule>
  </conditionalFormatting>
  <conditionalFormatting sqref="AA60">
    <cfRule type="cellIs" dxfId="1403" priority="57" operator="lessThan">
      <formula>0</formula>
    </cfRule>
  </conditionalFormatting>
  <conditionalFormatting sqref="AB60">
    <cfRule type="cellIs" dxfId="1402" priority="55" operator="greaterThan">
      <formula>1</formula>
    </cfRule>
    <cfRule type="cellIs" dxfId="1401" priority="56" operator="lessThan">
      <formula>0.8</formula>
    </cfRule>
  </conditionalFormatting>
  <conditionalFormatting sqref="O13:O14">
    <cfRule type="cellIs" dxfId="1400" priority="50" operator="greaterThan">
      <formula>0</formula>
    </cfRule>
  </conditionalFormatting>
  <conditionalFormatting sqref="P13:P14">
    <cfRule type="cellIs" dxfId="1399" priority="53" operator="lessThan">
      <formula>0</formula>
    </cfRule>
  </conditionalFormatting>
  <conditionalFormatting sqref="Q13:Q14">
    <cfRule type="cellIs" dxfId="1398" priority="51" operator="greaterThan">
      <formula>1</formula>
    </cfRule>
    <cfRule type="cellIs" dxfId="1397" priority="52" operator="lessThan">
      <formula>0.8</formula>
    </cfRule>
  </conditionalFormatting>
  <conditionalFormatting sqref="R13:R14 AC13:AC14">
    <cfRule type="cellIs" dxfId="1396" priority="54" operator="lessThan">
      <formula>0.8</formula>
    </cfRule>
  </conditionalFormatting>
  <conditionalFormatting sqref="R40 AC40">
    <cfRule type="cellIs" dxfId="1395" priority="49" operator="lessThan">
      <formula>0.8</formula>
    </cfRule>
  </conditionalFormatting>
  <conditionalFormatting sqref="AC40">
    <cfRule type="cellIs" dxfId="1394" priority="48" operator="lessThan">
      <formula>0.8</formula>
    </cfRule>
  </conditionalFormatting>
  <conditionalFormatting sqref="O58">
    <cfRule type="cellIs" dxfId="1393" priority="43" operator="greaterThan">
      <formula>0</formula>
    </cfRule>
  </conditionalFormatting>
  <conditionalFormatting sqref="P58 AA58">
    <cfRule type="cellIs" dxfId="1392" priority="46" operator="lessThan">
      <formula>0</formula>
    </cfRule>
  </conditionalFormatting>
  <conditionalFormatting sqref="Q58 AB58">
    <cfRule type="cellIs" dxfId="1391" priority="44" operator="greaterThan">
      <formula>1</formula>
    </cfRule>
    <cfRule type="cellIs" dxfId="1390" priority="45" operator="lessThan">
      <formula>0.8</formula>
    </cfRule>
  </conditionalFormatting>
  <conditionalFormatting sqref="R58 AC58">
    <cfRule type="cellIs" dxfId="1389" priority="47" operator="lessThan">
      <formula>0.8</formula>
    </cfRule>
  </conditionalFormatting>
  <conditionalFormatting sqref="O67">
    <cfRule type="cellIs" dxfId="1388" priority="38" operator="greaterThan">
      <formula>0</formula>
    </cfRule>
  </conditionalFormatting>
  <conditionalFormatting sqref="P67">
    <cfRule type="cellIs" dxfId="1387" priority="41" operator="lessThan">
      <formula>0</formula>
    </cfRule>
  </conditionalFormatting>
  <conditionalFormatting sqref="Q67">
    <cfRule type="cellIs" dxfId="1386" priority="39" operator="greaterThan">
      <formula>1</formula>
    </cfRule>
    <cfRule type="cellIs" dxfId="1385" priority="40" operator="lessThan">
      <formula>0.8</formula>
    </cfRule>
  </conditionalFormatting>
  <conditionalFormatting sqref="R67">
    <cfRule type="cellIs" dxfId="1384" priority="42" operator="lessThan">
      <formula>0.8</formula>
    </cfRule>
  </conditionalFormatting>
  <conditionalFormatting sqref="O15">
    <cfRule type="cellIs" dxfId="1383" priority="33" operator="greaterThan">
      <formula>0</formula>
    </cfRule>
  </conditionalFormatting>
  <conditionalFormatting sqref="P15">
    <cfRule type="cellIs" dxfId="1382" priority="36" operator="lessThan">
      <formula>0</formula>
    </cfRule>
  </conditionalFormatting>
  <conditionalFormatting sqref="Q15">
    <cfRule type="cellIs" dxfId="1381" priority="34" operator="greaterThan">
      <formula>1</formula>
    </cfRule>
    <cfRule type="cellIs" dxfId="1380" priority="35" operator="lessThan">
      <formula>0.8</formula>
    </cfRule>
  </conditionalFormatting>
  <conditionalFormatting sqref="R15 AC15">
    <cfRule type="cellIs" dxfId="1379" priority="37" operator="lessThan">
      <formula>0.8</formula>
    </cfRule>
  </conditionalFormatting>
  <conditionalFormatting sqref="O57">
    <cfRule type="cellIs" dxfId="1378" priority="28" operator="greaterThan">
      <formula>0</formula>
    </cfRule>
  </conditionalFormatting>
  <conditionalFormatting sqref="P57 AA57">
    <cfRule type="cellIs" dxfId="1377" priority="31" operator="lessThan">
      <formula>0</formula>
    </cfRule>
  </conditionalFormatting>
  <conditionalFormatting sqref="Q57 AB57">
    <cfRule type="cellIs" dxfId="1376" priority="29" operator="greaterThan">
      <formula>1</formula>
    </cfRule>
    <cfRule type="cellIs" dxfId="1375" priority="30" operator="lessThan">
      <formula>0.8</formula>
    </cfRule>
  </conditionalFormatting>
  <conditionalFormatting sqref="R57 AC57">
    <cfRule type="cellIs" dxfId="1374" priority="32" operator="lessThan">
      <formula>0.8</formula>
    </cfRule>
  </conditionalFormatting>
  <conditionalFormatting sqref="P8">
    <cfRule type="cellIs" dxfId="1373" priority="27" operator="lessThan">
      <formula>0</formula>
    </cfRule>
  </conditionalFormatting>
  <conditionalFormatting sqref="P16">
    <cfRule type="cellIs" dxfId="1372" priority="26" operator="lessThan">
      <formula>0</formula>
    </cfRule>
  </conditionalFormatting>
  <conditionalFormatting sqref="P22">
    <cfRule type="cellIs" dxfId="1371" priority="25" operator="lessThan">
      <formula>0</formula>
    </cfRule>
  </conditionalFormatting>
  <conditionalFormatting sqref="P31">
    <cfRule type="cellIs" dxfId="1370" priority="24" operator="lessThan">
      <formula>0</formula>
    </cfRule>
  </conditionalFormatting>
  <conditionalFormatting sqref="P55">
    <cfRule type="cellIs" dxfId="1369" priority="23" operator="lessThan">
      <formula>0</formula>
    </cfRule>
  </conditionalFormatting>
  <conditionalFormatting sqref="P60">
    <cfRule type="cellIs" dxfId="1368" priority="22" operator="lessThan">
      <formula>0</formula>
    </cfRule>
  </conditionalFormatting>
  <conditionalFormatting sqref="P71">
    <cfRule type="cellIs" dxfId="1367" priority="21" operator="lessThan">
      <formula>0</formula>
    </cfRule>
  </conditionalFormatting>
  <conditionalFormatting sqref="O68">
    <cfRule type="cellIs" dxfId="1366" priority="16" operator="greaterThan">
      <formula>0</formula>
    </cfRule>
  </conditionalFormatting>
  <conditionalFormatting sqref="P68">
    <cfRule type="cellIs" dxfId="1365" priority="19" operator="lessThan">
      <formula>0</formula>
    </cfRule>
  </conditionalFormatting>
  <conditionalFormatting sqref="Q68">
    <cfRule type="cellIs" dxfId="1364" priority="17" operator="greaterThan">
      <formula>1</formula>
    </cfRule>
    <cfRule type="cellIs" dxfId="1363" priority="18" operator="lessThan">
      <formula>0.8</formula>
    </cfRule>
  </conditionalFormatting>
  <conditionalFormatting sqref="R68">
    <cfRule type="cellIs" dxfId="1362" priority="20" operator="lessThan">
      <formula>0.8</formula>
    </cfRule>
  </conditionalFormatting>
  <conditionalFormatting sqref="O69">
    <cfRule type="cellIs" dxfId="1361" priority="11" operator="greaterThan">
      <formula>0</formula>
    </cfRule>
  </conditionalFormatting>
  <conditionalFormatting sqref="P69">
    <cfRule type="cellIs" dxfId="1360" priority="14" operator="lessThan">
      <formula>0</formula>
    </cfRule>
  </conditionalFormatting>
  <conditionalFormatting sqref="Q69">
    <cfRule type="cellIs" dxfId="1359" priority="12" operator="greaterThan">
      <formula>1</formula>
    </cfRule>
    <cfRule type="cellIs" dxfId="1358" priority="13" operator="lessThan">
      <formula>0.8</formula>
    </cfRule>
  </conditionalFormatting>
  <conditionalFormatting sqref="R69">
    <cfRule type="cellIs" dxfId="1357" priority="15" operator="lessThan">
      <formula>0.8</formula>
    </cfRule>
  </conditionalFormatting>
  <conditionalFormatting sqref="O70">
    <cfRule type="cellIs" dxfId="1356" priority="6" operator="greaterThan">
      <formula>0</formula>
    </cfRule>
  </conditionalFormatting>
  <conditionalFormatting sqref="P70">
    <cfRule type="cellIs" dxfId="1355" priority="9" operator="lessThan">
      <formula>0</formula>
    </cfRule>
  </conditionalFormatting>
  <conditionalFormatting sqref="Q70">
    <cfRule type="cellIs" dxfId="1354" priority="7" operator="greaterThan">
      <formula>1</formula>
    </cfRule>
    <cfRule type="cellIs" dxfId="1353" priority="8" operator="lessThan">
      <formula>0.8</formula>
    </cfRule>
  </conditionalFormatting>
  <conditionalFormatting sqref="R70">
    <cfRule type="cellIs" dxfId="1352" priority="10" operator="lessThan">
      <formula>0.8</formula>
    </cfRule>
  </conditionalFormatting>
  <conditionalFormatting sqref="O42:O48">
    <cfRule type="cellIs" dxfId="1351" priority="2" operator="greaterThan">
      <formula>0</formula>
    </cfRule>
  </conditionalFormatting>
  <conditionalFormatting sqref="P42:P47">
    <cfRule type="cellIs" dxfId="1350" priority="5" operator="lessThan">
      <formula>0</formula>
    </cfRule>
  </conditionalFormatting>
  <conditionalFormatting sqref="Q42:Q48">
    <cfRule type="cellIs" dxfId="1349" priority="3" operator="greaterThan">
      <formula>1</formula>
    </cfRule>
    <cfRule type="cellIs" dxfId="1348" priority="4" operator="lessThan">
      <formula>0.8</formula>
    </cfRule>
  </conditionalFormatting>
  <conditionalFormatting sqref="P48">
    <cfRule type="cellIs" dxfId="1347" priority="1" operator="lessThan">
      <formula>0</formula>
    </cfRule>
  </conditionalFormatting>
  <dataValidations count="1">
    <dataValidation type="list" allowBlank="1" showInputMessage="1" showErrorMessage="1" sqref="Z8 Y60:Z71 Y5:Z7 Y8:Y59 Z10:Z5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B20" sqref="B20:C20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170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61" t="s">
        <v>1618</v>
      </c>
      <c r="C3" s="420" t="str">
        <f>TEXT('0923 4度C'!A2,"yyyy.mm.ddaaaa")</f>
        <v>2025.09.23星期二</v>
      </c>
      <c r="D3" s="421"/>
      <c r="E3" s="361" t="s">
        <v>1619</v>
      </c>
      <c r="F3" s="422">
        <f>'0923 4度C'!D1</f>
        <v>191712</v>
      </c>
      <c r="G3" s="423"/>
      <c r="H3" s="361" t="s">
        <v>1620</v>
      </c>
      <c r="I3" s="424">
        <f>'0923 4度C'!F1</f>
        <v>6174925</v>
      </c>
      <c r="J3" s="425"/>
      <c r="K3" s="45"/>
      <c r="L3" s="46"/>
      <c r="M3" s="47"/>
      <c r="N3" s="47"/>
    </row>
    <row r="4" spans="2:17" ht="28.5" customHeight="1">
      <c r="B4" s="426" t="s">
        <v>1621</v>
      </c>
      <c r="C4" s="429" t="s">
        <v>1622</v>
      </c>
      <c r="D4" s="430"/>
      <c r="E4" s="431" t="s">
        <v>1623</v>
      </c>
      <c r="F4" s="432"/>
      <c r="G4" s="431" t="s">
        <v>1624</v>
      </c>
      <c r="H4" s="432"/>
      <c r="I4" s="431" t="s">
        <v>1625</v>
      </c>
      <c r="J4" s="432"/>
      <c r="L4" s="47"/>
      <c r="M4" s="47"/>
      <c r="N4" s="47"/>
    </row>
    <row r="5" spans="2:17" ht="28.5" customHeight="1">
      <c r="B5" s="427"/>
      <c r="C5" s="429" t="s">
        <v>1626</v>
      </c>
      <c r="D5" s="430"/>
      <c r="E5" s="429" t="s">
        <v>1627</v>
      </c>
      <c r="F5" s="430"/>
      <c r="G5" s="433" t="s">
        <v>1628</v>
      </c>
      <c r="H5" s="434"/>
      <c r="I5" s="435" t="s">
        <v>1629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149.51944838937146</v>
      </c>
      <c r="F6" s="438">
        <f>AVERAGE(D27:O27,D13:J13)</f>
        <v>153.89113687359924</v>
      </c>
      <c r="G6" s="399">
        <f>AVERAGE(D13:J13)</f>
        <v>153.89113687359924</v>
      </c>
      <c r="H6" s="400"/>
      <c r="I6" s="399">
        <f>AVERAGE(K13:M13)</f>
        <v>139.31884192617323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143.3928514778051</v>
      </c>
      <c r="F7" s="406">
        <f>AVERAGE(D28:O28,D14:J14)</f>
        <v>147.71423049216611</v>
      </c>
      <c r="G7" s="407">
        <f>AVERAGE(D14:J14)</f>
        <v>147.71423049216611</v>
      </c>
      <c r="H7" s="408"/>
      <c r="I7" s="407">
        <f>AVERAGE(K14:M14)</f>
        <v>133.30963377762944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0.95829873312989766</v>
      </c>
      <c r="F8" s="410">
        <f>AVERAGE(D15:J15,D29:O29)</f>
        <v>0.9589079696636269</v>
      </c>
      <c r="G8" s="411">
        <f>AVERAGE(D15:J15)</f>
        <v>0.9589079696636269</v>
      </c>
      <c r="H8" s="412"/>
      <c r="I8" s="411">
        <f>AVERAGE(K15:M15)</f>
        <v>0.95687718121786258</v>
      </c>
      <c r="J8" s="412"/>
      <c r="K8" s="48" t="s">
        <v>423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1630</v>
      </c>
      <c r="C10" s="414"/>
      <c r="D10" s="415" t="s">
        <v>1631</v>
      </c>
      <c r="E10" s="416"/>
      <c r="F10" s="416"/>
      <c r="G10" s="416"/>
      <c r="H10" s="416"/>
      <c r="I10" s="416"/>
      <c r="J10" s="417"/>
      <c r="K10" s="389" t="s">
        <v>1632</v>
      </c>
      <c r="L10" s="390"/>
      <c r="M10" s="391"/>
      <c r="P10" s="51"/>
      <c r="Q10" s="51"/>
    </row>
    <row r="11" spans="2:17" ht="17.25" customHeight="1">
      <c r="B11" s="392" t="s">
        <v>1633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1634</v>
      </c>
      <c r="C13" s="58" t="s">
        <v>1635</v>
      </c>
      <c r="D13" s="59">
        <f>SUMIFS('0923 4度C'!$K:$K,'0923 4度C'!$A:$A,"新豐6線",'0923 4度C'!$B:$B,"平均")</f>
        <v>125</v>
      </c>
      <c r="E13" s="60">
        <f>SUMIFS('0923 4度C'!$K:$K,'0923 4度C'!$A:$A,"新豐2線",'0923 4度C'!$B:$B,"平均")</f>
        <v>88.235294117647058</v>
      </c>
      <c r="F13" s="61">
        <f>SUMIFS('0923 4度C'!$K:$K,'0923 4度C'!$A:$A,"新豐5線",'0923 4度C'!$B:$B,"平均")</f>
        <v>86.956521739130437</v>
      </c>
      <c r="G13" s="61">
        <f>SUMIFS('0923 4度C'!$K:$K,'0923 4度C'!$A:$A,"新豐7線",'0923 4度C'!$B:$B,"平均")</f>
        <v>117.64705882352941</v>
      </c>
      <c r="H13" s="61">
        <f>SUMIFS('0923 4度C'!$K:$K,'0923 4度C'!$A:$A,"新豐3線",'0923 4度C'!$B:$B,"平均")</f>
        <v>310.34482758620692</v>
      </c>
      <c r="I13" s="61">
        <f>SUMIFS('0923 4度C'!$K:$K,'0923 4度C'!$A:$A,"新豐1線",'0923 4度C'!$B:$B,"平均")</f>
        <v>117.34693877551021</v>
      </c>
      <c r="J13" s="62">
        <f>SUMIFS('0923 4度C'!$K:$K,'0923 4度C'!$A:$A,"新豐10線",'0923 4度C'!$B:$B,"平均")</f>
        <v>231.70731707317074</v>
      </c>
      <c r="K13" s="63">
        <f>SUMIFS('0923 4度C'!$K:$K,'0923 4度C'!$A:$A,"新豐8線",'0923 4度C'!$B:$B,"平均")</f>
        <v>132.66331658291458</v>
      </c>
      <c r="L13" s="64">
        <f>SUMIFS('0923 4度C'!$K:$K,'0923 4度C'!$A:$A,"新豐9線",'0923 4度C'!$B:$B,"平均")</f>
        <v>146.56488549618319</v>
      </c>
      <c r="M13" s="62">
        <f>SUMIFS('0923 4度C'!$K:$K,'0923 4度C'!$A:$A,"新豐4線",'0923 4度C'!$B:$B,"平均")</f>
        <v>138.72832369942196</v>
      </c>
    </row>
    <row r="14" spans="2:17" ht="39.6" customHeight="1">
      <c r="B14" s="397"/>
      <c r="C14" s="65" t="s">
        <v>430</v>
      </c>
      <c r="D14" s="66">
        <f>SUMIFS('0923 4度C'!$N:$N,'0923 4度C'!$A:$A,"新豐6線",'0923 4度C'!$B:$B,"平均")</f>
        <v>120.12046005259312</v>
      </c>
      <c r="E14" s="67">
        <f>SUMIFS('0923 4度C'!$N:$N,'0923 4度C'!$A:$A,"新豐2線",'0923 4度C'!$B:$B,"平均")</f>
        <v>84.086299096441067</v>
      </c>
      <c r="F14" s="67">
        <f>SUMIFS('0923 4度C'!$N:$N,'0923 4度C'!$A:$A,"新豐5線",'0923 4度C'!$B:$B,"平均")</f>
        <v>82.99774921487149</v>
      </c>
      <c r="G14" s="67">
        <f>SUMIFS('0923 4度C'!$N:$N,'0923 4度C'!$A:$A,"新豐7線",'0923 4度C'!$B:$B,"平均")</f>
        <v>112.93917458587691</v>
      </c>
      <c r="H14" s="67">
        <f>SUMIFS('0923 4度C'!$N:$N,'0923 4度C'!$A:$A,"新豐3線",'0923 4度C'!$B:$B,"平均")</f>
        <v>297.82140080438393</v>
      </c>
      <c r="I14" s="67">
        <f>SUMIFS('0923 4度C'!$N:$N,'0923 4度C'!$A:$A,"新豐1線",'0923 4度C'!$B:$B,"平均")</f>
        <v>112.71079484425351</v>
      </c>
      <c r="J14" s="68">
        <f>SUMIFS('0923 4度C'!$N:$N,'0923 4度C'!$A:$A,"新豐10線",'0923 4度C'!$B:$B,"平均")</f>
        <v>223.32373484674275</v>
      </c>
      <c r="K14" s="69">
        <f>SUMIFS('0923 4度C'!$N:$N,'0923 4度C'!$A:$A,"新豐8線",'0923 4度C'!$B:$B,"平均")</f>
        <v>126.94804097006434</v>
      </c>
      <c r="L14" s="70">
        <f>SUMIFS('0923 4度C'!$N:$N,'0923 4度C'!$A:$A,"新豐9線",'0923 4度C'!$B:$B,"平均")</f>
        <v>140.17151131533183</v>
      </c>
      <c r="M14" s="68">
        <f>SUMIFS('0923 4度C'!$N:$N,'0923 4度C'!$A:$A,"新豐4線",'0923 4度C'!$B:$B,"平均")</f>
        <v>132.80934904749222</v>
      </c>
    </row>
    <row r="15" spans="2:17" ht="40.15" customHeight="1">
      <c r="B15" s="398"/>
      <c r="C15" s="71" t="s">
        <v>431</v>
      </c>
      <c r="D15" s="72">
        <f t="shared" ref="D15:M15" si="0">D14/D13</f>
        <v>0.96096368042074498</v>
      </c>
      <c r="E15" s="73">
        <f t="shared" si="0"/>
        <v>0.95297805642633215</v>
      </c>
      <c r="F15" s="73">
        <f t="shared" si="0"/>
        <v>0.95447411597102216</v>
      </c>
      <c r="G15" s="73">
        <f t="shared" si="0"/>
        <v>0.95998298397995385</v>
      </c>
      <c r="H15" s="73">
        <f t="shared" si="0"/>
        <v>0.95964673592523708</v>
      </c>
      <c r="I15" s="73">
        <f t="shared" si="0"/>
        <v>0.96049199084668202</v>
      </c>
      <c r="J15" s="74">
        <f t="shared" si="0"/>
        <v>0.96381822407541606</v>
      </c>
      <c r="K15" s="72">
        <f t="shared" si="0"/>
        <v>0.95691894519101528</v>
      </c>
      <c r="L15" s="73">
        <f t="shared" si="0"/>
        <v>0.95637854074523287</v>
      </c>
      <c r="M15" s="74">
        <f t="shared" si="0"/>
        <v>0.9573340577173397</v>
      </c>
    </row>
    <row r="16" spans="2:17" ht="17.25" customHeight="1">
      <c r="B16" s="401" t="s">
        <v>143</v>
      </c>
      <c r="C16" s="360" t="s">
        <v>1636</v>
      </c>
      <c r="D16" s="76">
        <f>VLOOKUP("新豐6線",'0923 4度C'!$A:$T,19,0)</f>
        <v>0.70833333333333337</v>
      </c>
      <c r="E16" s="28">
        <f>VLOOKUP("新豐2線",'0923 4度C'!$A:$T,19,0)</f>
        <v>0.20833333333333334</v>
      </c>
      <c r="F16" s="28">
        <f>VLOOKUP("新豐5線",'0923 4度C'!$A:$T,19,0)</f>
        <v>0.16666666666666666</v>
      </c>
      <c r="G16" s="28">
        <f>VLOOKUP("新豐7線",'0923 4度C'!$A:$T,19,0)</f>
        <v>0.20833333333333334</v>
      </c>
      <c r="H16" s="28">
        <f>VLOOKUP("新豐3線",'0923 4度C'!$A:$T,19,0)</f>
        <v>8.3333333333333329E-2</v>
      </c>
      <c r="I16" s="28">
        <f>VLOOKUP("新豐1線",'0923 4度C'!$A:$T,19,0)</f>
        <v>0.29166666666666669</v>
      </c>
      <c r="J16" s="77">
        <f>VLOOKUP("新豐10線",'0923 4度C'!$A:$T,19,0)</f>
        <v>0.20833333333333334</v>
      </c>
      <c r="K16" s="78">
        <f>VLOOKUP("新豐8線",'0923 4度C'!$A:$T,19,0)</f>
        <v>8.3333333333333329E-2</v>
      </c>
      <c r="L16" s="79">
        <f>VLOOKUP("新豐9線",'0923 4度C'!$A:$T,19,0)</f>
        <v>8.3333333333333329E-2</v>
      </c>
      <c r="M16" s="80">
        <f>VLOOKUP("新豐4線",'0923 4度C'!$A:$T,19,0)</f>
        <v>8.3333333333333329E-2</v>
      </c>
    </row>
    <row r="17" spans="2:13" ht="17.25" customHeight="1">
      <c r="B17" s="402"/>
      <c r="C17" s="360" t="s">
        <v>1637</v>
      </c>
      <c r="D17" s="78">
        <f>LOOKUP(2,1/(('0923 4度C'!$A:$A="新豐6線")*('0923 4度C'!$T:$T&lt;&gt;"")),'0923 4度C'!$T:$T)</f>
        <v>0.83194444444444449</v>
      </c>
      <c r="E17" s="28">
        <f>LOOKUP(2,1/(('0923 4度C'!$A:$A="新豐2線")*('0923 4度C'!$T:$T&lt;&gt;"")),'0923 4度C'!$T:$T)</f>
        <v>0.42986111111111114</v>
      </c>
      <c r="F17" s="28">
        <f>LOOKUP(2,1/(('0923 4度C'!$A:$A="新豐5線")*('0923 4度C'!$T:$T&lt;&gt;"")),'0923 4度C'!$T:$T)</f>
        <v>0.85</v>
      </c>
      <c r="G17" s="28">
        <f>LOOKUP(2,1/(('0923 4度C'!$A:$A="新豐7線")*('0923 4度C'!$T:$T&lt;&gt;"")),'0923 4度C'!$T:$T)</f>
        <v>0.77500000000000002</v>
      </c>
      <c r="H17" s="28">
        <f>LOOKUP(2,1/(('0923 4度C'!$A:$A="新豐3線")*('0923 4度C'!$T:$T&lt;&gt;"")),'0923 4度C'!$T:$T)</f>
        <v>0.4770833333333333</v>
      </c>
      <c r="I17" s="28">
        <f>LOOKUP(2,1/(('0923 4度C'!$A:$A="新豐1線")*('0923 4度C'!$T:$T&lt;&gt;"")),'0923 4度C'!$T:$T)</f>
        <v>0.84583333333333333</v>
      </c>
      <c r="J17" s="77">
        <f>LOOKUP(2,1/(('0923 4度C'!$A:$A="新豐10線")*('0923 4度C'!$T:$T&lt;&gt;"")),'0923 4度C'!$T:$T)</f>
        <v>0.42986111111111108</v>
      </c>
      <c r="K17" s="76">
        <f>LOOKUP(2,1/(('0923 4度C'!$A:$A="新豐8線")*('0923 4度C'!$T:$T&lt;&gt;"")),'0923 4度C'!$T:$T)</f>
        <v>0.7847222222222221</v>
      </c>
      <c r="L17" s="28">
        <f>LOOKUP(2,1/(('0923 4度C'!$A:$A="新豐9線")*('0923 4度C'!$T:$T&lt;&gt;"")),'0923 4度C'!$T:$T)</f>
        <v>0.76527777777777772</v>
      </c>
      <c r="M17" s="77">
        <f>LOOKUP(2,1/(('0923 4度C'!$A:$A="新豐4線")*('0923 4度C'!$T:$T&lt;&gt;"")),'0923 4度C'!$T:$T)</f>
        <v>0.74027777777777759</v>
      </c>
    </row>
    <row r="18" spans="2:13" ht="17.25" customHeight="1">
      <c r="B18" s="383" t="s">
        <v>1638</v>
      </c>
      <c r="C18" s="384"/>
      <c r="D18" s="81">
        <f>SUMIFS('0923 4度C'!$I:$I,'0923 4度C'!$A:$A,"新豐6線",'0923 4度C'!$B:$B,"平均")</f>
        <v>16</v>
      </c>
      <c r="E18" s="82">
        <f>SUMIFS('0923 4度C'!$I:$I,'0923 4度C'!$A:$A,"新豐2線",'0923 4度C'!$B:$B,"平均")</f>
        <v>17</v>
      </c>
      <c r="F18" s="82">
        <f>SUMIFS('0923 4度C'!$I:$I,'0923 4度C'!$A:$A,"新豐5線",'0923 4度C'!$B:$B,"平均")</f>
        <v>19.166666666666668</v>
      </c>
      <c r="G18" s="82">
        <f>SUMIFS('0923 4度C'!$I:$I,'0923 4度C'!$A:$A,"新豐7線",'0923 4度C'!$B:$B,"平均")</f>
        <v>17</v>
      </c>
      <c r="H18" s="82">
        <f>SUMIFS('0923 4度C'!$I:$I,'0923 4度C'!$A:$A,"新豐3線",'0923 4度C'!$B:$B,"平均")</f>
        <v>10</v>
      </c>
      <c r="I18" s="82">
        <f>SUMIFS('0923 4度C'!$I:$I,'0923 4度C'!$A:$A,"新豐1線",'0923 4度C'!$B:$B,"平均")</f>
        <v>16.333333333333332</v>
      </c>
      <c r="J18" s="83">
        <f>SUMIFS('0923 4度C'!$I:$I,'0923 4度C'!$A:$A,"新豐10線",'0923 4度C'!$B:$B,"平均")</f>
        <v>10.25</v>
      </c>
      <c r="K18" s="81">
        <f>SUMIFS('0923 4度C'!$I:$I,'0923 4度C'!$A:$A,"新豐8線",'0923 4度C'!$B:$B,"平均")</f>
        <v>18.09090909090909</v>
      </c>
      <c r="L18" s="82">
        <f>SUMIFS('0923 4度C'!$I:$I,'0923 4度C'!$A:$A,"新豐9線",'0923 4度C'!$B:$B,"平均")</f>
        <v>16.375</v>
      </c>
      <c r="M18" s="83">
        <f>SUMIFS('0923 4度C'!$I:$I,'0923 4度C'!$A:$A,"新豐4線",'0923 4度C'!$B:$B,"平均")</f>
        <v>17.3</v>
      </c>
    </row>
    <row r="19" spans="2:13" ht="17.25" customHeight="1">
      <c r="B19" s="383" t="s">
        <v>1639</v>
      </c>
      <c r="C19" s="384"/>
      <c r="D19" s="84" t="s">
        <v>148</v>
      </c>
      <c r="E19" s="85" t="s">
        <v>149</v>
      </c>
      <c r="F19" s="85" t="s">
        <v>1640</v>
      </c>
      <c r="G19" s="85" t="s">
        <v>1640</v>
      </c>
      <c r="H19" s="85" t="s">
        <v>151</v>
      </c>
      <c r="I19" s="85" t="s">
        <v>148</v>
      </c>
      <c r="J19" s="86" t="s">
        <v>151</v>
      </c>
      <c r="K19" s="84" t="s">
        <v>1641</v>
      </c>
      <c r="L19" s="85" t="s">
        <v>1641</v>
      </c>
      <c r="M19" s="86" t="s">
        <v>1641</v>
      </c>
    </row>
    <row r="20" spans="2:13" ht="17.25" customHeight="1">
      <c r="B20" s="383" t="s">
        <v>1642</v>
      </c>
      <c r="C20" s="384"/>
      <c r="D20" s="84"/>
      <c r="E20" s="85"/>
      <c r="F20" s="85" t="s">
        <v>1643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1644</v>
      </c>
      <c r="C21" s="386"/>
      <c r="D21" s="87"/>
      <c r="E21" s="88" t="s">
        <v>1645</v>
      </c>
      <c r="F21" s="387" t="s">
        <v>1646</v>
      </c>
      <c r="G21" s="388"/>
      <c r="H21" s="88" t="s">
        <v>1647</v>
      </c>
      <c r="I21" s="88" t="s">
        <v>1648</v>
      </c>
      <c r="J21" s="89" t="s">
        <v>1647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34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5"/>
  <sheetViews>
    <sheetView zoomScale="80" zoomScaleNormal="80" workbookViewId="0">
      <pane ySplit="4" topLeftCell="A44" activePane="bottomLeft" state="frozen"/>
      <selection activeCell="B20" sqref="B20:C20"/>
      <selection pane="bottomLeft" activeCell="G54" sqref="G5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1649</v>
      </c>
      <c r="B1" s="1"/>
      <c r="C1" s="2" t="s">
        <v>1</v>
      </c>
      <c r="D1" s="3">
        <f>SUM(F5:F74)</f>
        <v>191712</v>
      </c>
      <c r="E1" s="346" t="s">
        <v>258</v>
      </c>
      <c r="F1" s="1">
        <f>SUM(G5:G74)</f>
        <v>6174925</v>
      </c>
      <c r="G1" s="1" t="s">
        <v>1650</v>
      </c>
      <c r="H1" s="38">
        <v>157.23019480519483</v>
      </c>
      <c r="I1" s="482" t="s">
        <v>208</v>
      </c>
      <c r="J1" s="482"/>
      <c r="K1" s="482"/>
      <c r="L1" s="482" t="s">
        <v>1651</v>
      </c>
      <c r="M1" s="482"/>
      <c r="N1" s="482"/>
      <c r="O1" s="482" t="s">
        <v>262</v>
      </c>
      <c r="P1" s="482"/>
      <c r="Q1" s="482"/>
      <c r="R1" s="482"/>
      <c r="S1" s="482" t="s">
        <v>1652</v>
      </c>
      <c r="T1" s="482"/>
      <c r="U1" s="482"/>
      <c r="V1" s="482"/>
      <c r="W1" s="482"/>
      <c r="X1" s="482"/>
      <c r="Y1" s="482" t="s">
        <v>210</v>
      </c>
      <c r="Z1" s="482"/>
      <c r="AA1" s="482" t="s">
        <v>1653</v>
      </c>
      <c r="AB1" s="483"/>
      <c r="AC1" s="483"/>
    </row>
    <row r="2" spans="1:29" ht="26.25" customHeight="1">
      <c r="A2" s="133">
        <v>45923</v>
      </c>
      <c r="B2" s="132" t="s">
        <v>161</v>
      </c>
      <c r="C2" s="2" t="s">
        <v>1634</v>
      </c>
      <c r="D2" s="6">
        <f>AVERAGE(N8,N10,N51,N58,N17,N63,N23,N35,N44,N74)</f>
        <v>143.39285147780515</v>
      </c>
      <c r="E2" s="7" t="s">
        <v>11</v>
      </c>
      <c r="F2" s="8">
        <f>F1/D1</f>
        <v>32.209381781004844</v>
      </c>
      <c r="G2" s="1" t="s">
        <v>266</v>
      </c>
      <c r="H2" s="39">
        <v>12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1654</v>
      </c>
      <c r="B3" s="443" t="s">
        <v>268</v>
      </c>
      <c r="C3" s="443" t="s">
        <v>214</v>
      </c>
      <c r="D3" s="443"/>
      <c r="E3" s="484" t="s">
        <v>1655</v>
      </c>
      <c r="F3" s="443" t="s">
        <v>1656</v>
      </c>
      <c r="G3" s="484" t="s">
        <v>1657</v>
      </c>
      <c r="H3" s="487" t="s">
        <v>650</v>
      </c>
      <c r="I3" s="474" t="s">
        <v>1658</v>
      </c>
      <c r="J3" s="479" t="s">
        <v>220</v>
      </c>
      <c r="K3" s="481" t="s">
        <v>1634</v>
      </c>
      <c r="L3" s="474" t="s">
        <v>219</v>
      </c>
      <c r="M3" s="479" t="s">
        <v>220</v>
      </c>
      <c r="N3" s="481" t="s">
        <v>188</v>
      </c>
      <c r="O3" s="474" t="s">
        <v>219</v>
      </c>
      <c r="P3" s="481" t="s">
        <v>1634</v>
      </c>
      <c r="Q3" s="480" t="s">
        <v>1659</v>
      </c>
      <c r="R3" s="451" t="s">
        <v>222</v>
      </c>
      <c r="S3" s="486" t="s">
        <v>25</v>
      </c>
      <c r="T3" s="486"/>
      <c r="U3" s="476" t="s">
        <v>26</v>
      </c>
      <c r="V3" s="476" t="s">
        <v>1660</v>
      </c>
      <c r="W3" s="443" t="s">
        <v>1661</v>
      </c>
      <c r="X3" s="443"/>
      <c r="Y3" s="477" t="s">
        <v>1662</v>
      </c>
      <c r="Z3" s="478"/>
      <c r="AA3" s="479" t="s">
        <v>1663</v>
      </c>
      <c r="AB3" s="480" t="s">
        <v>1664</v>
      </c>
      <c r="AC3" s="451" t="s">
        <v>1665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57" t="s">
        <v>31</v>
      </c>
      <c r="T4" s="357" t="s">
        <v>32</v>
      </c>
      <c r="U4" s="476"/>
      <c r="V4" s="476"/>
      <c r="W4" s="346" t="s">
        <v>1666</v>
      </c>
      <c r="X4" s="346" t="s">
        <v>1667</v>
      </c>
      <c r="Y4" s="478"/>
      <c r="Z4" s="478"/>
      <c r="AA4" s="479"/>
      <c r="AB4" s="480"/>
      <c r="AC4" s="451"/>
    </row>
    <row r="5" spans="1:29">
      <c r="A5" s="473" t="s">
        <v>1668</v>
      </c>
      <c r="B5" s="31" t="s">
        <v>58</v>
      </c>
      <c r="C5" s="475" t="s">
        <v>104</v>
      </c>
      <c r="D5" s="475"/>
      <c r="E5" s="31">
        <v>46.93</v>
      </c>
      <c r="F5" s="357">
        <v>1054</v>
      </c>
      <c r="G5" s="346">
        <f>E5*F5</f>
        <v>49464.22</v>
      </c>
      <c r="H5" s="359" t="s">
        <v>103</v>
      </c>
      <c r="I5" s="355">
        <v>16</v>
      </c>
      <c r="J5" s="26">
        <v>2000</v>
      </c>
      <c r="K5" s="10">
        <f>J5/I5</f>
        <v>125</v>
      </c>
      <c r="L5" s="355">
        <v>16</v>
      </c>
      <c r="M5" s="11">
        <f>F5/V5*60</f>
        <v>1916.363636363634</v>
      </c>
      <c r="N5" s="10">
        <f>M5/L5</f>
        <v>119.77272727272712</v>
      </c>
      <c r="O5" s="12">
        <f t="shared" ref="O5:O7" si="0">L5-I5</f>
        <v>0</v>
      </c>
      <c r="P5" s="13">
        <f t="shared" ref="P5:P7" si="1">N5-K5</f>
        <v>-5.2272727272728758</v>
      </c>
      <c r="Q5" s="351">
        <f>N5/K5</f>
        <v>0.95818181818181702</v>
      </c>
      <c r="R5" s="442">
        <f>Q8</f>
        <v>0.96096368042074498</v>
      </c>
      <c r="S5" s="28">
        <v>0.70833333333333337</v>
      </c>
      <c r="T5" s="28">
        <v>0.73125000000000007</v>
      </c>
      <c r="U5" s="346"/>
      <c r="V5" s="356">
        <f>(T5-S5)*24*60</f>
        <v>33.000000000000043</v>
      </c>
      <c r="W5" s="16"/>
      <c r="X5" s="17"/>
      <c r="Y5" s="443"/>
      <c r="Z5" s="443"/>
      <c r="AA5" s="12">
        <f t="shared" ref="AA5:AA68" si="2">M5-J5</f>
        <v>-83.636363636366013</v>
      </c>
      <c r="AB5" s="351">
        <f t="shared" ref="AB5:AB7" si="3">M5/J5</f>
        <v>0.95818181818181702</v>
      </c>
      <c r="AC5" s="442">
        <f>AB8</f>
        <v>0.96096368042074498</v>
      </c>
    </row>
    <row r="6" spans="1:29">
      <c r="A6" s="474" t="s">
        <v>230</v>
      </c>
      <c r="B6" s="31" t="s">
        <v>58</v>
      </c>
      <c r="C6" s="475" t="s">
        <v>105</v>
      </c>
      <c r="D6" s="475"/>
      <c r="E6" s="31">
        <v>50.49</v>
      </c>
      <c r="F6" s="357">
        <v>2282</v>
      </c>
      <c r="G6" s="346">
        <f t="shared" ref="G6:G7" si="4">E6*F6</f>
        <v>115218.18000000001</v>
      </c>
      <c r="H6" s="359" t="s">
        <v>103</v>
      </c>
      <c r="I6" s="355">
        <v>15</v>
      </c>
      <c r="J6" s="26">
        <v>2000</v>
      </c>
      <c r="K6" s="10">
        <f t="shared" ref="K6:K7" si="5">J6/I6</f>
        <v>133.33333333333334</v>
      </c>
      <c r="L6" s="355">
        <v>15</v>
      </c>
      <c r="M6" s="11">
        <f>F6/V6*60</f>
        <v>1928.4507042253499</v>
      </c>
      <c r="N6" s="10">
        <f t="shared" ref="N6:N7" si="6">M6/L6</f>
        <v>128.56338028169</v>
      </c>
      <c r="O6" s="12">
        <f t="shared" si="0"/>
        <v>0</v>
      </c>
      <c r="P6" s="13">
        <f t="shared" si="1"/>
        <v>-4.7699530516433413</v>
      </c>
      <c r="Q6" s="351">
        <f t="shared" ref="Q6:Q7" si="7">N6/K6</f>
        <v>0.9642253521126749</v>
      </c>
      <c r="R6" s="442"/>
      <c r="S6" s="28">
        <v>0.73541666666666672</v>
      </c>
      <c r="T6" s="28">
        <v>0.78472222222222232</v>
      </c>
      <c r="U6" s="346">
        <f>(S6-T5)*24*60</f>
        <v>5.9999999999999787</v>
      </c>
      <c r="V6" s="356">
        <f>(T6-S6)*24*60</f>
        <v>71.000000000000071</v>
      </c>
      <c r="W6" s="16"/>
      <c r="X6" s="16"/>
      <c r="Y6" s="443"/>
      <c r="Z6" s="443"/>
      <c r="AA6" s="12">
        <f t="shared" si="2"/>
        <v>-71.549295774650091</v>
      </c>
      <c r="AB6" s="351">
        <f t="shared" si="3"/>
        <v>0.9642253521126749</v>
      </c>
      <c r="AC6" s="442"/>
    </row>
    <row r="7" spans="1:29">
      <c r="A7" s="474" t="s">
        <v>1669</v>
      </c>
      <c r="B7" s="31" t="s">
        <v>58</v>
      </c>
      <c r="C7" s="471" t="s">
        <v>106</v>
      </c>
      <c r="D7" s="472"/>
      <c r="E7" s="31">
        <v>50.67</v>
      </c>
      <c r="F7" s="357">
        <v>1985</v>
      </c>
      <c r="G7" s="346">
        <f t="shared" si="4"/>
        <v>100579.95</v>
      </c>
      <c r="H7" s="359" t="s">
        <v>103</v>
      </c>
      <c r="I7" s="355">
        <v>17</v>
      </c>
      <c r="J7" s="26">
        <v>2000</v>
      </c>
      <c r="K7" s="10">
        <f t="shared" si="5"/>
        <v>117.64705882352941</v>
      </c>
      <c r="L7" s="355">
        <v>17</v>
      </c>
      <c r="M7" s="11">
        <f t="shared" ref="M7" si="8">F7/V7*60</f>
        <v>1920.9677419354855</v>
      </c>
      <c r="N7" s="10">
        <f t="shared" si="6"/>
        <v>112.99810246679327</v>
      </c>
      <c r="O7" s="12">
        <f t="shared" si="0"/>
        <v>0</v>
      </c>
      <c r="P7" s="13">
        <f t="shared" si="1"/>
        <v>-4.6489563567361358</v>
      </c>
      <c r="Q7" s="351">
        <f t="shared" si="7"/>
        <v>0.96048387096774279</v>
      </c>
      <c r="R7" s="442"/>
      <c r="S7" s="28">
        <v>0.78888888888888897</v>
      </c>
      <c r="T7" s="28">
        <v>0.83194444444444449</v>
      </c>
      <c r="U7" s="346">
        <f t="shared" ref="U7" si="9">(S7-T6)*24*60</f>
        <v>5.9999999999999787</v>
      </c>
      <c r="V7" s="356">
        <f t="shared" ref="V7" si="10">(T7-S7)*24*60</f>
        <v>61.999999999999943</v>
      </c>
      <c r="W7" s="16"/>
      <c r="X7" s="16"/>
      <c r="Y7" s="447"/>
      <c r="Z7" s="448"/>
      <c r="AA7" s="12">
        <f t="shared" si="2"/>
        <v>-79.032258064514508</v>
      </c>
      <c r="AB7" s="351">
        <f t="shared" si="3"/>
        <v>0.96048387096774279</v>
      </c>
      <c r="AC7" s="442"/>
    </row>
    <row r="8" spans="1:29">
      <c r="A8" s="474" t="s">
        <v>1669</v>
      </c>
      <c r="B8" s="31" t="s">
        <v>1670</v>
      </c>
      <c r="C8" s="446"/>
      <c r="D8" s="446"/>
      <c r="E8" s="345"/>
      <c r="F8" s="33"/>
      <c r="G8" s="10"/>
      <c r="H8" s="357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1921.9273608414899</v>
      </c>
      <c r="N8" s="10">
        <f>M8/L8</f>
        <v>120.12046005259312</v>
      </c>
      <c r="O8" s="12">
        <f>L8-I8</f>
        <v>0</v>
      </c>
      <c r="P8" s="13">
        <f>N8-K8</f>
        <v>-4.879539947406883</v>
      </c>
      <c r="Q8" s="351">
        <f>N8/K8</f>
        <v>0.96096368042074498</v>
      </c>
      <c r="R8" s="442"/>
      <c r="S8" s="28"/>
      <c r="T8" s="28"/>
      <c r="U8" s="346"/>
      <c r="V8" s="356"/>
      <c r="W8" s="10"/>
      <c r="X8" s="10"/>
      <c r="Y8" s="443"/>
      <c r="Z8" s="443"/>
      <c r="AA8" s="12">
        <f t="shared" si="2"/>
        <v>-78.072639158510128</v>
      </c>
      <c r="AB8" s="351">
        <f>M8/J8</f>
        <v>0.96096368042074498</v>
      </c>
      <c r="AC8" s="442"/>
    </row>
    <row r="9" spans="1:29" ht="15.75" customHeight="1">
      <c r="A9" s="439" t="s">
        <v>1671</v>
      </c>
      <c r="B9" s="31" t="s">
        <v>53</v>
      </c>
      <c r="C9" s="471" t="s">
        <v>54</v>
      </c>
      <c r="D9" s="472"/>
      <c r="E9" s="31">
        <v>39.799999999999997</v>
      </c>
      <c r="F9" s="357">
        <v>7600</v>
      </c>
      <c r="G9" s="346">
        <f t="shared" ref="G9" si="11">E9*F9</f>
        <v>302480</v>
      </c>
      <c r="H9" s="359" t="s">
        <v>103</v>
      </c>
      <c r="I9" s="355">
        <v>17</v>
      </c>
      <c r="J9" s="26">
        <v>1500</v>
      </c>
      <c r="K9" s="10">
        <f t="shared" ref="K9" si="12">J9/I9</f>
        <v>88.235294117647058</v>
      </c>
      <c r="L9" s="355">
        <v>17</v>
      </c>
      <c r="M9" s="11">
        <f t="shared" ref="M9" si="13">F9/V9*60</f>
        <v>1429.4670846394981</v>
      </c>
      <c r="N9" s="10">
        <f t="shared" ref="N9" si="14">M9/L9</f>
        <v>84.086299096441067</v>
      </c>
      <c r="O9" s="12">
        <f t="shared" ref="O9" si="15">L9-I9</f>
        <v>0</v>
      </c>
      <c r="P9" s="13">
        <f>N9-K9</f>
        <v>-4.148995021205991</v>
      </c>
      <c r="Q9" s="351">
        <f>N9/K9</f>
        <v>0.95297805642633215</v>
      </c>
      <c r="R9" s="442">
        <f>Q10</f>
        <v>0.95297805642633215</v>
      </c>
      <c r="S9" s="28">
        <v>0.20833333333333334</v>
      </c>
      <c r="T9" s="28">
        <v>0.42986111111111114</v>
      </c>
      <c r="U9" s="346"/>
      <c r="V9" s="356">
        <f t="shared" ref="V9" si="16">(T9-S9)*24*60</f>
        <v>319.00000000000006</v>
      </c>
      <c r="W9" s="16"/>
      <c r="X9" s="16"/>
      <c r="Y9" s="443"/>
      <c r="Z9" s="443"/>
      <c r="AA9" s="12">
        <f t="shared" si="2"/>
        <v>-70.532915360501875</v>
      </c>
      <c r="AB9" s="351">
        <f>M9/J9</f>
        <v>0.95297805642633204</v>
      </c>
      <c r="AC9" s="442">
        <f>AB10</f>
        <v>0.95297805642633204</v>
      </c>
    </row>
    <row r="10" spans="1:29" ht="16.5" customHeight="1">
      <c r="A10" s="439" t="s">
        <v>1671</v>
      </c>
      <c r="B10" s="31" t="s">
        <v>231</v>
      </c>
      <c r="C10" s="446"/>
      <c r="D10" s="446"/>
      <c r="E10" s="345"/>
      <c r="F10" s="26"/>
      <c r="G10" s="11"/>
      <c r="H10" s="357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1429.4670846394981</v>
      </c>
      <c r="N10" s="10">
        <f>M10/L10</f>
        <v>84.086299096441067</v>
      </c>
      <c r="O10" s="12">
        <f>L10-I10</f>
        <v>0</v>
      </c>
      <c r="P10" s="13">
        <f>N10-K10</f>
        <v>-4.148995021205991</v>
      </c>
      <c r="Q10" s="351">
        <f>N10/K10</f>
        <v>0.95297805642633215</v>
      </c>
      <c r="R10" s="442"/>
      <c r="S10" s="28"/>
      <c r="T10" s="28"/>
      <c r="U10" s="10"/>
      <c r="V10" s="356"/>
      <c r="W10" s="10"/>
      <c r="X10" s="10"/>
      <c r="Y10" s="443"/>
      <c r="Z10" s="443"/>
      <c r="AA10" s="12">
        <f t="shared" si="2"/>
        <v>-70.532915360501875</v>
      </c>
      <c r="AB10" s="351">
        <f t="shared" ref="AB10:AB23" si="17">M10/J10</f>
        <v>0.95297805642633204</v>
      </c>
      <c r="AC10" s="442"/>
    </row>
    <row r="11" spans="1:29" ht="16.5" customHeight="1">
      <c r="A11" s="469" t="s">
        <v>162</v>
      </c>
      <c r="B11" s="357" t="s">
        <v>56</v>
      </c>
      <c r="C11" s="464" t="s">
        <v>57</v>
      </c>
      <c r="D11" s="464"/>
      <c r="E11" s="31">
        <v>41</v>
      </c>
      <c r="F11" s="357">
        <v>2025</v>
      </c>
      <c r="G11" s="346">
        <f t="shared" ref="G11:G16" si="18">E11*F11</f>
        <v>83025</v>
      </c>
      <c r="H11" s="359" t="s">
        <v>103</v>
      </c>
      <c r="I11" s="355">
        <v>26</v>
      </c>
      <c r="J11" s="26">
        <v>1500</v>
      </c>
      <c r="K11" s="10">
        <f>J11/I11</f>
        <v>57.692307692307693</v>
      </c>
      <c r="L11" s="355">
        <v>26</v>
      </c>
      <c r="M11" s="11">
        <f>F11/V11*60</f>
        <v>1429.4117647058822</v>
      </c>
      <c r="N11" s="10">
        <f t="shared" ref="N11:N22" si="19">M11/L11</f>
        <v>54.977375565610856</v>
      </c>
      <c r="O11" s="12">
        <f t="shared" ref="O11" si="20">L11-I11</f>
        <v>0</v>
      </c>
      <c r="P11" s="13">
        <f t="shared" ref="P11" si="21">N11-K11</f>
        <v>-2.7149321266968371</v>
      </c>
      <c r="Q11" s="351">
        <f>N11/K11</f>
        <v>0.95294117647058818</v>
      </c>
      <c r="R11" s="442">
        <f>Q17</f>
        <v>0.95447411597102216</v>
      </c>
      <c r="S11" s="28">
        <v>0.16666666666666666</v>
      </c>
      <c r="T11" s="28">
        <v>0.22569444444444445</v>
      </c>
      <c r="U11" s="346"/>
      <c r="V11" s="356">
        <f>(T11-S11)*24*60</f>
        <v>85.000000000000014</v>
      </c>
      <c r="W11" s="16">
        <f>T11</f>
        <v>0.22569444444444445</v>
      </c>
      <c r="X11" s="16">
        <f>S12</f>
        <v>0.24583333333333335</v>
      </c>
      <c r="Y11" s="443"/>
      <c r="Z11" s="443"/>
      <c r="AA11" s="12">
        <f t="shared" si="2"/>
        <v>-70.588235294117794</v>
      </c>
      <c r="AB11" s="351">
        <f t="shared" si="17"/>
        <v>0.95294117647058818</v>
      </c>
      <c r="AC11" s="442">
        <f>AB17</f>
        <v>0.95447411597102216</v>
      </c>
    </row>
    <row r="12" spans="1:29" ht="16.5" customHeight="1">
      <c r="A12" s="470" t="s">
        <v>162</v>
      </c>
      <c r="B12" s="357" t="s">
        <v>53</v>
      </c>
      <c r="C12" s="464" t="s">
        <v>107</v>
      </c>
      <c r="D12" s="464"/>
      <c r="E12" s="31">
        <v>39.619999999999997</v>
      </c>
      <c r="F12" s="357">
        <v>3200</v>
      </c>
      <c r="G12" s="346">
        <f t="shared" si="18"/>
        <v>126783.99999999999</v>
      </c>
      <c r="H12" s="359">
        <v>2</v>
      </c>
      <c r="I12" s="355">
        <v>19</v>
      </c>
      <c r="J12" s="26">
        <v>1500</v>
      </c>
      <c r="K12" s="10">
        <f>J12/I12</f>
        <v>78.94736842105263</v>
      </c>
      <c r="L12" s="355">
        <v>19</v>
      </c>
      <c r="M12" s="11">
        <f>F12/V12*60</f>
        <v>1432.8358208955224</v>
      </c>
      <c r="N12" s="10">
        <f t="shared" si="19"/>
        <v>75.412411626080129</v>
      </c>
      <c r="O12" s="12">
        <f>L12-I12</f>
        <v>0</v>
      </c>
      <c r="P12" s="13">
        <f>N12-K12</f>
        <v>-3.5349567949725014</v>
      </c>
      <c r="Q12" s="351">
        <f>N12/K12</f>
        <v>0.95522388059701502</v>
      </c>
      <c r="R12" s="442"/>
      <c r="S12" s="28">
        <v>0.24583333333333335</v>
      </c>
      <c r="T12" s="28">
        <v>0.33888888888888891</v>
      </c>
      <c r="U12" s="346">
        <f>IF(S12=TIME(17,0,0),"",(S12-T11)*24*60)</f>
        <v>29.000000000000018</v>
      </c>
      <c r="V12" s="356">
        <f>(T12-S12)*24*60</f>
        <v>134</v>
      </c>
      <c r="W12" s="16"/>
      <c r="X12" s="16"/>
      <c r="Y12" s="443"/>
      <c r="Z12" s="443"/>
      <c r="AA12" s="12">
        <f t="shared" si="2"/>
        <v>-67.164179104477626</v>
      </c>
      <c r="AB12" s="351">
        <f t="shared" si="17"/>
        <v>0.95522388059701491</v>
      </c>
      <c r="AC12" s="442"/>
    </row>
    <row r="13" spans="1:29" ht="16.5" customHeight="1">
      <c r="A13" s="470" t="s">
        <v>1672</v>
      </c>
      <c r="B13" s="357" t="s">
        <v>53</v>
      </c>
      <c r="C13" s="464" t="s">
        <v>163</v>
      </c>
      <c r="D13" s="464"/>
      <c r="E13" s="31">
        <v>39.36</v>
      </c>
      <c r="F13" s="357">
        <v>3910</v>
      </c>
      <c r="G13" s="346">
        <f t="shared" si="18"/>
        <v>153897.60000000001</v>
      </c>
      <c r="H13" s="359" t="s">
        <v>103</v>
      </c>
      <c r="I13" s="355">
        <v>20</v>
      </c>
      <c r="J13" s="26">
        <v>1500</v>
      </c>
      <c r="K13" s="10">
        <f t="shared" ref="K13:K16" si="22">J13/I13</f>
        <v>75</v>
      </c>
      <c r="L13" s="355">
        <v>20</v>
      </c>
      <c r="M13" s="11">
        <f t="shared" ref="M13:M15" si="23">F13/V13*60</f>
        <v>1430.487804878049</v>
      </c>
      <c r="N13" s="10">
        <f t="shared" si="19"/>
        <v>71.524390243902445</v>
      </c>
      <c r="O13" s="12">
        <f t="shared" ref="O13:O16" si="24">L13-I13</f>
        <v>0</v>
      </c>
      <c r="P13" s="13">
        <f t="shared" ref="P13:P16" si="25">N13-K13</f>
        <v>-3.4756097560975547</v>
      </c>
      <c r="Q13" s="351">
        <f t="shared" ref="Q13:Q22" si="26">N13/K13</f>
        <v>0.95365853658536592</v>
      </c>
      <c r="R13" s="442"/>
      <c r="S13" s="28">
        <v>0.34375</v>
      </c>
      <c r="T13" s="28">
        <v>0.45763888888888887</v>
      </c>
      <c r="U13" s="346">
        <f t="shared" ref="U13:U16" si="27">IF(S13=TIME(17,0,0),"",(S13-T12)*24*60)</f>
        <v>6.9999999999999751</v>
      </c>
      <c r="V13" s="356">
        <f t="shared" ref="V13:V16" si="28">(T13-S13)*24*60</f>
        <v>163.99999999999997</v>
      </c>
      <c r="W13" s="16">
        <f>T13</f>
        <v>0.45763888888888887</v>
      </c>
      <c r="X13" s="16">
        <f>S14</f>
        <v>0.53888888888888886</v>
      </c>
      <c r="Y13" s="443"/>
      <c r="Z13" s="443"/>
      <c r="AA13" s="12">
        <f t="shared" si="2"/>
        <v>-69.512195121950981</v>
      </c>
      <c r="AB13" s="351">
        <f t="shared" si="17"/>
        <v>0.95365853658536603</v>
      </c>
      <c r="AC13" s="442"/>
    </row>
    <row r="14" spans="1:29" ht="16.5" customHeight="1">
      <c r="A14" s="470" t="s">
        <v>162</v>
      </c>
      <c r="B14" s="357" t="s">
        <v>53</v>
      </c>
      <c r="C14" s="464" t="s">
        <v>107</v>
      </c>
      <c r="D14" s="464"/>
      <c r="E14" s="31">
        <v>39.619999999999997</v>
      </c>
      <c r="F14" s="357">
        <v>1858</v>
      </c>
      <c r="G14" s="346">
        <f t="shared" si="18"/>
        <v>73613.959999999992</v>
      </c>
      <c r="H14" s="359" t="s">
        <v>103</v>
      </c>
      <c r="I14" s="355">
        <v>19</v>
      </c>
      <c r="J14" s="26">
        <v>1500</v>
      </c>
      <c r="K14" s="10">
        <f t="shared" si="22"/>
        <v>78.94736842105263</v>
      </c>
      <c r="L14" s="355">
        <v>19</v>
      </c>
      <c r="M14" s="11">
        <f t="shared" si="23"/>
        <v>1429.2307692307684</v>
      </c>
      <c r="N14" s="10">
        <f t="shared" si="19"/>
        <v>75.222672064777285</v>
      </c>
      <c r="O14" s="12">
        <f t="shared" si="24"/>
        <v>0</v>
      </c>
      <c r="P14" s="13">
        <f t="shared" si="25"/>
        <v>-3.724696356275345</v>
      </c>
      <c r="Q14" s="351">
        <f t="shared" si="26"/>
        <v>0.95282051282051228</v>
      </c>
      <c r="R14" s="442"/>
      <c r="S14" s="28">
        <v>0.53888888888888886</v>
      </c>
      <c r="T14" s="28">
        <v>0.59305555555555556</v>
      </c>
      <c r="U14" s="346">
        <f t="shared" si="27"/>
        <v>116.99999999999999</v>
      </c>
      <c r="V14" s="356">
        <f t="shared" si="28"/>
        <v>78.000000000000043</v>
      </c>
      <c r="W14" s="16"/>
      <c r="X14" s="16"/>
      <c r="Y14" s="443"/>
      <c r="Z14" s="443"/>
      <c r="AA14" s="12">
        <f t="shared" si="2"/>
        <v>-70.769230769231626</v>
      </c>
      <c r="AB14" s="351">
        <f t="shared" si="17"/>
        <v>0.95282051282051228</v>
      </c>
      <c r="AC14" s="442"/>
    </row>
    <row r="15" spans="1:29" ht="16.5" customHeight="1">
      <c r="A15" s="470" t="s">
        <v>1672</v>
      </c>
      <c r="B15" s="357" t="s">
        <v>58</v>
      </c>
      <c r="C15" s="464" t="s">
        <v>59</v>
      </c>
      <c r="D15" s="464"/>
      <c r="E15" s="31">
        <v>50.98</v>
      </c>
      <c r="F15" s="357">
        <v>3055</v>
      </c>
      <c r="G15" s="346">
        <f t="shared" si="18"/>
        <v>155743.9</v>
      </c>
      <c r="H15" s="359" t="s">
        <v>103</v>
      </c>
      <c r="I15" s="355">
        <v>16</v>
      </c>
      <c r="J15" s="26">
        <v>2000</v>
      </c>
      <c r="K15" s="10">
        <f t="shared" si="22"/>
        <v>125</v>
      </c>
      <c r="L15" s="355">
        <v>16</v>
      </c>
      <c r="M15" s="11">
        <f t="shared" si="23"/>
        <v>1909.3750000000005</v>
      </c>
      <c r="N15" s="10">
        <f t="shared" si="19"/>
        <v>119.33593750000003</v>
      </c>
      <c r="O15" s="12">
        <f t="shared" si="24"/>
        <v>0</v>
      </c>
      <c r="P15" s="13">
        <f t="shared" si="25"/>
        <v>-5.6640624999999716</v>
      </c>
      <c r="Q15" s="351">
        <f t="shared" si="26"/>
        <v>0.95468750000000024</v>
      </c>
      <c r="R15" s="442"/>
      <c r="S15" s="28">
        <v>0.70833333333333337</v>
      </c>
      <c r="T15" s="28">
        <v>0.77500000000000002</v>
      </c>
      <c r="U15" s="346" t="str">
        <f t="shared" si="27"/>
        <v/>
      </c>
      <c r="V15" s="356">
        <f t="shared" si="28"/>
        <v>95.999999999999972</v>
      </c>
      <c r="W15" s="16"/>
      <c r="X15" s="16"/>
      <c r="Y15" s="443"/>
      <c r="Z15" s="443"/>
      <c r="AA15" s="12">
        <f t="shared" si="2"/>
        <v>-90.624999999999545</v>
      </c>
      <c r="AB15" s="351">
        <f t="shared" si="17"/>
        <v>0.95468750000000024</v>
      </c>
      <c r="AC15" s="442"/>
    </row>
    <row r="16" spans="1:29" ht="16.5" customHeight="1">
      <c r="A16" s="470" t="s">
        <v>162</v>
      </c>
      <c r="B16" s="357" t="s">
        <v>58</v>
      </c>
      <c r="C16" s="465" t="s">
        <v>60</v>
      </c>
      <c r="D16" s="466"/>
      <c r="E16" s="31">
        <v>50.92</v>
      </c>
      <c r="F16" s="357">
        <v>3189</v>
      </c>
      <c r="G16" s="346">
        <f t="shared" si="18"/>
        <v>162383.88</v>
      </c>
      <c r="H16" s="359" t="s">
        <v>103</v>
      </c>
      <c r="I16" s="355">
        <v>15</v>
      </c>
      <c r="J16" s="26">
        <v>2000</v>
      </c>
      <c r="K16" s="10">
        <f t="shared" si="22"/>
        <v>133.33333333333334</v>
      </c>
      <c r="L16" s="355">
        <v>15</v>
      </c>
      <c r="M16" s="11">
        <f>F16/V16*60</f>
        <v>1913.4000000000005</v>
      </c>
      <c r="N16" s="10">
        <f t="shared" si="19"/>
        <v>127.56000000000003</v>
      </c>
      <c r="O16" s="12">
        <f t="shared" si="24"/>
        <v>0</v>
      </c>
      <c r="P16" s="13">
        <f t="shared" si="25"/>
        <v>-5.7733333333333121</v>
      </c>
      <c r="Q16" s="351">
        <f t="shared" si="26"/>
        <v>0.95670000000000022</v>
      </c>
      <c r="R16" s="442"/>
      <c r="S16" s="28">
        <v>0.78055555555555556</v>
      </c>
      <c r="T16" s="28">
        <v>0.85</v>
      </c>
      <c r="U16" s="346">
        <f t="shared" si="27"/>
        <v>7.9999999999999716</v>
      </c>
      <c r="V16" s="356">
        <f t="shared" si="28"/>
        <v>99.999999999999972</v>
      </c>
      <c r="W16" s="16"/>
      <c r="X16" s="16"/>
      <c r="Y16" s="447"/>
      <c r="Z16" s="448"/>
      <c r="AA16" s="12">
        <f t="shared" si="2"/>
        <v>-86.599999999999454</v>
      </c>
      <c r="AB16" s="351">
        <f t="shared" si="17"/>
        <v>0.95670000000000033</v>
      </c>
      <c r="AC16" s="442"/>
    </row>
    <row r="17" spans="1:29" ht="16.5" customHeight="1">
      <c r="A17" s="470" t="s">
        <v>1672</v>
      </c>
      <c r="B17" s="31" t="s">
        <v>1670</v>
      </c>
      <c r="C17" s="446"/>
      <c r="D17" s="446"/>
      <c r="E17" s="345"/>
      <c r="F17" s="33"/>
      <c r="G17" s="10"/>
      <c r="H17" s="357"/>
      <c r="I17" s="19">
        <v>19.166666666666668</v>
      </c>
      <c r="J17" s="26">
        <v>1666.6666666666667</v>
      </c>
      <c r="K17" s="10">
        <f>J17/I17</f>
        <v>86.956521739130437</v>
      </c>
      <c r="L17" s="19">
        <v>19.166666666666668</v>
      </c>
      <c r="M17" s="11">
        <f>AVERAGE(M11:M16)</f>
        <v>1590.790193285037</v>
      </c>
      <c r="N17" s="10">
        <f t="shared" si="19"/>
        <v>82.99774921487149</v>
      </c>
      <c r="O17" s="12">
        <f>L17-I17</f>
        <v>0</v>
      </c>
      <c r="P17" s="13">
        <f>N17-K17</f>
        <v>-3.9587725242589471</v>
      </c>
      <c r="Q17" s="351">
        <f t="shared" si="26"/>
        <v>0.95447411597102216</v>
      </c>
      <c r="R17" s="442"/>
      <c r="S17" s="28"/>
      <c r="T17" s="28"/>
      <c r="U17" s="346"/>
      <c r="V17" s="356"/>
      <c r="W17" s="10"/>
      <c r="X17" s="10"/>
      <c r="Y17" s="443"/>
      <c r="Z17" s="443"/>
      <c r="AA17" s="12">
        <f t="shared" si="2"/>
        <v>-75.876473381629694</v>
      </c>
      <c r="AB17" s="351">
        <f t="shared" si="17"/>
        <v>0.95447411597102216</v>
      </c>
      <c r="AC17" s="442"/>
    </row>
    <row r="18" spans="1:29" ht="15.75" customHeight="1">
      <c r="A18" s="467" t="s">
        <v>1673</v>
      </c>
      <c r="B18" s="31" t="s">
        <v>56</v>
      </c>
      <c r="C18" s="464" t="s">
        <v>61</v>
      </c>
      <c r="D18" s="464"/>
      <c r="E18" s="31">
        <v>43.14</v>
      </c>
      <c r="F18" s="357">
        <v>1388</v>
      </c>
      <c r="G18" s="346">
        <f t="shared" ref="G18:G22" si="29">E18*F18</f>
        <v>59878.32</v>
      </c>
      <c r="H18" s="359" t="s">
        <v>103</v>
      </c>
      <c r="I18" s="355">
        <v>18</v>
      </c>
      <c r="J18" s="26">
        <v>2000</v>
      </c>
      <c r="K18" s="10">
        <f t="shared" ref="K18:K23" si="30">J18/I18</f>
        <v>111.11111111111111</v>
      </c>
      <c r="L18" s="355">
        <v>18</v>
      </c>
      <c r="M18" s="11">
        <f t="shared" ref="M18:M22" si="31">F18/V18*60</f>
        <v>1936.7441860465112</v>
      </c>
      <c r="N18" s="10">
        <f t="shared" si="19"/>
        <v>107.59689922480618</v>
      </c>
      <c r="O18" s="12">
        <f t="shared" ref="O18:O22" si="32">L18-I18</f>
        <v>0</v>
      </c>
      <c r="P18" s="13">
        <f t="shared" ref="P18:P22" si="33">N18-K18</f>
        <v>-3.5142118863049348</v>
      </c>
      <c r="Q18" s="351">
        <f t="shared" si="26"/>
        <v>0.96837209302325555</v>
      </c>
      <c r="R18" s="442">
        <f>Q23</f>
        <v>0.95998298397995385</v>
      </c>
      <c r="S18" s="28">
        <v>0.20833333333333334</v>
      </c>
      <c r="T18" s="28">
        <v>0.23819444444444446</v>
      </c>
      <c r="U18" s="346"/>
      <c r="V18" s="356">
        <f>(T18-S18)*24*60</f>
        <v>43.000000000000007</v>
      </c>
      <c r="W18" s="18"/>
      <c r="X18" s="18"/>
      <c r="Y18" s="443"/>
      <c r="Z18" s="443"/>
      <c r="AA18" s="12">
        <f t="shared" si="2"/>
        <v>-63.255813953488769</v>
      </c>
      <c r="AB18" s="351">
        <f t="shared" si="17"/>
        <v>0.96837209302325566</v>
      </c>
      <c r="AC18" s="442">
        <f>AB23</f>
        <v>0.95998298397995374</v>
      </c>
    </row>
    <row r="19" spans="1:29" ht="15.75" customHeight="1">
      <c r="A19" s="468" t="s">
        <v>233</v>
      </c>
      <c r="B19" s="31" t="s">
        <v>58</v>
      </c>
      <c r="C19" s="464" t="s">
        <v>62</v>
      </c>
      <c r="D19" s="464"/>
      <c r="E19" s="31">
        <v>57.73</v>
      </c>
      <c r="F19" s="357">
        <v>2899</v>
      </c>
      <c r="G19" s="346">
        <f t="shared" si="29"/>
        <v>167359.26999999999</v>
      </c>
      <c r="H19" s="359" t="s">
        <v>103</v>
      </c>
      <c r="I19" s="355">
        <v>15</v>
      </c>
      <c r="J19" s="26">
        <v>2000</v>
      </c>
      <c r="K19" s="10">
        <f t="shared" si="30"/>
        <v>133.33333333333334</v>
      </c>
      <c r="L19" s="355">
        <v>15</v>
      </c>
      <c r="M19" s="11">
        <f t="shared" si="31"/>
        <v>1911.4285714285706</v>
      </c>
      <c r="N19" s="10">
        <f t="shared" si="19"/>
        <v>127.42857142857137</v>
      </c>
      <c r="O19" s="12">
        <f t="shared" si="32"/>
        <v>0</v>
      </c>
      <c r="P19" s="13">
        <f t="shared" si="33"/>
        <v>-5.904761904761969</v>
      </c>
      <c r="Q19" s="351">
        <f t="shared" si="26"/>
        <v>0.95571428571428518</v>
      </c>
      <c r="R19" s="442"/>
      <c r="S19" s="28">
        <v>0.24166666666666667</v>
      </c>
      <c r="T19" s="28">
        <v>0.30486111111111114</v>
      </c>
      <c r="U19" s="346">
        <f>IF(S19=TIME(17,0,0),"",(S19-T18)*24*60)</f>
        <v>4.9999999999999822</v>
      </c>
      <c r="V19" s="356">
        <f t="shared" ref="V19:V22" si="34">(T19-S19)*24*60</f>
        <v>91.000000000000043</v>
      </c>
      <c r="W19" s="16"/>
      <c r="X19" s="346"/>
      <c r="Y19" s="443"/>
      <c r="Z19" s="443"/>
      <c r="AA19" s="12">
        <f t="shared" si="2"/>
        <v>-88.571428571429351</v>
      </c>
      <c r="AB19" s="351">
        <f t="shared" si="17"/>
        <v>0.95571428571428529</v>
      </c>
      <c r="AC19" s="442"/>
    </row>
    <row r="20" spans="1:29" ht="15.75" customHeight="1">
      <c r="A20" s="468" t="s">
        <v>233</v>
      </c>
      <c r="B20" s="31" t="s">
        <v>58</v>
      </c>
      <c r="C20" s="464" t="s">
        <v>63</v>
      </c>
      <c r="D20" s="464"/>
      <c r="E20" s="31">
        <v>53.68</v>
      </c>
      <c r="F20" s="357">
        <v>1892</v>
      </c>
      <c r="G20" s="346">
        <f t="shared" si="29"/>
        <v>101562.56</v>
      </c>
      <c r="H20" s="359" t="s">
        <v>103</v>
      </c>
      <c r="I20" s="355">
        <v>16</v>
      </c>
      <c r="J20" s="26">
        <v>2000</v>
      </c>
      <c r="K20" s="10">
        <f t="shared" si="30"/>
        <v>125</v>
      </c>
      <c r="L20" s="355">
        <v>16</v>
      </c>
      <c r="M20" s="11">
        <f t="shared" si="31"/>
        <v>1924.0677966101684</v>
      </c>
      <c r="N20" s="10">
        <f t="shared" si="19"/>
        <v>120.25423728813553</v>
      </c>
      <c r="O20" s="12">
        <f t="shared" si="32"/>
        <v>0</v>
      </c>
      <c r="P20" s="13">
        <f t="shared" si="33"/>
        <v>-4.7457627118644723</v>
      </c>
      <c r="Q20" s="351">
        <f t="shared" si="26"/>
        <v>0.96203389830508423</v>
      </c>
      <c r="R20" s="442"/>
      <c r="S20" s="28">
        <v>0.30833333333333335</v>
      </c>
      <c r="T20" s="28">
        <v>0.34930555555555559</v>
      </c>
      <c r="U20" s="346">
        <f t="shared" ref="U20:U22" si="35">IF(S20=TIME(17,0,0),"",(S20-T19)*24*60)</f>
        <v>4.9999999999999822</v>
      </c>
      <c r="V20" s="356">
        <f t="shared" si="34"/>
        <v>59.000000000000028</v>
      </c>
      <c r="W20" s="16"/>
      <c r="X20" s="346"/>
      <c r="Y20" s="443"/>
      <c r="Z20" s="443"/>
      <c r="AA20" s="12">
        <f t="shared" si="2"/>
        <v>-75.932203389831557</v>
      </c>
      <c r="AB20" s="351">
        <f t="shared" si="17"/>
        <v>0.96203389830508423</v>
      </c>
      <c r="AC20" s="442"/>
    </row>
    <row r="21" spans="1:29" ht="15.75" customHeight="1">
      <c r="A21" s="468" t="s">
        <v>233</v>
      </c>
      <c r="B21" s="31" t="s">
        <v>58</v>
      </c>
      <c r="C21" s="464" t="s">
        <v>1170</v>
      </c>
      <c r="D21" s="464"/>
      <c r="E21" s="31">
        <v>53.27</v>
      </c>
      <c r="F21" s="357">
        <v>2001</v>
      </c>
      <c r="G21" s="346">
        <f t="shared" si="29"/>
        <v>106593.27</v>
      </c>
      <c r="H21" s="359" t="s">
        <v>103</v>
      </c>
      <c r="I21" s="355">
        <v>17</v>
      </c>
      <c r="J21" s="26">
        <v>2000</v>
      </c>
      <c r="K21" s="10">
        <f t="shared" si="30"/>
        <v>117.64705882352941</v>
      </c>
      <c r="L21" s="355">
        <v>17</v>
      </c>
      <c r="M21" s="11">
        <f t="shared" si="31"/>
        <v>1905.7142857142853</v>
      </c>
      <c r="N21" s="10">
        <f t="shared" si="19"/>
        <v>112.10084033613443</v>
      </c>
      <c r="O21" s="12">
        <f t="shared" si="32"/>
        <v>0</v>
      </c>
      <c r="P21" s="13">
        <f t="shared" si="33"/>
        <v>-5.5462184873949809</v>
      </c>
      <c r="Q21" s="351">
        <f t="shared" si="26"/>
        <v>0.95285714285714262</v>
      </c>
      <c r="R21" s="442"/>
      <c r="S21" s="28">
        <v>0.3527777777777778</v>
      </c>
      <c r="T21" s="28">
        <v>0.39652777777777781</v>
      </c>
      <c r="U21" s="346">
        <f t="shared" si="35"/>
        <v>4.9999999999999822</v>
      </c>
      <c r="V21" s="356">
        <f t="shared" si="34"/>
        <v>63.000000000000014</v>
      </c>
      <c r="W21" s="16"/>
      <c r="X21" s="346"/>
      <c r="Y21" s="443"/>
      <c r="Z21" s="443"/>
      <c r="AA21" s="12">
        <f t="shared" si="2"/>
        <v>-94.285714285714675</v>
      </c>
      <c r="AB21" s="351">
        <f t="shared" si="17"/>
        <v>0.95285714285714262</v>
      </c>
      <c r="AC21" s="442"/>
    </row>
    <row r="22" spans="1:29" ht="15.75" customHeight="1">
      <c r="A22" s="468" t="s">
        <v>233</v>
      </c>
      <c r="B22" s="31" t="s">
        <v>58</v>
      </c>
      <c r="C22" s="464" t="s">
        <v>65</v>
      </c>
      <c r="D22" s="464"/>
      <c r="E22" s="31">
        <v>54.09</v>
      </c>
      <c r="F22" s="357">
        <v>3075</v>
      </c>
      <c r="G22" s="346">
        <f t="shared" si="29"/>
        <v>166326.75</v>
      </c>
      <c r="H22" s="359" t="s">
        <v>103</v>
      </c>
      <c r="I22" s="355">
        <v>19</v>
      </c>
      <c r="J22" s="26">
        <v>2000</v>
      </c>
      <c r="K22" s="10">
        <f t="shared" si="30"/>
        <v>105.26315789473684</v>
      </c>
      <c r="L22" s="355">
        <v>19</v>
      </c>
      <c r="M22" s="11">
        <f t="shared" si="31"/>
        <v>1921.8750000000005</v>
      </c>
      <c r="N22" s="10">
        <f t="shared" si="19"/>
        <v>101.15131578947371</v>
      </c>
      <c r="O22" s="12">
        <f t="shared" si="32"/>
        <v>0</v>
      </c>
      <c r="P22" s="13">
        <f t="shared" si="33"/>
        <v>-4.111842105263122</v>
      </c>
      <c r="Q22" s="351">
        <f t="shared" si="26"/>
        <v>0.96093750000000033</v>
      </c>
      <c r="R22" s="442"/>
      <c r="S22" s="28">
        <v>0.70833333333333337</v>
      </c>
      <c r="T22" s="28">
        <v>0.77500000000000002</v>
      </c>
      <c r="U22" s="346" t="str">
        <f t="shared" si="35"/>
        <v/>
      </c>
      <c r="V22" s="356">
        <f t="shared" si="34"/>
        <v>95.999999999999972</v>
      </c>
      <c r="W22" s="16"/>
      <c r="X22" s="346"/>
      <c r="Y22" s="443"/>
      <c r="Z22" s="443"/>
      <c r="AA22" s="12">
        <f t="shared" si="2"/>
        <v>-78.124999999999545</v>
      </c>
      <c r="AB22" s="351">
        <f t="shared" si="17"/>
        <v>0.96093750000000022</v>
      </c>
      <c r="AC22" s="442"/>
    </row>
    <row r="23" spans="1:29" ht="15.75" customHeight="1">
      <c r="A23" s="468" t="s">
        <v>1673</v>
      </c>
      <c r="B23" s="31" t="s">
        <v>1670</v>
      </c>
      <c r="C23" s="446"/>
      <c r="D23" s="446"/>
      <c r="E23" s="345"/>
      <c r="F23" s="357"/>
      <c r="G23" s="346"/>
      <c r="H23" s="357"/>
      <c r="I23" s="19">
        <v>17</v>
      </c>
      <c r="J23" s="26">
        <v>2000</v>
      </c>
      <c r="K23" s="10">
        <f t="shared" si="30"/>
        <v>117.64705882352941</v>
      </c>
      <c r="L23" s="19">
        <v>17</v>
      </c>
      <c r="M23" s="11">
        <f>AVERAGE(M18:M22)</f>
        <v>1919.9659679599074</v>
      </c>
      <c r="N23" s="10">
        <f>M23/L23</f>
        <v>112.93917458587691</v>
      </c>
      <c r="O23" s="12">
        <f>L23-I23</f>
        <v>0</v>
      </c>
      <c r="P23" s="13">
        <f>N23-K23</f>
        <v>-4.7078842376524932</v>
      </c>
      <c r="Q23" s="351">
        <f>N23/K23</f>
        <v>0.95998298397995385</v>
      </c>
      <c r="R23" s="442"/>
      <c r="S23" s="28"/>
      <c r="T23" s="28"/>
      <c r="U23" s="10"/>
      <c r="V23" s="356"/>
      <c r="W23" s="10"/>
      <c r="X23" s="10"/>
      <c r="Y23" s="443"/>
      <c r="Z23" s="443"/>
      <c r="AA23" s="12">
        <f t="shared" si="2"/>
        <v>-80.034032040092598</v>
      </c>
      <c r="AB23" s="351">
        <f t="shared" si="17"/>
        <v>0.95998298397995374</v>
      </c>
      <c r="AC23" s="442"/>
    </row>
    <row r="24" spans="1:29" ht="15.75" customHeight="1">
      <c r="A24" s="463" t="s">
        <v>164</v>
      </c>
      <c r="B24" s="31" t="s">
        <v>67</v>
      </c>
      <c r="C24" s="464" t="s">
        <v>68</v>
      </c>
      <c r="D24" s="464"/>
      <c r="E24" s="31">
        <v>26.2</v>
      </c>
      <c r="F24" s="357">
        <v>2800</v>
      </c>
      <c r="G24" s="346">
        <f t="shared" ref="G24:G34" si="36">E24*F24</f>
        <v>73360</v>
      </c>
      <c r="H24" s="359">
        <v>2</v>
      </c>
      <c r="I24" s="355">
        <v>20</v>
      </c>
      <c r="J24" s="26">
        <v>2400</v>
      </c>
      <c r="K24" s="10">
        <f>J24/I24</f>
        <v>120</v>
      </c>
      <c r="L24" s="355">
        <v>20</v>
      </c>
      <c r="M24" s="11">
        <f t="shared" ref="M24:M34" si="37">F24/V24*60</f>
        <v>2301.3698630136983</v>
      </c>
      <c r="N24" s="10">
        <f t="shared" ref="N24:N34" si="38">M24/L24</f>
        <v>115.06849315068492</v>
      </c>
      <c r="O24" s="12">
        <f t="shared" ref="O24:O34" si="39">L24-I24</f>
        <v>0</v>
      </c>
      <c r="P24" s="13">
        <f t="shared" ref="P24:P34" si="40">N24-K24</f>
        <v>-4.9315068493150847</v>
      </c>
      <c r="Q24" s="351">
        <f t="shared" ref="Q24:Q29" si="41">N24/K24</f>
        <v>0.95890410958904093</v>
      </c>
      <c r="R24" s="442">
        <f>Q35</f>
        <v>0.95691894519101528</v>
      </c>
      <c r="S24" s="28">
        <v>8.3333333333333329E-2</v>
      </c>
      <c r="T24" s="28">
        <v>0.13402777777777777</v>
      </c>
      <c r="U24" s="346"/>
      <c r="V24" s="356">
        <f t="shared" ref="V24:V34" si="42">(T24-S24)*24*60</f>
        <v>73</v>
      </c>
      <c r="W24" s="16">
        <f>T24</f>
        <v>0.13402777777777777</v>
      </c>
      <c r="X24" s="16">
        <f>S25</f>
        <v>0.15416666666666667</v>
      </c>
      <c r="Y24" s="443"/>
      <c r="Z24" s="443"/>
      <c r="AA24" s="12">
        <f t="shared" si="2"/>
        <v>-98.63013698630175</v>
      </c>
      <c r="AB24" s="351">
        <f>M24/J24</f>
        <v>0.95890410958904093</v>
      </c>
      <c r="AC24" s="442">
        <f>AB35</f>
        <v>0.95691894519101517</v>
      </c>
    </row>
    <row r="25" spans="1:29" ht="15.75" customHeight="1">
      <c r="A25" s="463" t="s">
        <v>164</v>
      </c>
      <c r="B25" s="31" t="s">
        <v>67</v>
      </c>
      <c r="C25" s="464" t="s">
        <v>69</v>
      </c>
      <c r="D25" s="464"/>
      <c r="E25" s="31">
        <v>31.29</v>
      </c>
      <c r="F25" s="357">
        <v>4200</v>
      </c>
      <c r="G25" s="346">
        <f t="shared" si="36"/>
        <v>131418</v>
      </c>
      <c r="H25" s="359">
        <v>2</v>
      </c>
      <c r="I25" s="355">
        <v>18</v>
      </c>
      <c r="J25" s="26">
        <v>2400</v>
      </c>
      <c r="K25" s="10">
        <f t="shared" ref="K25:K35" si="43">J25/I25</f>
        <v>133.33333333333334</v>
      </c>
      <c r="L25" s="355">
        <v>18</v>
      </c>
      <c r="M25" s="11">
        <f t="shared" si="37"/>
        <v>2290.909090909091</v>
      </c>
      <c r="N25" s="10">
        <f t="shared" si="38"/>
        <v>127.27272727272728</v>
      </c>
      <c r="O25" s="12">
        <f t="shared" si="39"/>
        <v>0</v>
      </c>
      <c r="P25" s="13">
        <f t="shared" si="40"/>
        <v>-6.0606060606060623</v>
      </c>
      <c r="Q25" s="351">
        <f t="shared" si="41"/>
        <v>0.95454545454545459</v>
      </c>
      <c r="R25" s="442"/>
      <c r="S25" s="28">
        <v>0.15416666666666667</v>
      </c>
      <c r="T25" s="28">
        <v>0.23055555555555557</v>
      </c>
      <c r="U25" s="346">
        <f>(S25-T24)*24*60</f>
        <v>29.000000000000018</v>
      </c>
      <c r="V25" s="356">
        <f t="shared" si="42"/>
        <v>110.00000000000001</v>
      </c>
      <c r="W25" s="16"/>
      <c r="X25" s="16"/>
      <c r="Y25" s="443"/>
      <c r="Z25" s="443"/>
      <c r="AA25" s="12">
        <f t="shared" si="2"/>
        <v>-109.09090909090901</v>
      </c>
      <c r="AB25" s="351">
        <f t="shared" ref="AB25:AB34" si="44">M25/J25</f>
        <v>0.95454545454545459</v>
      </c>
      <c r="AC25" s="442"/>
    </row>
    <row r="26" spans="1:29" ht="15.75" customHeight="1">
      <c r="A26" s="463" t="s">
        <v>1674</v>
      </c>
      <c r="B26" s="31" t="s">
        <v>67</v>
      </c>
      <c r="C26" s="464" t="s">
        <v>101</v>
      </c>
      <c r="D26" s="464"/>
      <c r="E26" s="31">
        <v>25</v>
      </c>
      <c r="F26" s="357">
        <v>2500</v>
      </c>
      <c r="G26" s="346">
        <f t="shared" si="36"/>
        <v>62500</v>
      </c>
      <c r="H26" s="359">
        <v>2</v>
      </c>
      <c r="I26" s="355">
        <v>15</v>
      </c>
      <c r="J26" s="26">
        <v>2400</v>
      </c>
      <c r="K26" s="10">
        <f t="shared" si="43"/>
        <v>160</v>
      </c>
      <c r="L26" s="355">
        <v>15</v>
      </c>
      <c r="M26" s="11">
        <f t="shared" si="37"/>
        <v>2307.6923076923072</v>
      </c>
      <c r="N26" s="10">
        <f t="shared" si="38"/>
        <v>153.84615384615381</v>
      </c>
      <c r="O26" s="12">
        <f t="shared" si="39"/>
        <v>0</v>
      </c>
      <c r="P26" s="13">
        <f t="shared" si="40"/>
        <v>-6.1538461538461888</v>
      </c>
      <c r="Q26" s="351">
        <f t="shared" si="41"/>
        <v>0.96153846153846134</v>
      </c>
      <c r="R26" s="442"/>
      <c r="S26" s="28">
        <v>0.23402777777777778</v>
      </c>
      <c r="T26" s="28">
        <v>0.27916666666666667</v>
      </c>
      <c r="U26" s="346">
        <f t="shared" ref="U26:U34" si="45">(S26-T25)*24*60</f>
        <v>4.9999999999999822</v>
      </c>
      <c r="V26" s="356">
        <f t="shared" si="42"/>
        <v>65.000000000000014</v>
      </c>
      <c r="W26" s="16"/>
      <c r="X26" s="16"/>
      <c r="Y26" s="443"/>
      <c r="Z26" s="443"/>
      <c r="AA26" s="12">
        <f t="shared" si="2"/>
        <v>-92.307692307692832</v>
      </c>
      <c r="AB26" s="351">
        <f t="shared" si="44"/>
        <v>0.96153846153846134</v>
      </c>
      <c r="AC26" s="442"/>
    </row>
    <row r="27" spans="1:29" ht="15.75" customHeight="1">
      <c r="A27" s="463" t="s">
        <v>1674</v>
      </c>
      <c r="B27" s="31" t="s">
        <v>67</v>
      </c>
      <c r="C27" s="464" t="s">
        <v>165</v>
      </c>
      <c r="D27" s="464"/>
      <c r="E27" s="31">
        <v>26.18</v>
      </c>
      <c r="F27" s="357">
        <v>3000</v>
      </c>
      <c r="G27" s="346">
        <f t="shared" si="36"/>
        <v>78540</v>
      </c>
      <c r="H27" s="359">
        <v>2</v>
      </c>
      <c r="I27" s="355">
        <v>19</v>
      </c>
      <c r="J27" s="26">
        <v>2400</v>
      </c>
      <c r="K27" s="10">
        <f t="shared" si="43"/>
        <v>126.31578947368421</v>
      </c>
      <c r="L27" s="355">
        <v>19</v>
      </c>
      <c r="M27" s="11">
        <f t="shared" si="37"/>
        <v>2307.6923076923063</v>
      </c>
      <c r="N27" s="10">
        <f t="shared" si="38"/>
        <v>121.45748987854243</v>
      </c>
      <c r="O27" s="12">
        <f t="shared" si="39"/>
        <v>0</v>
      </c>
      <c r="P27" s="13">
        <f t="shared" si="40"/>
        <v>-4.8582995951417729</v>
      </c>
      <c r="Q27" s="351">
        <f t="shared" si="41"/>
        <v>0.96153846153846101</v>
      </c>
      <c r="R27" s="442"/>
      <c r="S27" s="28">
        <v>0.28472222222222221</v>
      </c>
      <c r="T27" s="28">
        <v>0.33888888888888891</v>
      </c>
      <c r="U27" s="346">
        <f t="shared" si="45"/>
        <v>7.9999999999999716</v>
      </c>
      <c r="V27" s="356">
        <f t="shared" si="42"/>
        <v>78.000000000000043</v>
      </c>
      <c r="W27" s="16"/>
      <c r="X27" s="16"/>
      <c r="Y27" s="443"/>
      <c r="Z27" s="443"/>
      <c r="AA27" s="12">
        <f t="shared" si="2"/>
        <v>-92.307692307693742</v>
      </c>
      <c r="AB27" s="351">
        <f t="shared" si="44"/>
        <v>0.9615384615384609</v>
      </c>
      <c r="AC27" s="442"/>
    </row>
    <row r="28" spans="1:29" ht="15.75" customHeight="1">
      <c r="A28" s="463" t="s">
        <v>164</v>
      </c>
      <c r="B28" s="31" t="s">
        <v>67</v>
      </c>
      <c r="C28" s="464" t="s">
        <v>77</v>
      </c>
      <c r="D28" s="464"/>
      <c r="E28" s="31">
        <v>26.2</v>
      </c>
      <c r="F28" s="357">
        <v>4826</v>
      </c>
      <c r="G28" s="346">
        <f t="shared" si="36"/>
        <v>126441.2</v>
      </c>
      <c r="H28" s="359" t="s">
        <v>103</v>
      </c>
      <c r="I28" s="355">
        <v>19</v>
      </c>
      <c r="J28" s="26">
        <v>2400</v>
      </c>
      <c r="K28" s="10">
        <f t="shared" si="43"/>
        <v>126.31578947368421</v>
      </c>
      <c r="L28" s="355">
        <v>19</v>
      </c>
      <c r="M28" s="11">
        <f t="shared" si="37"/>
        <v>2298.0952380952376</v>
      </c>
      <c r="N28" s="10">
        <f t="shared" si="38"/>
        <v>120.95238095238092</v>
      </c>
      <c r="O28" s="12">
        <f t="shared" si="39"/>
        <v>0</v>
      </c>
      <c r="P28" s="13">
        <f t="shared" si="40"/>
        <v>-5.3634085213032847</v>
      </c>
      <c r="Q28" s="351">
        <f t="shared" si="41"/>
        <v>0.95753968253968236</v>
      </c>
      <c r="R28" s="442"/>
      <c r="S28" s="28">
        <v>0.34236111111111112</v>
      </c>
      <c r="T28" s="28">
        <v>0.42986111111111114</v>
      </c>
      <c r="U28" s="346">
        <f t="shared" si="45"/>
        <v>4.9999999999999822</v>
      </c>
      <c r="V28" s="356">
        <f t="shared" si="42"/>
        <v>126.00000000000003</v>
      </c>
      <c r="W28" s="16"/>
      <c r="X28" s="16"/>
      <c r="Y28" s="443"/>
      <c r="Z28" s="443"/>
      <c r="AA28" s="12">
        <f t="shared" si="2"/>
        <v>-101.90476190476238</v>
      </c>
      <c r="AB28" s="351">
        <f t="shared" si="44"/>
        <v>0.95753968253968236</v>
      </c>
      <c r="AC28" s="442"/>
    </row>
    <row r="29" spans="1:29" ht="15.75" customHeight="1">
      <c r="A29" s="463" t="s">
        <v>164</v>
      </c>
      <c r="B29" s="31" t="s">
        <v>67</v>
      </c>
      <c r="C29" s="464" t="s">
        <v>78</v>
      </c>
      <c r="D29" s="464"/>
      <c r="E29" s="31">
        <v>25.98</v>
      </c>
      <c r="F29" s="357">
        <v>2613</v>
      </c>
      <c r="G29" s="346">
        <f t="shared" si="36"/>
        <v>67885.740000000005</v>
      </c>
      <c r="H29" s="359" t="s">
        <v>103</v>
      </c>
      <c r="I29" s="355">
        <v>17</v>
      </c>
      <c r="J29" s="26">
        <v>2400</v>
      </c>
      <c r="K29" s="10">
        <f t="shared" si="43"/>
        <v>141.1764705882353</v>
      </c>
      <c r="L29" s="355">
        <v>17</v>
      </c>
      <c r="M29" s="11">
        <f t="shared" si="37"/>
        <v>2305.588235294118</v>
      </c>
      <c r="N29" s="10">
        <f t="shared" si="38"/>
        <v>135.62283737024222</v>
      </c>
      <c r="O29" s="12">
        <f t="shared" si="39"/>
        <v>0</v>
      </c>
      <c r="P29" s="13">
        <f t="shared" si="40"/>
        <v>-5.553633217993081</v>
      </c>
      <c r="Q29" s="351">
        <f t="shared" si="41"/>
        <v>0.96066176470588238</v>
      </c>
      <c r="R29" s="442"/>
      <c r="S29" s="28">
        <v>0.43472222222222223</v>
      </c>
      <c r="T29" s="28">
        <v>0.48194444444444445</v>
      </c>
      <c r="U29" s="346">
        <f t="shared" si="45"/>
        <v>6.9999999999999751</v>
      </c>
      <c r="V29" s="356">
        <f t="shared" si="42"/>
        <v>68</v>
      </c>
      <c r="W29" s="16"/>
      <c r="X29" s="16"/>
      <c r="Y29" s="443"/>
      <c r="Z29" s="443"/>
      <c r="AA29" s="12">
        <f t="shared" si="2"/>
        <v>-94.411764705881978</v>
      </c>
      <c r="AB29" s="351">
        <f t="shared" si="44"/>
        <v>0.96066176470588249</v>
      </c>
      <c r="AC29" s="442"/>
    </row>
    <row r="30" spans="1:29" ht="15.75" customHeight="1">
      <c r="A30" s="463" t="s">
        <v>164</v>
      </c>
      <c r="B30" s="31" t="s">
        <v>67</v>
      </c>
      <c r="C30" s="464" t="s">
        <v>69</v>
      </c>
      <c r="D30" s="464"/>
      <c r="E30" s="31">
        <v>31.29</v>
      </c>
      <c r="F30" s="357">
        <v>6211</v>
      </c>
      <c r="G30" s="346">
        <f t="shared" si="36"/>
        <v>194342.19</v>
      </c>
      <c r="H30" s="359" t="s">
        <v>103</v>
      </c>
      <c r="I30" s="355">
        <v>18</v>
      </c>
      <c r="J30" s="26">
        <v>2400</v>
      </c>
      <c r="K30" s="10">
        <f t="shared" si="43"/>
        <v>133.33333333333334</v>
      </c>
      <c r="L30" s="355">
        <v>18</v>
      </c>
      <c r="M30" s="11">
        <f t="shared" si="37"/>
        <v>2286.2576687116566</v>
      </c>
      <c r="N30" s="10">
        <f t="shared" si="38"/>
        <v>127.01431492842536</v>
      </c>
      <c r="O30" s="12">
        <f t="shared" si="39"/>
        <v>0</v>
      </c>
      <c r="P30" s="13">
        <f t="shared" si="40"/>
        <v>-6.3190184049079789</v>
      </c>
      <c r="Q30" s="351">
        <f>N30/K30</f>
        <v>0.95260736196319018</v>
      </c>
      <c r="R30" s="442"/>
      <c r="S30" s="28">
        <v>0.48680555555555555</v>
      </c>
      <c r="T30" s="28">
        <v>0.6</v>
      </c>
      <c r="U30" s="346">
        <f t="shared" si="45"/>
        <v>6.9999999999999751</v>
      </c>
      <c r="V30" s="356">
        <f t="shared" si="42"/>
        <v>162.99999999999997</v>
      </c>
      <c r="W30" s="16"/>
      <c r="X30" s="16"/>
      <c r="Y30" s="443"/>
      <c r="Z30" s="443"/>
      <c r="AA30" s="12">
        <f t="shared" si="2"/>
        <v>-113.74233128834339</v>
      </c>
      <c r="AB30" s="351">
        <f t="shared" si="44"/>
        <v>0.95260736196319029</v>
      </c>
      <c r="AC30" s="442"/>
    </row>
    <row r="31" spans="1:29" ht="15.75" customHeight="1">
      <c r="A31" s="463" t="s">
        <v>1674</v>
      </c>
      <c r="B31" s="31" t="s">
        <v>67</v>
      </c>
      <c r="C31" s="464" t="s">
        <v>101</v>
      </c>
      <c r="D31" s="464"/>
      <c r="E31" s="31">
        <v>25</v>
      </c>
      <c r="F31" s="357">
        <v>2142</v>
      </c>
      <c r="G31" s="346">
        <f t="shared" si="36"/>
        <v>53550</v>
      </c>
      <c r="H31" s="359" t="s">
        <v>103</v>
      </c>
      <c r="I31" s="355">
        <v>15</v>
      </c>
      <c r="J31" s="26">
        <v>2400</v>
      </c>
      <c r="K31" s="10">
        <f t="shared" si="43"/>
        <v>160</v>
      </c>
      <c r="L31" s="355">
        <v>15</v>
      </c>
      <c r="M31" s="11">
        <f t="shared" si="37"/>
        <v>2295.0000000000018</v>
      </c>
      <c r="N31" s="10">
        <f t="shared" si="38"/>
        <v>153.00000000000011</v>
      </c>
      <c r="O31" s="12">
        <f t="shared" si="39"/>
        <v>0</v>
      </c>
      <c r="P31" s="13">
        <f t="shared" si="40"/>
        <v>-6.9999999999998863</v>
      </c>
      <c r="Q31" s="351">
        <f>N31/K31</f>
        <v>0.95625000000000071</v>
      </c>
      <c r="R31" s="442"/>
      <c r="S31" s="28">
        <v>0.60347222222222219</v>
      </c>
      <c r="T31" s="28">
        <v>0.64236111111111105</v>
      </c>
      <c r="U31" s="346">
        <f t="shared" si="45"/>
        <v>4.9999999999999822</v>
      </c>
      <c r="V31" s="356">
        <f t="shared" si="42"/>
        <v>55.999999999999957</v>
      </c>
      <c r="W31" s="16"/>
      <c r="X31" s="16"/>
      <c r="Y31" s="443"/>
      <c r="Z31" s="443"/>
      <c r="AA31" s="12">
        <f t="shared" si="2"/>
        <v>-104.99999999999818</v>
      </c>
      <c r="AB31" s="351">
        <f t="shared" si="44"/>
        <v>0.95625000000000071</v>
      </c>
      <c r="AC31" s="442"/>
    </row>
    <row r="32" spans="1:29" ht="15.75" customHeight="1">
      <c r="A32" s="463" t="s">
        <v>164</v>
      </c>
      <c r="B32" s="31" t="s">
        <v>67</v>
      </c>
      <c r="C32" s="465" t="s">
        <v>68</v>
      </c>
      <c r="D32" s="466"/>
      <c r="E32" s="31">
        <v>26.2</v>
      </c>
      <c r="F32" s="357">
        <v>2169</v>
      </c>
      <c r="G32" s="346">
        <f t="shared" si="36"/>
        <v>56827.799999999996</v>
      </c>
      <c r="H32" s="359" t="s">
        <v>103</v>
      </c>
      <c r="I32" s="355">
        <v>20</v>
      </c>
      <c r="J32" s="26">
        <v>2400</v>
      </c>
      <c r="K32" s="10">
        <f t="shared" si="43"/>
        <v>120</v>
      </c>
      <c r="L32" s="355">
        <v>20</v>
      </c>
      <c r="M32" s="11">
        <f t="shared" si="37"/>
        <v>2283.1578947368439</v>
      </c>
      <c r="N32" s="10">
        <f t="shared" si="38"/>
        <v>114.1578947368422</v>
      </c>
      <c r="O32" s="12">
        <f t="shared" si="39"/>
        <v>0</v>
      </c>
      <c r="P32" s="13">
        <f t="shared" si="40"/>
        <v>-5.842105263157805</v>
      </c>
      <c r="Q32" s="351">
        <f t="shared" ref="Q32" si="46">N32/K32</f>
        <v>0.951315789473685</v>
      </c>
      <c r="R32" s="442"/>
      <c r="S32" s="28">
        <v>0.6465277777777777</v>
      </c>
      <c r="T32" s="28">
        <v>0.68611111111111101</v>
      </c>
      <c r="U32" s="346">
        <f t="shared" si="45"/>
        <v>5.9999999999999787</v>
      </c>
      <c r="V32" s="356">
        <f t="shared" si="42"/>
        <v>56.999999999999957</v>
      </c>
      <c r="W32" s="16"/>
      <c r="X32" s="16"/>
      <c r="Y32" s="447"/>
      <c r="Z32" s="448"/>
      <c r="AA32" s="12">
        <f t="shared" si="2"/>
        <v>-116.8421052631561</v>
      </c>
      <c r="AB32" s="351">
        <f t="shared" si="44"/>
        <v>0.951315789473685</v>
      </c>
      <c r="AC32" s="442"/>
    </row>
    <row r="33" spans="1:32" ht="15.75" customHeight="1">
      <c r="A33" s="463" t="s">
        <v>164</v>
      </c>
      <c r="B33" s="31" t="s">
        <v>67</v>
      </c>
      <c r="C33" s="465" t="s">
        <v>165</v>
      </c>
      <c r="D33" s="466"/>
      <c r="E33" s="31">
        <v>26.18</v>
      </c>
      <c r="F33" s="357">
        <v>2072</v>
      </c>
      <c r="G33" s="346">
        <f t="shared" si="36"/>
        <v>54244.959999999999</v>
      </c>
      <c r="H33" s="359" t="s">
        <v>103</v>
      </c>
      <c r="I33" s="355">
        <v>19</v>
      </c>
      <c r="J33" s="26">
        <v>2400</v>
      </c>
      <c r="K33" s="10">
        <f t="shared" si="43"/>
        <v>126.31578947368421</v>
      </c>
      <c r="L33" s="355">
        <v>19</v>
      </c>
      <c r="M33" s="11">
        <f t="shared" si="37"/>
        <v>2302.2222222222231</v>
      </c>
      <c r="N33" s="10">
        <f t="shared" si="38"/>
        <v>121.1695906432749</v>
      </c>
      <c r="O33" s="12">
        <f t="shared" si="39"/>
        <v>0</v>
      </c>
      <c r="P33" s="13">
        <f t="shared" si="40"/>
        <v>-5.146198830409304</v>
      </c>
      <c r="Q33" s="351">
        <f>N33/K33</f>
        <v>0.9592592592592597</v>
      </c>
      <c r="R33" s="442"/>
      <c r="S33" s="28">
        <v>0.68958333333333321</v>
      </c>
      <c r="T33" s="28">
        <v>0.72708333333333319</v>
      </c>
      <c r="U33" s="346">
        <f t="shared" si="45"/>
        <v>4.9999999999999822</v>
      </c>
      <c r="V33" s="356">
        <f t="shared" si="42"/>
        <v>53.999999999999972</v>
      </c>
      <c r="W33" s="16"/>
      <c r="X33" s="16"/>
      <c r="Y33" s="447"/>
      <c r="Z33" s="448"/>
      <c r="AA33" s="12">
        <f t="shared" si="2"/>
        <v>-97.777777777776919</v>
      </c>
      <c r="AB33" s="351">
        <f t="shared" si="44"/>
        <v>0.95925925925925959</v>
      </c>
      <c r="AC33" s="442"/>
    </row>
    <row r="34" spans="1:32" ht="15.75" customHeight="1">
      <c r="A34" s="463" t="s">
        <v>164</v>
      </c>
      <c r="B34" s="31" t="s">
        <v>67</v>
      </c>
      <c r="C34" s="465" t="s">
        <v>75</v>
      </c>
      <c r="D34" s="466"/>
      <c r="E34" s="31">
        <v>26.39</v>
      </c>
      <c r="F34" s="357">
        <v>2932</v>
      </c>
      <c r="G34" s="346">
        <f t="shared" si="36"/>
        <v>77375.48</v>
      </c>
      <c r="H34" s="359" t="s">
        <v>103</v>
      </c>
      <c r="I34" s="355">
        <v>19</v>
      </c>
      <c r="J34" s="26">
        <v>2400</v>
      </c>
      <c r="K34" s="10">
        <f t="shared" si="43"/>
        <v>126.31578947368421</v>
      </c>
      <c r="L34" s="355">
        <v>19</v>
      </c>
      <c r="M34" s="11">
        <f t="shared" si="37"/>
        <v>2284.6753246753233</v>
      </c>
      <c r="N34" s="10">
        <f t="shared" si="38"/>
        <v>120.24606971975386</v>
      </c>
      <c r="O34" s="12">
        <f t="shared" si="39"/>
        <v>0</v>
      </c>
      <c r="P34" s="13">
        <f t="shared" si="40"/>
        <v>-6.0697197539303431</v>
      </c>
      <c r="Q34" s="351">
        <f t="shared" ref="Q34" si="47">N34/K34</f>
        <v>0.95194805194805143</v>
      </c>
      <c r="R34" s="442"/>
      <c r="S34" s="28">
        <v>0.73124999999999984</v>
      </c>
      <c r="T34" s="28">
        <v>0.7847222222222221</v>
      </c>
      <c r="U34" s="346">
        <f t="shared" si="45"/>
        <v>5.9999999999999787</v>
      </c>
      <c r="V34" s="356">
        <f t="shared" si="42"/>
        <v>77.000000000000043</v>
      </c>
      <c r="W34" s="16"/>
      <c r="X34" s="16"/>
      <c r="Y34" s="447"/>
      <c r="Z34" s="448"/>
      <c r="AA34" s="12">
        <f t="shared" si="2"/>
        <v>-115.32467532467672</v>
      </c>
      <c r="AB34" s="351">
        <f t="shared" si="44"/>
        <v>0.95194805194805132</v>
      </c>
      <c r="AC34" s="442"/>
    </row>
    <row r="35" spans="1:32" ht="15.75" customHeight="1">
      <c r="A35" s="463" t="s">
        <v>164</v>
      </c>
      <c r="B35" s="31" t="s">
        <v>1670</v>
      </c>
      <c r="C35" s="446"/>
      <c r="D35" s="446"/>
      <c r="E35" s="345"/>
      <c r="F35" s="357"/>
      <c r="G35" s="346"/>
      <c r="H35" s="357"/>
      <c r="I35" s="19">
        <v>18.09090909090909</v>
      </c>
      <c r="J35" s="26">
        <v>2400</v>
      </c>
      <c r="K35" s="10">
        <f t="shared" si="43"/>
        <v>132.66331658291458</v>
      </c>
      <c r="L35" s="19">
        <v>18.09090909090909</v>
      </c>
      <c r="M35" s="11">
        <f>AVERAGE(M24:M34)</f>
        <v>2296.6054684584365</v>
      </c>
      <c r="N35" s="10">
        <f>M35/L35</f>
        <v>126.94804097006434</v>
      </c>
      <c r="O35" s="12">
        <f>L35-I35</f>
        <v>0</v>
      </c>
      <c r="P35" s="13">
        <f>N35-K35</f>
        <v>-5.7152756128502347</v>
      </c>
      <c r="Q35" s="351">
        <f>N35/K35</f>
        <v>0.95691894519101528</v>
      </c>
      <c r="R35" s="442"/>
      <c r="S35" s="28"/>
      <c r="T35" s="28"/>
      <c r="U35" s="346"/>
      <c r="V35" s="356"/>
      <c r="W35" s="346"/>
      <c r="X35" s="346"/>
      <c r="Y35" s="443"/>
      <c r="Z35" s="443"/>
      <c r="AA35" s="12">
        <f t="shared" si="2"/>
        <v>-103.39453154156354</v>
      </c>
      <c r="AB35" s="351">
        <f>M35/J35</f>
        <v>0.95691894519101517</v>
      </c>
      <c r="AC35" s="442"/>
    </row>
    <row r="36" spans="1:32" ht="15.75" customHeight="1">
      <c r="A36" s="461" t="s">
        <v>234</v>
      </c>
      <c r="B36" s="31" t="s">
        <v>67</v>
      </c>
      <c r="C36" s="441" t="s">
        <v>73</v>
      </c>
      <c r="D36" s="441"/>
      <c r="E36" s="31">
        <v>26.2</v>
      </c>
      <c r="F36" s="357">
        <v>4400</v>
      </c>
      <c r="G36" s="346">
        <f t="shared" ref="G36:G43" si="48">E36*F36</f>
        <v>115280</v>
      </c>
      <c r="H36" s="359">
        <v>2</v>
      </c>
      <c r="I36" s="355">
        <v>18</v>
      </c>
      <c r="J36" s="26">
        <v>2400</v>
      </c>
      <c r="K36" s="10">
        <f>J36/I36</f>
        <v>133.33333333333334</v>
      </c>
      <c r="L36" s="355">
        <v>18</v>
      </c>
      <c r="M36" s="11">
        <f>F36/V36*60</f>
        <v>2295.652173913043</v>
      </c>
      <c r="N36" s="10">
        <f>M36/L36</f>
        <v>127.53623188405794</v>
      </c>
      <c r="O36" s="12">
        <f t="shared" ref="O36:O43" si="49">L36-I36</f>
        <v>0</v>
      </c>
      <c r="P36" s="13">
        <f t="shared" ref="P36:P51" si="50">N36-K36</f>
        <v>-5.7971014492754023</v>
      </c>
      <c r="Q36" s="351">
        <f t="shared" ref="Q36:Q50" si="51">N36/K36</f>
        <v>0.95652173913043448</v>
      </c>
      <c r="R36" s="442">
        <f>Q44</f>
        <v>0.95637854074523287</v>
      </c>
      <c r="S36" s="28">
        <v>8.3333333333333329E-2</v>
      </c>
      <c r="T36" s="28">
        <v>0.16319444444444445</v>
      </c>
      <c r="U36" s="346"/>
      <c r="V36" s="356">
        <f t="shared" ref="V36:V43" si="52">(T36-S36)*24*60</f>
        <v>115.00000000000001</v>
      </c>
      <c r="W36" s="18">
        <f>T36</f>
        <v>0.16319444444444445</v>
      </c>
      <c r="X36" s="18">
        <f>S37</f>
        <v>0.18263888888888891</v>
      </c>
      <c r="Y36" s="443"/>
      <c r="Z36" s="443"/>
      <c r="AA36" s="12">
        <f t="shared" si="2"/>
        <v>-104.34782608695696</v>
      </c>
      <c r="AB36" s="351">
        <f>M36/J36</f>
        <v>0.95652173913043459</v>
      </c>
      <c r="AC36" s="442">
        <f>AB44</f>
        <v>0.95637854074523276</v>
      </c>
    </row>
    <row r="37" spans="1:32" ht="15.75" customHeight="1">
      <c r="A37" s="461" t="s">
        <v>1675</v>
      </c>
      <c r="B37" s="31" t="s">
        <v>67</v>
      </c>
      <c r="C37" s="441" t="s">
        <v>75</v>
      </c>
      <c r="D37" s="441"/>
      <c r="E37" s="31">
        <v>26.39</v>
      </c>
      <c r="F37" s="357">
        <v>4200</v>
      </c>
      <c r="G37" s="346">
        <f t="shared" si="48"/>
        <v>110838</v>
      </c>
      <c r="H37" s="359">
        <v>2</v>
      </c>
      <c r="I37" s="355">
        <v>19</v>
      </c>
      <c r="J37" s="26">
        <v>2400</v>
      </c>
      <c r="K37" s="10">
        <f t="shared" ref="K37:K44" si="53">J37/I37</f>
        <v>126.31578947368421</v>
      </c>
      <c r="L37" s="355">
        <v>19</v>
      </c>
      <c r="M37" s="11">
        <f t="shared" ref="M37:M43" si="54">F37/V37*60</f>
        <v>2290.909090909091</v>
      </c>
      <c r="N37" s="10">
        <f t="shared" ref="N37:N43" si="55">M37/L37</f>
        <v>120.57416267942584</v>
      </c>
      <c r="O37" s="12">
        <f t="shared" si="49"/>
        <v>0</v>
      </c>
      <c r="P37" s="13">
        <f t="shared" si="50"/>
        <v>-5.7416267942583659</v>
      </c>
      <c r="Q37" s="351">
        <f t="shared" si="51"/>
        <v>0.95454545454545459</v>
      </c>
      <c r="R37" s="442"/>
      <c r="S37" s="28">
        <v>0.18263888888888891</v>
      </c>
      <c r="T37" s="28">
        <v>0.2590277777777778</v>
      </c>
      <c r="U37" s="346">
        <f>(S37-T36)*24*60</f>
        <v>28.000000000000021</v>
      </c>
      <c r="V37" s="356">
        <f t="shared" si="52"/>
        <v>110.00000000000001</v>
      </c>
      <c r="W37" s="346"/>
      <c r="X37" s="346"/>
      <c r="Y37" s="443"/>
      <c r="Z37" s="443"/>
      <c r="AA37" s="12">
        <f t="shared" si="2"/>
        <v>-109.09090909090901</v>
      </c>
      <c r="AB37" s="351">
        <f t="shared" ref="AB37:AB63" si="56">M37/J37</f>
        <v>0.95454545454545459</v>
      </c>
      <c r="AC37" s="442"/>
    </row>
    <row r="38" spans="1:32">
      <c r="A38" s="462" t="s">
        <v>1676</v>
      </c>
      <c r="B38" s="31" t="s">
        <v>67</v>
      </c>
      <c r="C38" s="441" t="s">
        <v>76</v>
      </c>
      <c r="D38" s="441"/>
      <c r="E38" s="31">
        <v>20.52</v>
      </c>
      <c r="F38" s="357">
        <v>4221</v>
      </c>
      <c r="G38" s="346">
        <f t="shared" si="48"/>
        <v>86614.92</v>
      </c>
      <c r="H38" s="359" t="s">
        <v>103</v>
      </c>
      <c r="I38" s="355">
        <v>18</v>
      </c>
      <c r="J38" s="26">
        <v>2400</v>
      </c>
      <c r="K38" s="10">
        <f t="shared" si="53"/>
        <v>133.33333333333334</v>
      </c>
      <c r="L38" s="355">
        <v>18</v>
      </c>
      <c r="M38" s="11">
        <f t="shared" si="54"/>
        <v>2302.363636363636</v>
      </c>
      <c r="N38" s="10">
        <f t="shared" si="55"/>
        <v>127.90909090909089</v>
      </c>
      <c r="O38" s="12">
        <f t="shared" si="49"/>
        <v>0</v>
      </c>
      <c r="P38" s="13">
        <f t="shared" si="50"/>
        <v>-5.4242424242424505</v>
      </c>
      <c r="Q38" s="351">
        <f t="shared" si="51"/>
        <v>0.95931818181818163</v>
      </c>
      <c r="R38" s="442"/>
      <c r="S38" s="28">
        <v>0.26319444444444445</v>
      </c>
      <c r="T38" s="28">
        <v>0.33958333333333335</v>
      </c>
      <c r="U38" s="346">
        <f t="shared" ref="U38:U43" si="57">(S38-T37)*24*60</f>
        <v>5.9999999999999787</v>
      </c>
      <c r="V38" s="356">
        <f t="shared" si="52"/>
        <v>110.00000000000001</v>
      </c>
      <c r="W38" s="346"/>
      <c r="X38" s="346"/>
      <c r="Y38" s="443"/>
      <c r="Z38" s="443"/>
      <c r="AA38" s="12">
        <f t="shared" si="2"/>
        <v>-97.636363636363967</v>
      </c>
      <c r="AB38" s="351">
        <f t="shared" si="56"/>
        <v>0.95931818181818163</v>
      </c>
      <c r="AC38" s="442"/>
    </row>
    <row r="39" spans="1:32">
      <c r="A39" s="462" t="s">
        <v>1676</v>
      </c>
      <c r="B39" s="31" t="s">
        <v>67</v>
      </c>
      <c r="C39" s="441" t="s">
        <v>1167</v>
      </c>
      <c r="D39" s="441"/>
      <c r="E39" s="31">
        <v>24.43</v>
      </c>
      <c r="F39" s="357">
        <v>4900</v>
      </c>
      <c r="G39" s="346">
        <f t="shared" si="48"/>
        <v>119707</v>
      </c>
      <c r="H39" s="359">
        <v>2</v>
      </c>
      <c r="I39" s="355">
        <v>15</v>
      </c>
      <c r="J39" s="26">
        <v>2400</v>
      </c>
      <c r="K39" s="10">
        <f t="shared" si="53"/>
        <v>160</v>
      </c>
      <c r="L39" s="355">
        <v>15</v>
      </c>
      <c r="M39" s="11">
        <f t="shared" si="54"/>
        <v>2296.8749999999995</v>
      </c>
      <c r="N39" s="10">
        <f t="shared" si="55"/>
        <v>153.12499999999997</v>
      </c>
      <c r="O39" s="12">
        <f t="shared" si="49"/>
        <v>0</v>
      </c>
      <c r="P39" s="13">
        <f t="shared" si="50"/>
        <v>-6.8750000000000284</v>
      </c>
      <c r="Q39" s="351">
        <f t="shared" si="51"/>
        <v>0.95703124999999978</v>
      </c>
      <c r="R39" s="442"/>
      <c r="S39" s="28">
        <v>0.34513888888888888</v>
      </c>
      <c r="T39" s="28">
        <v>0.43402777777777779</v>
      </c>
      <c r="U39" s="346">
        <f t="shared" si="57"/>
        <v>7.9999999999999716</v>
      </c>
      <c r="V39" s="356">
        <f t="shared" si="52"/>
        <v>128.00000000000003</v>
      </c>
      <c r="W39" s="16"/>
      <c r="X39" s="16"/>
      <c r="Y39" s="443"/>
      <c r="Z39" s="443"/>
      <c r="AA39" s="12">
        <f t="shared" si="2"/>
        <v>-103.12500000000045</v>
      </c>
      <c r="AB39" s="351">
        <f t="shared" si="56"/>
        <v>0.95703124999999978</v>
      </c>
      <c r="AC39" s="442"/>
    </row>
    <row r="40" spans="1:32">
      <c r="A40" s="462" t="s">
        <v>234</v>
      </c>
      <c r="B40" s="31" t="s">
        <v>67</v>
      </c>
      <c r="C40" s="441" t="s">
        <v>1616</v>
      </c>
      <c r="D40" s="441"/>
      <c r="E40" s="31">
        <v>23.16</v>
      </c>
      <c r="F40" s="357">
        <v>6000</v>
      </c>
      <c r="G40" s="346">
        <f t="shared" si="48"/>
        <v>138960</v>
      </c>
      <c r="H40" s="359">
        <v>2</v>
      </c>
      <c r="I40" s="355">
        <v>14</v>
      </c>
      <c r="J40" s="26">
        <v>2400</v>
      </c>
      <c r="K40" s="10">
        <f t="shared" si="53"/>
        <v>171.42857142857142</v>
      </c>
      <c r="L40" s="355">
        <v>14</v>
      </c>
      <c r="M40" s="11">
        <f t="shared" si="54"/>
        <v>2292.9936305732499</v>
      </c>
      <c r="N40" s="10">
        <f t="shared" si="55"/>
        <v>163.78525932666071</v>
      </c>
      <c r="O40" s="12">
        <f t="shared" si="49"/>
        <v>0</v>
      </c>
      <c r="P40" s="13">
        <f t="shared" si="50"/>
        <v>-7.6433121019107091</v>
      </c>
      <c r="Q40" s="351">
        <f t="shared" si="51"/>
        <v>0.95541401273885418</v>
      </c>
      <c r="R40" s="442"/>
      <c r="S40" s="28">
        <v>0.4375</v>
      </c>
      <c r="T40" s="28">
        <v>0.54652777777777772</v>
      </c>
      <c r="U40" s="346">
        <f t="shared" si="57"/>
        <v>4.9999999999999822</v>
      </c>
      <c r="V40" s="356">
        <f t="shared" si="52"/>
        <v>156.99999999999991</v>
      </c>
      <c r="W40" s="16"/>
      <c r="X40" s="16"/>
      <c r="Y40" s="443"/>
      <c r="Z40" s="443"/>
      <c r="AA40" s="12">
        <f t="shared" si="2"/>
        <v>-107.0063694267501</v>
      </c>
      <c r="AB40" s="351">
        <f t="shared" si="56"/>
        <v>0.95541401273885418</v>
      </c>
      <c r="AC40" s="442"/>
    </row>
    <row r="41" spans="1:32">
      <c r="A41" s="462" t="s">
        <v>1677</v>
      </c>
      <c r="B41" s="31" t="s">
        <v>67</v>
      </c>
      <c r="C41" s="441" t="s">
        <v>1616</v>
      </c>
      <c r="D41" s="441"/>
      <c r="E41" s="31">
        <v>23.16</v>
      </c>
      <c r="F41" s="357">
        <v>4284</v>
      </c>
      <c r="G41" s="346">
        <f t="shared" si="48"/>
        <v>99217.44</v>
      </c>
      <c r="H41" s="359" t="s">
        <v>103</v>
      </c>
      <c r="I41" s="355">
        <v>14</v>
      </c>
      <c r="J41" s="26">
        <v>2400</v>
      </c>
      <c r="K41" s="10">
        <f t="shared" si="53"/>
        <v>171.42857142857142</v>
      </c>
      <c r="L41" s="355">
        <v>14</v>
      </c>
      <c r="M41" s="11">
        <f t="shared" si="54"/>
        <v>2294.9999999999982</v>
      </c>
      <c r="N41" s="10">
        <f t="shared" si="55"/>
        <v>163.9285714285713</v>
      </c>
      <c r="O41" s="12">
        <f t="shared" si="49"/>
        <v>0</v>
      </c>
      <c r="P41" s="13">
        <f t="shared" si="50"/>
        <v>-7.5000000000001137</v>
      </c>
      <c r="Q41" s="351">
        <f t="shared" si="51"/>
        <v>0.95624999999999938</v>
      </c>
      <c r="R41" s="442"/>
      <c r="S41" s="28">
        <v>0.54999999999999993</v>
      </c>
      <c r="T41" s="28">
        <v>0.62777777777777777</v>
      </c>
      <c r="U41" s="346">
        <f t="shared" si="57"/>
        <v>4.9999999999999822</v>
      </c>
      <c r="V41" s="356">
        <f t="shared" si="52"/>
        <v>112.00000000000009</v>
      </c>
      <c r="W41" s="16"/>
      <c r="X41" s="16"/>
      <c r="Y41" s="443"/>
      <c r="Z41" s="443"/>
      <c r="AA41" s="12">
        <f t="shared" si="2"/>
        <v>-105.00000000000182</v>
      </c>
      <c r="AB41" s="351">
        <f t="shared" si="56"/>
        <v>0.95624999999999927</v>
      </c>
      <c r="AC41" s="442"/>
    </row>
    <row r="42" spans="1:32">
      <c r="A42" s="462" t="s">
        <v>1677</v>
      </c>
      <c r="B42" s="31" t="s">
        <v>67</v>
      </c>
      <c r="C42" s="441" t="s">
        <v>1167</v>
      </c>
      <c r="D42" s="441"/>
      <c r="E42" s="31">
        <v>24.43</v>
      </c>
      <c r="F42" s="357">
        <v>3677</v>
      </c>
      <c r="G42" s="346">
        <f t="shared" si="48"/>
        <v>89829.11</v>
      </c>
      <c r="H42" s="359" t="s">
        <v>103</v>
      </c>
      <c r="I42" s="355">
        <v>15</v>
      </c>
      <c r="J42" s="26">
        <v>2400</v>
      </c>
      <c r="K42" s="10">
        <f t="shared" si="53"/>
        <v>160</v>
      </c>
      <c r="L42" s="355">
        <v>15</v>
      </c>
      <c r="M42" s="11">
        <f t="shared" si="54"/>
        <v>2298.1250000000005</v>
      </c>
      <c r="N42" s="10">
        <f t="shared" si="55"/>
        <v>153.20833333333337</v>
      </c>
      <c r="O42" s="12">
        <f t="shared" si="49"/>
        <v>0</v>
      </c>
      <c r="P42" s="13">
        <f t="shared" si="50"/>
        <v>-6.7916666666666288</v>
      </c>
      <c r="Q42" s="351">
        <f t="shared" si="51"/>
        <v>0.95755208333333353</v>
      </c>
      <c r="R42" s="442"/>
      <c r="S42" s="28">
        <v>0.63194444444444442</v>
      </c>
      <c r="T42" s="28">
        <v>0.69861111111111107</v>
      </c>
      <c r="U42" s="346">
        <f t="shared" si="57"/>
        <v>5.9999999999999787</v>
      </c>
      <c r="V42" s="356">
        <f t="shared" si="52"/>
        <v>95.999999999999972</v>
      </c>
      <c r="W42" s="16"/>
      <c r="X42" s="16"/>
      <c r="Y42" s="447"/>
      <c r="Z42" s="448"/>
      <c r="AA42" s="12">
        <f t="shared" si="2"/>
        <v>-101.87499999999955</v>
      </c>
      <c r="AB42" s="351">
        <f t="shared" si="56"/>
        <v>0.95755208333333353</v>
      </c>
      <c r="AC42" s="442"/>
    </row>
    <row r="43" spans="1:32">
      <c r="A43" s="462" t="s">
        <v>1676</v>
      </c>
      <c r="B43" s="31" t="s">
        <v>67</v>
      </c>
      <c r="C43" s="441" t="s">
        <v>73</v>
      </c>
      <c r="D43" s="441"/>
      <c r="E43" s="31">
        <v>26.2</v>
      </c>
      <c r="F43" s="357">
        <v>3474</v>
      </c>
      <c r="G43" s="346">
        <f t="shared" si="48"/>
        <v>91018.8</v>
      </c>
      <c r="H43" s="359" t="s">
        <v>103</v>
      </c>
      <c r="I43" s="355">
        <v>18</v>
      </c>
      <c r="J43" s="26">
        <v>2400</v>
      </c>
      <c r="K43" s="10">
        <f t="shared" si="53"/>
        <v>133.33333333333334</v>
      </c>
      <c r="L43" s="355">
        <v>18</v>
      </c>
      <c r="M43" s="11">
        <f t="shared" si="54"/>
        <v>2290.5494505494507</v>
      </c>
      <c r="N43" s="10">
        <f t="shared" si="55"/>
        <v>127.25274725274727</v>
      </c>
      <c r="O43" s="12">
        <f t="shared" si="49"/>
        <v>0</v>
      </c>
      <c r="P43" s="13">
        <f t="shared" si="50"/>
        <v>-6.0805860805860732</v>
      </c>
      <c r="Q43" s="351">
        <f t="shared" si="51"/>
        <v>0.95439560439560445</v>
      </c>
      <c r="R43" s="442"/>
      <c r="S43" s="28">
        <v>0.70208333333333328</v>
      </c>
      <c r="T43" s="28">
        <v>0.76527777777777772</v>
      </c>
      <c r="U43" s="346">
        <f t="shared" si="57"/>
        <v>4.9999999999999822</v>
      </c>
      <c r="V43" s="356">
        <f t="shared" si="52"/>
        <v>91</v>
      </c>
      <c r="W43" s="16"/>
      <c r="X43" s="16"/>
      <c r="Y43" s="447"/>
      <c r="Z43" s="448"/>
      <c r="AA43" s="12">
        <f t="shared" si="2"/>
        <v>-109.45054945054926</v>
      </c>
      <c r="AB43" s="351">
        <f t="shared" si="56"/>
        <v>0.95439560439560445</v>
      </c>
      <c r="AC43" s="442"/>
      <c r="AF43" s="30"/>
    </row>
    <row r="44" spans="1:32">
      <c r="A44" s="462" t="s">
        <v>1675</v>
      </c>
      <c r="B44" s="33" t="s">
        <v>1678</v>
      </c>
      <c r="C44" s="446"/>
      <c r="D44" s="446"/>
      <c r="E44" s="345"/>
      <c r="F44" s="33"/>
      <c r="G44" s="10"/>
      <c r="H44" s="357"/>
      <c r="I44" s="19">
        <v>16.375</v>
      </c>
      <c r="J44" s="26">
        <v>2400</v>
      </c>
      <c r="K44" s="10">
        <f t="shared" si="53"/>
        <v>146.56488549618319</v>
      </c>
      <c r="L44" s="19">
        <v>16.375</v>
      </c>
      <c r="M44" s="11">
        <f>AVERAGE(M36:M43)</f>
        <v>2295.3084977885587</v>
      </c>
      <c r="N44" s="10">
        <f>M44/L44</f>
        <v>140.17151131533183</v>
      </c>
      <c r="O44" s="12">
        <f>L44-I44</f>
        <v>0</v>
      </c>
      <c r="P44" s="13">
        <f t="shared" si="50"/>
        <v>-6.3933741808513673</v>
      </c>
      <c r="Q44" s="351">
        <f t="shared" si="51"/>
        <v>0.95637854074523287</v>
      </c>
      <c r="R44" s="442"/>
      <c r="S44" s="28"/>
      <c r="T44" s="28"/>
      <c r="U44" s="10"/>
      <c r="V44" s="356"/>
      <c r="W44" s="10"/>
      <c r="X44" s="10"/>
      <c r="Y44" s="443"/>
      <c r="Z44" s="443"/>
      <c r="AA44" s="12">
        <f t="shared" si="2"/>
        <v>-104.69150221144127</v>
      </c>
      <c r="AB44" s="351">
        <f t="shared" si="56"/>
        <v>0.95637854074523276</v>
      </c>
      <c r="AC44" s="442"/>
      <c r="AF44" s="30"/>
    </row>
    <row r="45" spans="1:32" s="30" customFormat="1" ht="15.75" customHeight="1">
      <c r="A45" s="453" t="s">
        <v>1679</v>
      </c>
      <c r="B45" s="31" t="s">
        <v>79</v>
      </c>
      <c r="C45" s="444" t="s">
        <v>80</v>
      </c>
      <c r="D45" s="445"/>
      <c r="E45" s="31">
        <v>21.13</v>
      </c>
      <c r="F45" s="357">
        <v>3200</v>
      </c>
      <c r="G45" s="357">
        <f t="shared" ref="G45:G50" si="58">E45*F45</f>
        <v>67616</v>
      </c>
      <c r="H45" s="359" t="s">
        <v>103</v>
      </c>
      <c r="I45" s="19">
        <v>10</v>
      </c>
      <c r="J45" s="26">
        <v>3000</v>
      </c>
      <c r="K45" s="33">
        <v>300</v>
      </c>
      <c r="L45" s="19">
        <v>10</v>
      </c>
      <c r="M45" s="26">
        <f t="shared" ref="M45:M50" si="59">F45/V45*60</f>
        <v>2865.6716417910457</v>
      </c>
      <c r="N45" s="26">
        <f t="shared" ref="N45:N50" si="60">M45/L45</f>
        <v>286.56716417910457</v>
      </c>
      <c r="O45" s="379">
        <f t="shared" ref="O45:O51" si="61">L45-I45</f>
        <v>0</v>
      </c>
      <c r="P45" s="380">
        <f t="shared" si="50"/>
        <v>-13.432835820895434</v>
      </c>
      <c r="Q45" s="381">
        <f t="shared" si="51"/>
        <v>0.95522388059701524</v>
      </c>
      <c r="R45" s="488">
        <f>Q51</f>
        <v>0.95964673592523708</v>
      </c>
      <c r="S45" s="28">
        <v>8.3333333333333329E-2</v>
      </c>
      <c r="T45" s="28">
        <v>0.12986111111111109</v>
      </c>
      <c r="U45" s="28"/>
      <c r="V45" s="359">
        <f t="shared" ref="V45:V50" si="62">(T45-S45)*24*60</f>
        <v>66.999999999999972</v>
      </c>
      <c r="W45" s="382">
        <f>T45</f>
        <v>0.12986111111111109</v>
      </c>
      <c r="X45" s="382">
        <f>S46</f>
        <v>0.14930555555555555</v>
      </c>
      <c r="Y45" s="491"/>
      <c r="Z45" s="492"/>
      <c r="AA45" s="379">
        <f t="shared" si="2"/>
        <v>-134.32835820895434</v>
      </c>
      <c r="AB45" s="381">
        <f t="shared" si="56"/>
        <v>0.95522388059701524</v>
      </c>
      <c r="AC45" s="488">
        <f>AB51</f>
        <v>0.95964673592523697</v>
      </c>
    </row>
    <row r="46" spans="1:32" s="30" customFormat="1" ht="15.75" customHeight="1">
      <c r="A46" s="454" t="s">
        <v>1679</v>
      </c>
      <c r="B46" s="31" t="s">
        <v>79</v>
      </c>
      <c r="C46" s="444" t="s">
        <v>81</v>
      </c>
      <c r="D46" s="445"/>
      <c r="E46" s="31">
        <v>27.17</v>
      </c>
      <c r="F46" s="357">
        <v>9282</v>
      </c>
      <c r="G46" s="357">
        <f t="shared" si="58"/>
        <v>252191.94</v>
      </c>
      <c r="H46" s="359" t="s">
        <v>103</v>
      </c>
      <c r="I46" s="19">
        <v>10</v>
      </c>
      <c r="J46" s="26">
        <v>3000</v>
      </c>
      <c r="K46" s="33">
        <v>300</v>
      </c>
      <c r="L46" s="19">
        <v>10</v>
      </c>
      <c r="M46" s="26">
        <f t="shared" si="59"/>
        <v>2856</v>
      </c>
      <c r="N46" s="26">
        <f t="shared" si="60"/>
        <v>285.60000000000002</v>
      </c>
      <c r="O46" s="379">
        <f t="shared" si="61"/>
        <v>0</v>
      </c>
      <c r="P46" s="380">
        <f t="shared" si="50"/>
        <v>-14.399999999999977</v>
      </c>
      <c r="Q46" s="381">
        <f t="shared" si="51"/>
        <v>0.95200000000000007</v>
      </c>
      <c r="R46" s="489"/>
      <c r="S46" s="28">
        <v>0.14930555555555555</v>
      </c>
      <c r="T46" s="28">
        <v>0.28472222222222221</v>
      </c>
      <c r="U46" s="357">
        <f>(S46-T45)*24*60</f>
        <v>28.000000000000021</v>
      </c>
      <c r="V46" s="359">
        <f t="shared" si="62"/>
        <v>195</v>
      </c>
      <c r="W46" s="382"/>
      <c r="X46" s="382"/>
      <c r="Y46" s="491"/>
      <c r="Z46" s="492"/>
      <c r="AA46" s="379">
        <f t="shared" si="2"/>
        <v>-144</v>
      </c>
      <c r="AB46" s="381">
        <f t="shared" si="56"/>
        <v>0.95199999999999996</v>
      </c>
      <c r="AC46" s="489"/>
    </row>
    <row r="47" spans="1:32" s="30" customFormat="1" ht="15.75" customHeight="1">
      <c r="A47" s="454" t="s">
        <v>1679</v>
      </c>
      <c r="B47" s="31" t="s">
        <v>79</v>
      </c>
      <c r="C47" s="444" t="s">
        <v>82</v>
      </c>
      <c r="D47" s="445"/>
      <c r="E47" s="31">
        <v>35.119999999999997</v>
      </c>
      <c r="F47" s="357">
        <v>5017</v>
      </c>
      <c r="G47" s="357">
        <f t="shared" si="58"/>
        <v>176197.03999999998</v>
      </c>
      <c r="H47" s="359" t="s">
        <v>103</v>
      </c>
      <c r="I47" s="19">
        <v>10</v>
      </c>
      <c r="J47" s="26">
        <v>3000</v>
      </c>
      <c r="K47" s="33">
        <v>300</v>
      </c>
      <c r="L47" s="19">
        <v>10</v>
      </c>
      <c r="M47" s="26">
        <f>F47/V47*60</f>
        <v>2866.8571428571422</v>
      </c>
      <c r="N47" s="26">
        <f t="shared" si="60"/>
        <v>286.6857142857142</v>
      </c>
      <c r="O47" s="379">
        <f t="shared" si="61"/>
        <v>0</v>
      </c>
      <c r="P47" s="380">
        <f t="shared" si="50"/>
        <v>-13.314285714285802</v>
      </c>
      <c r="Q47" s="381">
        <f t="shared" si="51"/>
        <v>0.95561904761904737</v>
      </c>
      <c r="R47" s="489"/>
      <c r="S47" s="28">
        <v>0.28819444444444442</v>
      </c>
      <c r="T47" s="28">
        <v>0.3611111111111111</v>
      </c>
      <c r="U47" s="357">
        <f t="shared" ref="U47:U50" si="63">(S47-T46)*24*60</f>
        <v>4.9999999999999822</v>
      </c>
      <c r="V47" s="359">
        <f t="shared" si="62"/>
        <v>105.00000000000003</v>
      </c>
      <c r="W47" s="382"/>
      <c r="X47" s="382"/>
      <c r="Y47" s="491"/>
      <c r="Z47" s="492"/>
      <c r="AA47" s="379">
        <f t="shared" si="2"/>
        <v>-133.14285714285779</v>
      </c>
      <c r="AB47" s="381">
        <f t="shared" si="56"/>
        <v>0.95561904761904737</v>
      </c>
      <c r="AC47" s="489"/>
    </row>
    <row r="48" spans="1:32" s="30" customFormat="1" ht="15.75" customHeight="1">
      <c r="A48" s="454" t="s">
        <v>1680</v>
      </c>
      <c r="B48" s="31" t="s">
        <v>79</v>
      </c>
      <c r="C48" s="444" t="s">
        <v>85</v>
      </c>
      <c r="D48" s="445"/>
      <c r="E48" s="31">
        <v>35.869999999999997</v>
      </c>
      <c r="F48" s="357">
        <v>3157</v>
      </c>
      <c r="G48" s="357">
        <f t="shared" si="58"/>
        <v>113241.59</v>
      </c>
      <c r="H48" s="359" t="s">
        <v>103</v>
      </c>
      <c r="I48" s="19">
        <v>10</v>
      </c>
      <c r="J48" s="26">
        <v>3000</v>
      </c>
      <c r="K48" s="33">
        <v>300</v>
      </c>
      <c r="L48" s="19">
        <v>10</v>
      </c>
      <c r="M48" s="26">
        <f t="shared" si="59"/>
        <v>2870</v>
      </c>
      <c r="N48" s="26">
        <f t="shared" si="60"/>
        <v>287</v>
      </c>
      <c r="O48" s="379">
        <f t="shared" si="61"/>
        <v>0</v>
      </c>
      <c r="P48" s="380">
        <f t="shared" si="50"/>
        <v>-13</v>
      </c>
      <c r="Q48" s="381">
        <f t="shared" si="51"/>
        <v>0.95666666666666667</v>
      </c>
      <c r="R48" s="489"/>
      <c r="S48" s="28">
        <v>0.3659722222222222</v>
      </c>
      <c r="T48" s="28">
        <v>0.41180555555555554</v>
      </c>
      <c r="U48" s="357">
        <f t="shared" si="63"/>
        <v>6.9999999999999751</v>
      </c>
      <c r="V48" s="359">
        <f t="shared" si="62"/>
        <v>66</v>
      </c>
      <c r="W48" s="382"/>
      <c r="X48" s="382"/>
      <c r="Y48" s="491"/>
      <c r="Z48" s="492"/>
      <c r="AA48" s="379">
        <f t="shared" si="2"/>
        <v>-130</v>
      </c>
      <c r="AB48" s="381">
        <f t="shared" si="56"/>
        <v>0.95666666666666667</v>
      </c>
      <c r="AC48" s="489"/>
    </row>
    <row r="49" spans="1:32" s="30" customFormat="1" ht="15.75" customHeight="1">
      <c r="A49" s="454" t="s">
        <v>166</v>
      </c>
      <c r="B49" s="31" t="s">
        <v>79</v>
      </c>
      <c r="C49" s="444" t="s">
        <v>86</v>
      </c>
      <c r="D49" s="445"/>
      <c r="E49" s="31">
        <v>36.14</v>
      </c>
      <c r="F49" s="357">
        <v>2275</v>
      </c>
      <c r="G49" s="357">
        <f t="shared" si="58"/>
        <v>82218.5</v>
      </c>
      <c r="H49" s="359" t="s">
        <v>103</v>
      </c>
      <c r="I49" s="19">
        <v>8</v>
      </c>
      <c r="J49" s="26">
        <v>3000</v>
      </c>
      <c r="K49" s="33">
        <v>375</v>
      </c>
      <c r="L49" s="19">
        <v>8</v>
      </c>
      <c r="M49" s="26">
        <f t="shared" si="59"/>
        <v>2904.2553191489369</v>
      </c>
      <c r="N49" s="26">
        <f t="shared" si="60"/>
        <v>363.03191489361711</v>
      </c>
      <c r="O49" s="379">
        <f t="shared" si="61"/>
        <v>0</v>
      </c>
      <c r="P49" s="380">
        <f t="shared" si="50"/>
        <v>-11.968085106382887</v>
      </c>
      <c r="Q49" s="381">
        <f>N49/K49</f>
        <v>0.96808510638297895</v>
      </c>
      <c r="R49" s="489"/>
      <c r="S49" s="28">
        <v>0.41597222222222219</v>
      </c>
      <c r="T49" s="28">
        <v>0.44861111111111107</v>
      </c>
      <c r="U49" s="357">
        <f t="shared" si="63"/>
        <v>5.9999999999999787</v>
      </c>
      <c r="V49" s="359">
        <f t="shared" si="62"/>
        <v>46.999999999999993</v>
      </c>
      <c r="W49" s="382"/>
      <c r="X49" s="382"/>
      <c r="Y49" s="491"/>
      <c r="Z49" s="492"/>
      <c r="AA49" s="379">
        <f t="shared" si="2"/>
        <v>-95.744680851063094</v>
      </c>
      <c r="AB49" s="381">
        <f t="shared" si="56"/>
        <v>0.96808510638297895</v>
      </c>
      <c r="AC49" s="489"/>
    </row>
    <row r="50" spans="1:32" s="30" customFormat="1" ht="15.75" customHeight="1">
      <c r="A50" s="454" t="s">
        <v>166</v>
      </c>
      <c r="B50" s="31" t="s">
        <v>79</v>
      </c>
      <c r="C50" s="444" t="s">
        <v>95</v>
      </c>
      <c r="D50" s="445"/>
      <c r="E50" s="31">
        <v>35.369999999999997</v>
      </c>
      <c r="F50" s="357">
        <v>1698</v>
      </c>
      <c r="G50" s="357">
        <f t="shared" si="58"/>
        <v>60058.259999999995</v>
      </c>
      <c r="H50" s="359" t="s">
        <v>103</v>
      </c>
      <c r="I50" s="19">
        <v>10</v>
      </c>
      <c r="J50" s="26">
        <v>3000</v>
      </c>
      <c r="K50" s="33">
        <v>300</v>
      </c>
      <c r="L50" s="19">
        <v>10</v>
      </c>
      <c r="M50" s="26">
        <f t="shared" si="59"/>
        <v>2910.8571428571399</v>
      </c>
      <c r="N50" s="26">
        <f t="shared" si="60"/>
        <v>291.085714285714</v>
      </c>
      <c r="O50" s="379">
        <f t="shared" si="61"/>
        <v>0</v>
      </c>
      <c r="P50" s="380">
        <f t="shared" si="50"/>
        <v>-8.9142857142859953</v>
      </c>
      <c r="Q50" s="381">
        <f t="shared" si="51"/>
        <v>0.97028571428571331</v>
      </c>
      <c r="R50" s="489"/>
      <c r="S50" s="28">
        <v>0.45277777777777772</v>
      </c>
      <c r="T50" s="28">
        <v>0.4770833333333333</v>
      </c>
      <c r="U50" s="357">
        <f t="shared" si="63"/>
        <v>5.9999999999999787</v>
      </c>
      <c r="V50" s="359">
        <f t="shared" si="62"/>
        <v>35.000000000000036</v>
      </c>
      <c r="W50" s="382"/>
      <c r="X50" s="382"/>
      <c r="Y50" s="491"/>
      <c r="Z50" s="492"/>
      <c r="AA50" s="379">
        <f t="shared" si="2"/>
        <v>-89.142857142860066</v>
      </c>
      <c r="AB50" s="381">
        <f t="shared" si="56"/>
        <v>0.97028571428571331</v>
      </c>
      <c r="AC50" s="489"/>
    </row>
    <row r="51" spans="1:32" s="30" customFormat="1" ht="15.75" customHeight="1">
      <c r="A51" s="455" t="s">
        <v>1679</v>
      </c>
      <c r="B51" s="31" t="s">
        <v>1681</v>
      </c>
      <c r="C51" s="459"/>
      <c r="D51" s="460"/>
      <c r="E51" s="352"/>
      <c r="F51" s="357"/>
      <c r="G51" s="357"/>
      <c r="H51" s="357"/>
      <c r="I51" s="19">
        <v>10</v>
      </c>
      <c r="J51" s="26">
        <v>3000</v>
      </c>
      <c r="K51" s="33">
        <v>310.34482758620692</v>
      </c>
      <c r="L51" s="19">
        <v>9.6666666666666661</v>
      </c>
      <c r="M51" s="26">
        <f>AVERAGE(M45:M50)</f>
        <v>2878.9402077757109</v>
      </c>
      <c r="N51" s="33">
        <f>M51/L51</f>
        <v>297.82140080438393</v>
      </c>
      <c r="O51" s="379">
        <f t="shared" si="61"/>
        <v>-0.33333333333333393</v>
      </c>
      <c r="P51" s="380">
        <f t="shared" si="50"/>
        <v>-12.523426781822991</v>
      </c>
      <c r="Q51" s="381">
        <f>N51/K51</f>
        <v>0.95964673592523708</v>
      </c>
      <c r="R51" s="490"/>
      <c r="S51" s="28"/>
      <c r="T51" s="28"/>
      <c r="U51" s="357"/>
      <c r="V51" s="359"/>
      <c r="W51" s="382"/>
      <c r="X51" s="382"/>
      <c r="Y51" s="491"/>
      <c r="Z51" s="492"/>
      <c r="AA51" s="379">
        <f t="shared" si="2"/>
        <v>-121.05979222428914</v>
      </c>
      <c r="AB51" s="381">
        <f t="shared" si="56"/>
        <v>0.95964673592523697</v>
      </c>
      <c r="AC51" s="490"/>
    </row>
    <row r="52" spans="1:32" ht="15.75" customHeight="1">
      <c r="A52" s="451" t="s">
        <v>167</v>
      </c>
      <c r="B52" s="31" t="s">
        <v>53</v>
      </c>
      <c r="C52" s="441" t="s">
        <v>87</v>
      </c>
      <c r="D52" s="441"/>
      <c r="E52" s="31">
        <v>46</v>
      </c>
      <c r="F52" s="35">
        <v>3392</v>
      </c>
      <c r="G52" s="346">
        <f t="shared" ref="G52:G57" si="64">E52*F52</f>
        <v>156032</v>
      </c>
      <c r="H52" s="359" t="s">
        <v>103</v>
      </c>
      <c r="I52" s="19">
        <v>17</v>
      </c>
      <c r="J52" s="26">
        <v>2000</v>
      </c>
      <c r="K52" s="10">
        <f t="shared" ref="K52:K57" si="65">J52/I52</f>
        <v>117.64705882352941</v>
      </c>
      <c r="L52" s="19">
        <v>16.375</v>
      </c>
      <c r="M52" s="11">
        <f t="shared" ref="M52:M57" si="66">F52/V52*60</f>
        <v>1919.9999999999995</v>
      </c>
      <c r="N52" s="11">
        <f>M52/L52</f>
        <v>117.25190839694653</v>
      </c>
      <c r="O52" s="12">
        <f>L52-I52</f>
        <v>-0.625</v>
      </c>
      <c r="P52" s="13">
        <f>N52-K52</f>
        <v>-0.39515042658287314</v>
      </c>
      <c r="Q52" s="351">
        <f>N52/K52</f>
        <v>0.99664122137404554</v>
      </c>
      <c r="R52" s="442">
        <f>Q58</f>
        <v>0.96049199084668202</v>
      </c>
      <c r="S52" s="28">
        <v>0.29166666666666669</v>
      </c>
      <c r="T52" s="28">
        <v>0.36527777777777781</v>
      </c>
      <c r="U52" s="18"/>
      <c r="V52" s="356">
        <f t="shared" ref="V52:V57" si="67">(T52-S52)*24*60</f>
        <v>106.00000000000003</v>
      </c>
      <c r="W52" s="18"/>
      <c r="X52" s="18"/>
      <c r="Y52" s="443"/>
      <c r="Z52" s="443"/>
      <c r="AA52" s="12">
        <f t="shared" si="2"/>
        <v>-80.000000000000455</v>
      </c>
      <c r="AB52" s="351">
        <f t="shared" si="56"/>
        <v>0.95999999999999974</v>
      </c>
      <c r="AC52" s="442">
        <f>AB58</f>
        <v>0.96049199084668191</v>
      </c>
      <c r="AF52" s="30"/>
    </row>
    <row r="53" spans="1:32" ht="15.75" customHeight="1">
      <c r="A53" s="451" t="s">
        <v>1682</v>
      </c>
      <c r="B53" s="31" t="s">
        <v>53</v>
      </c>
      <c r="C53" s="441" t="s">
        <v>88</v>
      </c>
      <c r="D53" s="441"/>
      <c r="E53" s="31">
        <v>46</v>
      </c>
      <c r="F53" s="35">
        <v>3428</v>
      </c>
      <c r="G53" s="346">
        <f t="shared" si="64"/>
        <v>157688</v>
      </c>
      <c r="H53" s="359" t="s">
        <v>103</v>
      </c>
      <c r="I53" s="355">
        <v>17</v>
      </c>
      <c r="J53" s="26">
        <v>2000</v>
      </c>
      <c r="K53" s="10">
        <f t="shared" si="65"/>
        <v>117.64705882352941</v>
      </c>
      <c r="L53" s="355">
        <v>17</v>
      </c>
      <c r="M53" s="11">
        <f t="shared" si="66"/>
        <v>1904.4444444444441</v>
      </c>
      <c r="N53" s="11">
        <f t="shared" ref="N53:N57" si="68">M53/L53</f>
        <v>112.02614379084966</v>
      </c>
      <c r="O53" s="12">
        <f t="shared" ref="O53:O57" si="69">L53-I53</f>
        <v>0</v>
      </c>
      <c r="P53" s="13">
        <f t="shared" ref="P53:P57" si="70">N53-K53</f>
        <v>-5.620915032679747</v>
      </c>
      <c r="Q53" s="351">
        <f t="shared" ref="Q53:Q57" si="71">N53/K53</f>
        <v>0.95222222222222219</v>
      </c>
      <c r="R53" s="442"/>
      <c r="S53" s="28">
        <v>0.36944444444444446</v>
      </c>
      <c r="T53" s="28">
        <v>0.44444444444444448</v>
      </c>
      <c r="U53" s="346">
        <f>IF(S53=TIME(17,0,0),"",(S53-T52)*24*60)</f>
        <v>5.9999999999999787</v>
      </c>
      <c r="V53" s="356">
        <f t="shared" si="67"/>
        <v>108.00000000000001</v>
      </c>
      <c r="W53" s="16"/>
      <c r="X53" s="16"/>
      <c r="Y53" s="443"/>
      <c r="Z53" s="443"/>
      <c r="AA53" s="12">
        <f t="shared" si="2"/>
        <v>-95.555555555555884</v>
      </c>
      <c r="AB53" s="351">
        <f t="shared" si="56"/>
        <v>0.95222222222222208</v>
      </c>
      <c r="AC53" s="442"/>
      <c r="AF53" s="30"/>
    </row>
    <row r="54" spans="1:32" ht="15.75" customHeight="1">
      <c r="A54" s="451" t="s">
        <v>1682</v>
      </c>
      <c r="B54" s="31" t="s">
        <v>58</v>
      </c>
      <c r="C54" s="444" t="s">
        <v>168</v>
      </c>
      <c r="D54" s="445"/>
      <c r="E54" s="31">
        <v>54.09</v>
      </c>
      <c r="F54" s="35">
        <v>1550</v>
      </c>
      <c r="G54" s="346">
        <f t="shared" si="64"/>
        <v>83839.5</v>
      </c>
      <c r="H54" s="359" t="s">
        <v>103</v>
      </c>
      <c r="I54" s="355">
        <v>16</v>
      </c>
      <c r="J54" s="26">
        <v>2000</v>
      </c>
      <c r="K54" s="10">
        <f t="shared" si="65"/>
        <v>125</v>
      </c>
      <c r="L54" s="355">
        <v>16</v>
      </c>
      <c r="M54" s="11">
        <f t="shared" si="66"/>
        <v>1937.5000000000007</v>
      </c>
      <c r="N54" s="11">
        <f t="shared" si="68"/>
        <v>121.09375000000004</v>
      </c>
      <c r="O54" s="12">
        <f t="shared" si="69"/>
        <v>0</v>
      </c>
      <c r="P54" s="13">
        <f t="shared" si="70"/>
        <v>-3.9062499999999574</v>
      </c>
      <c r="Q54" s="351">
        <f t="shared" si="71"/>
        <v>0.96875000000000033</v>
      </c>
      <c r="R54" s="442"/>
      <c r="S54" s="28">
        <v>0.44791666666666669</v>
      </c>
      <c r="T54" s="28">
        <v>0.48125000000000001</v>
      </c>
      <c r="U54" s="346">
        <f t="shared" ref="U54:U57" si="72">IF(S54=TIME(17,0,0),"",(S54-T53)*24*60)</f>
        <v>4.9999999999999822</v>
      </c>
      <c r="V54" s="356">
        <f t="shared" si="67"/>
        <v>47.999999999999986</v>
      </c>
      <c r="W54" s="16"/>
      <c r="X54" s="16"/>
      <c r="Y54" s="349"/>
      <c r="Z54" s="350"/>
      <c r="AA54" s="12">
        <f t="shared" si="2"/>
        <v>-62.499999999999318</v>
      </c>
      <c r="AB54" s="351">
        <f t="shared" si="56"/>
        <v>0.96875000000000033</v>
      </c>
      <c r="AC54" s="442"/>
      <c r="AF54" s="30"/>
    </row>
    <row r="55" spans="1:32" ht="15.75" customHeight="1">
      <c r="A55" s="451" t="s">
        <v>1682</v>
      </c>
      <c r="B55" s="31" t="s">
        <v>58</v>
      </c>
      <c r="C55" s="347" t="s">
        <v>89</v>
      </c>
      <c r="D55" s="348"/>
      <c r="E55" s="31">
        <v>55.56</v>
      </c>
      <c r="F55" s="35">
        <v>2411</v>
      </c>
      <c r="G55" s="346">
        <f t="shared" si="64"/>
        <v>133955.16</v>
      </c>
      <c r="H55" s="359" t="s">
        <v>103</v>
      </c>
      <c r="I55" s="355">
        <v>17</v>
      </c>
      <c r="J55" s="26">
        <v>2000</v>
      </c>
      <c r="K55" s="10">
        <f t="shared" si="65"/>
        <v>117.64705882352941</v>
      </c>
      <c r="L55" s="355">
        <v>17</v>
      </c>
      <c r="M55" s="11">
        <f t="shared" si="66"/>
        <v>1903.4210526315776</v>
      </c>
      <c r="N55" s="11">
        <f t="shared" si="68"/>
        <v>111.96594427244574</v>
      </c>
      <c r="O55" s="12">
        <f t="shared" si="69"/>
        <v>0</v>
      </c>
      <c r="P55" s="13">
        <f t="shared" si="70"/>
        <v>-5.6811145510836667</v>
      </c>
      <c r="Q55" s="351">
        <f t="shared" si="71"/>
        <v>0.95171052631578879</v>
      </c>
      <c r="R55" s="442"/>
      <c r="S55" s="28">
        <v>0.70833333333333337</v>
      </c>
      <c r="T55" s="28">
        <v>0.76111111111111118</v>
      </c>
      <c r="U55" s="346" t="str">
        <f t="shared" si="72"/>
        <v/>
      </c>
      <c r="V55" s="356">
        <f t="shared" si="67"/>
        <v>76.000000000000057</v>
      </c>
      <c r="W55" s="16"/>
      <c r="X55" s="16"/>
      <c r="Y55" s="349"/>
      <c r="Z55" s="350"/>
      <c r="AA55" s="12">
        <f t="shared" si="2"/>
        <v>-96.578947368422405</v>
      </c>
      <c r="AB55" s="351">
        <f t="shared" si="56"/>
        <v>0.95171052631578879</v>
      </c>
      <c r="AC55" s="442"/>
      <c r="AF55" s="30"/>
    </row>
    <row r="56" spans="1:32" ht="15.75" customHeight="1">
      <c r="A56" s="451" t="s">
        <v>1682</v>
      </c>
      <c r="B56" s="31" t="s">
        <v>58</v>
      </c>
      <c r="C56" s="347" t="s">
        <v>90</v>
      </c>
      <c r="D56" s="348"/>
      <c r="E56" s="31">
        <v>55.32</v>
      </c>
      <c r="F56" s="35">
        <v>1838</v>
      </c>
      <c r="G56" s="346">
        <f t="shared" si="64"/>
        <v>101678.16</v>
      </c>
      <c r="H56" s="359" t="s">
        <v>103</v>
      </c>
      <c r="I56" s="355">
        <v>15</v>
      </c>
      <c r="J56" s="26">
        <v>2000</v>
      </c>
      <c r="K56" s="10">
        <f t="shared" si="65"/>
        <v>133.33333333333334</v>
      </c>
      <c r="L56" s="355">
        <v>15</v>
      </c>
      <c r="M56" s="11">
        <f t="shared" si="66"/>
        <v>1934.7368421052645</v>
      </c>
      <c r="N56" s="11">
        <f t="shared" si="68"/>
        <v>128.98245614035096</v>
      </c>
      <c r="O56" s="12">
        <f t="shared" si="69"/>
        <v>0</v>
      </c>
      <c r="P56" s="13">
        <f t="shared" si="70"/>
        <v>-4.3508771929823808</v>
      </c>
      <c r="Q56" s="351">
        <f t="shared" si="71"/>
        <v>0.9673684210526321</v>
      </c>
      <c r="R56" s="442"/>
      <c r="S56" s="28">
        <v>0.76458333333333339</v>
      </c>
      <c r="T56" s="28">
        <v>0.8041666666666667</v>
      </c>
      <c r="U56" s="346">
        <f t="shared" si="72"/>
        <v>4.9999999999999822</v>
      </c>
      <c r="V56" s="356">
        <f t="shared" si="67"/>
        <v>56.999999999999957</v>
      </c>
      <c r="W56" s="16"/>
      <c r="X56" s="16"/>
      <c r="Y56" s="349"/>
      <c r="Z56" s="350"/>
      <c r="AA56" s="12">
        <f t="shared" si="2"/>
        <v>-65.263157894735514</v>
      </c>
      <c r="AB56" s="351">
        <f t="shared" si="56"/>
        <v>0.96736842105263221</v>
      </c>
      <c r="AC56" s="442"/>
    </row>
    <row r="57" spans="1:32" ht="15.75" customHeight="1">
      <c r="A57" s="451" t="s">
        <v>167</v>
      </c>
      <c r="B57" s="31" t="s">
        <v>58</v>
      </c>
      <c r="C57" s="444" t="s">
        <v>91</v>
      </c>
      <c r="D57" s="445"/>
      <c r="E57" s="31">
        <v>57.73</v>
      </c>
      <c r="F57" s="35">
        <v>1301</v>
      </c>
      <c r="G57" s="346">
        <f t="shared" si="64"/>
        <v>75106.73</v>
      </c>
      <c r="H57" s="359" t="s">
        <v>103</v>
      </c>
      <c r="I57" s="355">
        <v>16</v>
      </c>
      <c r="J57" s="26">
        <v>1500</v>
      </c>
      <c r="K57" s="10">
        <f t="shared" si="65"/>
        <v>93.75</v>
      </c>
      <c r="L57" s="355">
        <v>16</v>
      </c>
      <c r="M57" s="11">
        <f t="shared" si="66"/>
        <v>1445.5555555555563</v>
      </c>
      <c r="N57" s="11">
        <f t="shared" si="68"/>
        <v>90.347222222222271</v>
      </c>
      <c r="O57" s="12">
        <f t="shared" si="69"/>
        <v>0</v>
      </c>
      <c r="P57" s="13">
        <f t="shared" si="70"/>
        <v>-3.4027777777777288</v>
      </c>
      <c r="Q57" s="351">
        <f t="shared" si="71"/>
        <v>0.96370370370370417</v>
      </c>
      <c r="R57" s="442"/>
      <c r="S57" s="28">
        <v>0.80833333333333335</v>
      </c>
      <c r="T57" s="28">
        <v>0.84583333333333333</v>
      </c>
      <c r="U57" s="346">
        <f t="shared" si="72"/>
        <v>5.9999999999999787</v>
      </c>
      <c r="V57" s="356">
        <f t="shared" si="67"/>
        <v>53.999999999999972</v>
      </c>
      <c r="W57" s="16"/>
      <c r="X57" s="16"/>
      <c r="Y57" s="447"/>
      <c r="Z57" s="448"/>
      <c r="AA57" s="12">
        <f t="shared" si="2"/>
        <v>-54.444444444443661</v>
      </c>
      <c r="AB57" s="351">
        <f t="shared" si="56"/>
        <v>0.96370370370370417</v>
      </c>
      <c r="AC57" s="442"/>
    </row>
    <row r="58" spans="1:32">
      <c r="A58" s="452" t="s">
        <v>167</v>
      </c>
      <c r="B58" s="31" t="s">
        <v>231</v>
      </c>
      <c r="C58" s="446"/>
      <c r="D58" s="446"/>
      <c r="E58" s="345"/>
      <c r="F58" s="33"/>
      <c r="G58" s="10"/>
      <c r="H58" s="357"/>
      <c r="I58" s="19">
        <v>16.333333333333332</v>
      </c>
      <c r="J58" s="26">
        <v>1916.6666666666667</v>
      </c>
      <c r="K58" s="10">
        <f>J58/I58</f>
        <v>117.34693877551021</v>
      </c>
      <c r="L58" s="19">
        <v>16.333333333333332</v>
      </c>
      <c r="M58" s="11">
        <f>AVERAGE(M52:M57)</f>
        <v>1840.9429824561405</v>
      </c>
      <c r="N58" s="10">
        <f>M58/L58</f>
        <v>112.71079484425351</v>
      </c>
      <c r="O58" s="12">
        <f>L58-I58</f>
        <v>0</v>
      </c>
      <c r="P58" s="13">
        <f>N58-K58</f>
        <v>-4.6361439312566972</v>
      </c>
      <c r="Q58" s="351">
        <f>N58/K58</f>
        <v>0.96049199084668202</v>
      </c>
      <c r="R58" s="442"/>
      <c r="S58" s="29"/>
      <c r="T58" s="28"/>
      <c r="U58" s="10"/>
      <c r="V58" s="356"/>
      <c r="W58" s="10"/>
      <c r="X58" s="10"/>
      <c r="Y58" s="443"/>
      <c r="Z58" s="443"/>
      <c r="AA58" s="12">
        <f t="shared" si="2"/>
        <v>-75.723684210526244</v>
      </c>
      <c r="AB58" s="351">
        <f t="shared" si="56"/>
        <v>0.96049199084668191</v>
      </c>
      <c r="AC58" s="442"/>
    </row>
    <row r="59" spans="1:32" ht="15.75" customHeight="1">
      <c r="A59" s="449" t="s">
        <v>254</v>
      </c>
      <c r="B59" s="357" t="s">
        <v>79</v>
      </c>
      <c r="C59" s="441" t="s">
        <v>94</v>
      </c>
      <c r="D59" s="441"/>
      <c r="E59" s="31">
        <v>26.78</v>
      </c>
      <c r="F59" s="35">
        <v>2997</v>
      </c>
      <c r="G59" s="346">
        <f t="shared" ref="G59:G62" si="73">E59*F59</f>
        <v>80259.66</v>
      </c>
      <c r="H59" s="359" t="s">
        <v>103</v>
      </c>
      <c r="I59" s="355">
        <v>10</v>
      </c>
      <c r="J59" s="26">
        <v>3000</v>
      </c>
      <c r="K59" s="10">
        <f t="shared" ref="K59:K62" si="74">J59/I59</f>
        <v>300</v>
      </c>
      <c r="L59" s="19">
        <v>10</v>
      </c>
      <c r="M59" s="11">
        <f t="shared" ref="M59:M62" si="75">F59/V59*60</f>
        <v>2900.3225806451624</v>
      </c>
      <c r="N59" s="10">
        <f>M59/L59</f>
        <v>290.03225806451621</v>
      </c>
      <c r="O59" s="12">
        <f t="shared" ref="O59:O62" si="76">L59-I59</f>
        <v>0</v>
      </c>
      <c r="P59" s="13">
        <f t="shared" ref="P59:P62" si="77">N59-K59</f>
        <v>-9.9677419354837866</v>
      </c>
      <c r="Q59" s="351">
        <f>N59/K59</f>
        <v>0.96677419354838734</v>
      </c>
      <c r="R59" s="442">
        <f>Q63</f>
        <v>0.96381822407541606</v>
      </c>
      <c r="S59" s="28">
        <v>0.20833333333333334</v>
      </c>
      <c r="T59" s="28">
        <v>0.25138888888888888</v>
      </c>
      <c r="U59" s="346"/>
      <c r="V59" s="356">
        <f t="shared" ref="V59:V62" si="78">(T59-S59)*24*60</f>
        <v>61.999999999999979</v>
      </c>
      <c r="W59" s="18"/>
      <c r="X59" s="18"/>
      <c r="Y59" s="443"/>
      <c r="Z59" s="443"/>
      <c r="AA59" s="12">
        <f t="shared" si="2"/>
        <v>-99.677419354837639</v>
      </c>
      <c r="AB59" s="351">
        <f t="shared" si="56"/>
        <v>0.96677419354838745</v>
      </c>
      <c r="AC59" s="442">
        <f>AB63</f>
        <v>0.96381822407541617</v>
      </c>
    </row>
    <row r="60" spans="1:32" ht="15.75" customHeight="1">
      <c r="A60" s="449" t="s">
        <v>1683</v>
      </c>
      <c r="B60" s="357" t="s">
        <v>79</v>
      </c>
      <c r="C60" s="441" t="s">
        <v>97</v>
      </c>
      <c r="D60" s="441"/>
      <c r="E60" s="31">
        <v>35.119999999999997</v>
      </c>
      <c r="F60" s="35">
        <v>1228</v>
      </c>
      <c r="G60" s="346">
        <f t="shared" si="73"/>
        <v>43127.359999999993</v>
      </c>
      <c r="H60" s="359" t="s">
        <v>103</v>
      </c>
      <c r="I60" s="355">
        <v>13</v>
      </c>
      <c r="J60" s="26">
        <v>2000</v>
      </c>
      <c r="K60" s="10">
        <f t="shared" si="74"/>
        <v>153.84615384615384</v>
      </c>
      <c r="L60" s="19">
        <v>13</v>
      </c>
      <c r="M60" s="11">
        <f t="shared" si="75"/>
        <v>1938.9473684210511</v>
      </c>
      <c r="N60" s="10">
        <f t="shared" ref="N60:N62" si="79">M60/L60</f>
        <v>149.1497975708501</v>
      </c>
      <c r="O60" s="12">
        <f t="shared" si="76"/>
        <v>0</v>
      </c>
      <c r="P60" s="13">
        <f t="shared" si="77"/>
        <v>-4.6963562753037422</v>
      </c>
      <c r="Q60" s="351">
        <f t="shared" ref="Q60:Q62" si="80">N60/K60</f>
        <v>0.96947368421052571</v>
      </c>
      <c r="R60" s="442"/>
      <c r="S60" s="28">
        <v>0.25486111111111109</v>
      </c>
      <c r="T60" s="28">
        <v>0.28125</v>
      </c>
      <c r="U60" s="346">
        <f>(S60-T59)*24*60</f>
        <v>4.9999999999999822</v>
      </c>
      <c r="V60" s="356">
        <f t="shared" si="78"/>
        <v>38.000000000000028</v>
      </c>
      <c r="W60" s="346"/>
      <c r="X60" s="346"/>
      <c r="Y60" s="443"/>
      <c r="Z60" s="443"/>
      <c r="AA60" s="12">
        <f t="shared" si="2"/>
        <v>-61.052631578948876</v>
      </c>
      <c r="AB60" s="351">
        <f t="shared" si="56"/>
        <v>0.9694736842105256</v>
      </c>
      <c r="AC60" s="442"/>
    </row>
    <row r="61" spans="1:32" ht="15.75" customHeight="1">
      <c r="A61" s="449" t="s">
        <v>1684</v>
      </c>
      <c r="B61" s="357" t="s">
        <v>79</v>
      </c>
      <c r="C61" s="441" t="s">
        <v>98</v>
      </c>
      <c r="D61" s="441"/>
      <c r="E61" s="31">
        <v>35.869999999999997</v>
      </c>
      <c r="F61" s="35">
        <v>2452</v>
      </c>
      <c r="G61" s="346">
        <f t="shared" si="73"/>
        <v>87953.239999999991</v>
      </c>
      <c r="H61" s="359" t="s">
        <v>103</v>
      </c>
      <c r="I61" s="355">
        <v>10</v>
      </c>
      <c r="J61" s="26">
        <v>3000</v>
      </c>
      <c r="K61" s="10">
        <f t="shared" si="74"/>
        <v>300</v>
      </c>
      <c r="L61" s="19">
        <v>10</v>
      </c>
      <c r="M61" s="11">
        <f t="shared" si="75"/>
        <v>2884.7058823529424</v>
      </c>
      <c r="N61" s="10">
        <f t="shared" si="79"/>
        <v>288.47058823529426</v>
      </c>
      <c r="O61" s="12">
        <f t="shared" si="76"/>
        <v>0</v>
      </c>
      <c r="P61" s="13">
        <f t="shared" si="77"/>
        <v>-11.529411764705742</v>
      </c>
      <c r="Q61" s="351">
        <f t="shared" si="80"/>
        <v>0.96156862745098082</v>
      </c>
      <c r="R61" s="442"/>
      <c r="S61" s="28">
        <v>0.28680555555555554</v>
      </c>
      <c r="T61" s="28">
        <v>0.32222222222222219</v>
      </c>
      <c r="U61" s="346">
        <f t="shared" ref="U61:U62" si="81">(S61-T60)*24*60</f>
        <v>7.9999999999999716</v>
      </c>
      <c r="V61" s="356">
        <f t="shared" si="78"/>
        <v>50.999999999999979</v>
      </c>
      <c r="W61" s="16"/>
      <c r="X61" s="16"/>
      <c r="Y61" s="443"/>
      <c r="Z61" s="443"/>
      <c r="AA61" s="12">
        <f t="shared" si="2"/>
        <v>-115.29411764705765</v>
      </c>
      <c r="AB61" s="351">
        <f t="shared" si="56"/>
        <v>0.96156862745098082</v>
      </c>
      <c r="AC61" s="442"/>
    </row>
    <row r="62" spans="1:32" ht="15.75" customHeight="1">
      <c r="A62" s="449" t="s">
        <v>1685</v>
      </c>
      <c r="B62" s="357" t="s">
        <v>53</v>
      </c>
      <c r="C62" s="441" t="s">
        <v>96</v>
      </c>
      <c r="D62" s="441"/>
      <c r="E62" s="31">
        <v>26.97</v>
      </c>
      <c r="F62" s="35">
        <v>3533</v>
      </c>
      <c r="G62" s="346">
        <f t="shared" si="73"/>
        <v>95285.01</v>
      </c>
      <c r="H62" s="359" t="s">
        <v>103</v>
      </c>
      <c r="I62" s="355">
        <v>8</v>
      </c>
      <c r="J62" s="26">
        <v>1500</v>
      </c>
      <c r="K62" s="10">
        <f t="shared" si="74"/>
        <v>187.5</v>
      </c>
      <c r="L62" s="19">
        <v>8</v>
      </c>
      <c r="M62" s="11">
        <f t="shared" si="75"/>
        <v>1432.2972972972971</v>
      </c>
      <c r="N62" s="10">
        <f t="shared" si="79"/>
        <v>179.03716216216213</v>
      </c>
      <c r="O62" s="12">
        <f t="shared" si="76"/>
        <v>0</v>
      </c>
      <c r="P62" s="13">
        <f t="shared" si="77"/>
        <v>-8.462837837837867</v>
      </c>
      <c r="Q62" s="351">
        <f t="shared" si="80"/>
        <v>0.95486486486486466</v>
      </c>
      <c r="R62" s="442"/>
      <c r="S62" s="28">
        <v>0.32708333333333328</v>
      </c>
      <c r="T62" s="28">
        <v>0.42986111111111108</v>
      </c>
      <c r="U62" s="346">
        <f t="shared" si="81"/>
        <v>6.9999999999999751</v>
      </c>
      <c r="V62" s="356">
        <f t="shared" si="78"/>
        <v>148.00000000000003</v>
      </c>
      <c r="W62" s="346"/>
      <c r="X62" s="346"/>
      <c r="Y62" s="443"/>
      <c r="Z62" s="443"/>
      <c r="AA62" s="12">
        <f t="shared" si="2"/>
        <v>-67.702702702702936</v>
      </c>
      <c r="AB62" s="351">
        <f t="shared" si="56"/>
        <v>0.95486486486486466</v>
      </c>
      <c r="AC62" s="442"/>
    </row>
    <row r="63" spans="1:32">
      <c r="A63" s="450" t="s">
        <v>1684</v>
      </c>
      <c r="B63" s="31" t="s">
        <v>1670</v>
      </c>
      <c r="C63" s="446"/>
      <c r="D63" s="446"/>
      <c r="E63" s="345"/>
      <c r="F63" s="33"/>
      <c r="G63" s="10"/>
      <c r="H63" s="357"/>
      <c r="I63" s="19">
        <v>10.25</v>
      </c>
      <c r="J63" s="26">
        <v>2375</v>
      </c>
      <c r="K63" s="10">
        <f>J63/I63</f>
        <v>231.70731707317074</v>
      </c>
      <c r="L63" s="19">
        <v>10.25</v>
      </c>
      <c r="M63" s="11">
        <f>AVERAGE(M59:M62)</f>
        <v>2289.0682821791133</v>
      </c>
      <c r="N63" s="10">
        <f>M63/L63</f>
        <v>223.32373484674275</v>
      </c>
      <c r="O63" s="12">
        <f>L63-I63</f>
        <v>0</v>
      </c>
      <c r="P63" s="13">
        <f>N63-K63</f>
        <v>-8.3835822264279898</v>
      </c>
      <c r="Q63" s="351">
        <f>N63/K63</f>
        <v>0.96381822407541606</v>
      </c>
      <c r="R63" s="442"/>
      <c r="S63" s="28"/>
      <c r="T63" s="28"/>
      <c r="U63" s="10"/>
      <c r="V63" s="356"/>
      <c r="W63" s="10"/>
      <c r="X63" s="10"/>
      <c r="Y63" s="443"/>
      <c r="Z63" s="443"/>
      <c r="AA63" s="12">
        <f t="shared" si="2"/>
        <v>-85.931717820886661</v>
      </c>
      <c r="AB63" s="351">
        <f t="shared" si="56"/>
        <v>0.96381822407541617</v>
      </c>
      <c r="AC63" s="442"/>
    </row>
    <row r="64" spans="1:32" ht="15.75" customHeight="1">
      <c r="A64" s="439" t="s">
        <v>169</v>
      </c>
      <c r="B64" s="357" t="s">
        <v>67</v>
      </c>
      <c r="C64" s="441" t="s">
        <v>99</v>
      </c>
      <c r="D64" s="441"/>
      <c r="E64" s="31">
        <v>20.2</v>
      </c>
      <c r="F64" s="357">
        <v>2873</v>
      </c>
      <c r="G64" s="346">
        <f t="shared" ref="G64:G73" si="82">E64*F64</f>
        <v>58034.6</v>
      </c>
      <c r="H64" s="359" t="s">
        <v>103</v>
      </c>
      <c r="I64" s="355">
        <v>19</v>
      </c>
      <c r="J64" s="26">
        <v>2400</v>
      </c>
      <c r="K64" s="10">
        <f t="shared" ref="K64:K66" si="83">J64/I64</f>
        <v>126.31578947368421</v>
      </c>
      <c r="L64" s="19">
        <v>19</v>
      </c>
      <c r="M64" s="11">
        <f>F64/V64*60</f>
        <v>2298.4</v>
      </c>
      <c r="N64" s="10">
        <f t="shared" ref="N64:N73" si="84">M64/L64</f>
        <v>120.96842105263158</v>
      </c>
      <c r="O64" s="12">
        <f t="shared" ref="O64:O73" si="85">L64-I64</f>
        <v>0</v>
      </c>
      <c r="P64" s="13">
        <f t="shared" ref="P64:P73" si="86">N64-K64</f>
        <v>-5.3473684210526216</v>
      </c>
      <c r="Q64" s="351">
        <f>N64/K64</f>
        <v>0.95766666666666678</v>
      </c>
      <c r="R64" s="442">
        <f>Q74</f>
        <v>0.9573340577173397</v>
      </c>
      <c r="S64" s="28">
        <v>8.3333333333333329E-2</v>
      </c>
      <c r="T64" s="28">
        <v>0.13541666666666666</v>
      </c>
      <c r="U64" s="18"/>
      <c r="V64" s="356">
        <f t="shared" ref="V64:V73" si="87">(T64-S64)*24*60</f>
        <v>75</v>
      </c>
      <c r="W64" s="16">
        <f>T64</f>
        <v>0.13541666666666666</v>
      </c>
      <c r="X64" s="16">
        <f>S65</f>
        <v>0.15486111111111112</v>
      </c>
      <c r="Y64" s="443"/>
      <c r="Z64" s="443"/>
      <c r="AA64" s="12">
        <f t="shared" si="2"/>
        <v>-101.59999999999991</v>
      </c>
      <c r="AB64" s="351">
        <f>M64/J64</f>
        <v>0.95766666666666667</v>
      </c>
      <c r="AC64" s="442">
        <f>AB74</f>
        <v>0.95733405771733981</v>
      </c>
    </row>
    <row r="65" spans="1:29" ht="15.75" customHeight="1">
      <c r="A65" s="439" t="s">
        <v>1686</v>
      </c>
      <c r="B65" s="357" t="s">
        <v>67</v>
      </c>
      <c r="C65" s="441" t="s">
        <v>100</v>
      </c>
      <c r="D65" s="441"/>
      <c r="E65" s="31">
        <v>19.02</v>
      </c>
      <c r="F65" s="357">
        <v>6200</v>
      </c>
      <c r="G65" s="346">
        <f t="shared" si="82"/>
        <v>117924</v>
      </c>
      <c r="H65" s="359">
        <v>2</v>
      </c>
      <c r="I65" s="355">
        <v>15</v>
      </c>
      <c r="J65" s="26">
        <v>2400</v>
      </c>
      <c r="K65" s="10">
        <f t="shared" si="83"/>
        <v>160</v>
      </c>
      <c r="L65" s="19">
        <v>15</v>
      </c>
      <c r="M65" s="11">
        <f t="shared" ref="M65:M73" si="88">F65/V65*60</f>
        <v>2296.296296296297</v>
      </c>
      <c r="N65" s="10">
        <f t="shared" si="84"/>
        <v>153.08641975308646</v>
      </c>
      <c r="O65" s="12">
        <f t="shared" si="85"/>
        <v>0</v>
      </c>
      <c r="P65" s="13">
        <f t="shared" si="86"/>
        <v>-6.9135802469135399</v>
      </c>
      <c r="Q65" s="351">
        <f t="shared" ref="Q65:Q74" si="89">N65/K65</f>
        <v>0.95679012345679038</v>
      </c>
      <c r="R65" s="442"/>
      <c r="S65" s="28">
        <v>0.15486111111111112</v>
      </c>
      <c r="T65" s="28">
        <v>0.2673611111111111</v>
      </c>
      <c r="U65" s="346">
        <f>(S65-T64)*24*60</f>
        <v>28.000000000000021</v>
      </c>
      <c r="V65" s="356">
        <f t="shared" si="87"/>
        <v>161.99999999999997</v>
      </c>
      <c r="W65" s="16"/>
      <c r="X65" s="16"/>
      <c r="Y65" s="443"/>
      <c r="Z65" s="443"/>
      <c r="AA65" s="12">
        <f t="shared" si="2"/>
        <v>-103.70370370370301</v>
      </c>
      <c r="AB65" s="351">
        <f t="shared" ref="AB65:AB74" si="90">M65/J65</f>
        <v>0.95679012345679038</v>
      </c>
      <c r="AC65" s="442"/>
    </row>
    <row r="66" spans="1:29" ht="15.75" customHeight="1">
      <c r="A66" s="439" t="s">
        <v>1686</v>
      </c>
      <c r="B66" s="357" t="s">
        <v>67</v>
      </c>
      <c r="C66" s="441" t="s">
        <v>70</v>
      </c>
      <c r="D66" s="441"/>
      <c r="E66" s="31">
        <v>24.25</v>
      </c>
      <c r="F66" s="357">
        <v>3738</v>
      </c>
      <c r="G66" s="346">
        <f t="shared" si="82"/>
        <v>90646.5</v>
      </c>
      <c r="H66" s="359" t="s">
        <v>103</v>
      </c>
      <c r="I66" s="355">
        <v>18</v>
      </c>
      <c r="J66" s="26">
        <v>2400</v>
      </c>
      <c r="K66" s="10">
        <f t="shared" si="83"/>
        <v>133.33333333333334</v>
      </c>
      <c r="L66" s="19">
        <v>18</v>
      </c>
      <c r="M66" s="11">
        <f t="shared" si="88"/>
        <v>2288.5714285714294</v>
      </c>
      <c r="N66" s="10">
        <f t="shared" si="84"/>
        <v>127.14285714285718</v>
      </c>
      <c r="O66" s="12">
        <f t="shared" si="85"/>
        <v>0</v>
      </c>
      <c r="P66" s="13">
        <f t="shared" si="86"/>
        <v>-6.1904761904761614</v>
      </c>
      <c r="Q66" s="351">
        <f t="shared" si="89"/>
        <v>0.95357142857142885</v>
      </c>
      <c r="R66" s="442"/>
      <c r="S66" s="28">
        <v>0.27291666666666664</v>
      </c>
      <c r="T66" s="28">
        <v>0.34097222222222218</v>
      </c>
      <c r="U66" s="346">
        <f t="shared" ref="U66:U73" si="91">(S66-T65)*24*60</f>
        <v>7.9999999999999716</v>
      </c>
      <c r="V66" s="356">
        <f t="shared" si="87"/>
        <v>97.999999999999972</v>
      </c>
      <c r="W66" s="16"/>
      <c r="X66" s="16"/>
      <c r="Y66" s="443"/>
      <c r="Z66" s="443"/>
      <c r="AA66" s="12">
        <f t="shared" si="2"/>
        <v>-111.42857142857065</v>
      </c>
      <c r="AB66" s="351">
        <f t="shared" si="90"/>
        <v>0.95357142857142885</v>
      </c>
      <c r="AC66" s="442"/>
    </row>
    <row r="67" spans="1:29" ht="15.75" customHeight="1">
      <c r="A67" s="439" t="s">
        <v>1686</v>
      </c>
      <c r="B67" s="357" t="s">
        <v>67</v>
      </c>
      <c r="C67" s="441" t="s">
        <v>102</v>
      </c>
      <c r="D67" s="441"/>
      <c r="E67" s="31">
        <v>20.52</v>
      </c>
      <c r="F67" s="357">
        <v>3200</v>
      </c>
      <c r="G67" s="346">
        <f t="shared" si="82"/>
        <v>65664</v>
      </c>
      <c r="H67" s="359">
        <v>2</v>
      </c>
      <c r="I67" s="355">
        <v>18</v>
      </c>
      <c r="J67" s="26">
        <v>2400</v>
      </c>
      <c r="K67" s="10">
        <f>J67/I67</f>
        <v>133.33333333333334</v>
      </c>
      <c r="L67" s="19">
        <v>18</v>
      </c>
      <c r="M67" s="11">
        <f t="shared" si="88"/>
        <v>2285.7142857142849</v>
      </c>
      <c r="N67" s="10">
        <f t="shared" si="84"/>
        <v>126.98412698412693</v>
      </c>
      <c r="O67" s="12">
        <f t="shared" si="85"/>
        <v>0</v>
      </c>
      <c r="P67" s="13">
        <f t="shared" si="86"/>
        <v>-6.3492063492064119</v>
      </c>
      <c r="Q67" s="351">
        <f t="shared" si="89"/>
        <v>0.95238095238095188</v>
      </c>
      <c r="R67" s="442"/>
      <c r="S67" s="28">
        <v>0.34513888888888883</v>
      </c>
      <c r="T67" s="28">
        <v>0.40347222222222218</v>
      </c>
      <c r="U67" s="346">
        <f t="shared" si="91"/>
        <v>5.9999999999999787</v>
      </c>
      <c r="V67" s="356">
        <f t="shared" si="87"/>
        <v>84.000000000000028</v>
      </c>
      <c r="W67" s="16"/>
      <c r="X67" s="16"/>
      <c r="Y67" s="443"/>
      <c r="Z67" s="443"/>
      <c r="AA67" s="12">
        <f t="shared" si="2"/>
        <v>-114.28571428571513</v>
      </c>
      <c r="AB67" s="351">
        <f t="shared" si="90"/>
        <v>0.952380952380952</v>
      </c>
      <c r="AC67" s="442"/>
    </row>
    <row r="68" spans="1:29" ht="15.75" customHeight="1">
      <c r="A68" s="439" t="s">
        <v>1686</v>
      </c>
      <c r="B68" s="357" t="s">
        <v>67</v>
      </c>
      <c r="C68" s="441" t="s">
        <v>1161</v>
      </c>
      <c r="D68" s="441"/>
      <c r="E68" s="31">
        <v>24.25</v>
      </c>
      <c r="F68" s="357">
        <v>2600</v>
      </c>
      <c r="G68" s="346">
        <f t="shared" si="82"/>
        <v>63050</v>
      </c>
      <c r="H68" s="359">
        <v>2</v>
      </c>
      <c r="I68" s="355">
        <v>17</v>
      </c>
      <c r="J68" s="26">
        <v>2400</v>
      </c>
      <c r="K68" s="10">
        <f t="shared" ref="K68:K74" si="92">J68/I68</f>
        <v>141.1764705882353</v>
      </c>
      <c r="L68" s="19">
        <v>17</v>
      </c>
      <c r="M68" s="11">
        <f t="shared" si="88"/>
        <v>2294.1176470588234</v>
      </c>
      <c r="N68" s="10">
        <f t="shared" si="84"/>
        <v>134.94809688581313</v>
      </c>
      <c r="O68" s="12">
        <f t="shared" si="85"/>
        <v>0</v>
      </c>
      <c r="P68" s="13">
        <f t="shared" si="86"/>
        <v>-6.228373702422175</v>
      </c>
      <c r="Q68" s="351">
        <f t="shared" si="89"/>
        <v>0.95588235294117629</v>
      </c>
      <c r="R68" s="442"/>
      <c r="S68" s="28">
        <v>0.40694444444444439</v>
      </c>
      <c r="T68" s="28">
        <v>0.45416666666666661</v>
      </c>
      <c r="U68" s="346">
        <f t="shared" si="91"/>
        <v>4.9999999999999822</v>
      </c>
      <c r="V68" s="356">
        <f t="shared" si="87"/>
        <v>68</v>
      </c>
      <c r="W68" s="16"/>
      <c r="X68" s="16"/>
      <c r="Y68" s="443"/>
      <c r="Z68" s="443"/>
      <c r="AA68" s="12">
        <f t="shared" si="2"/>
        <v>-105.88235294117658</v>
      </c>
      <c r="AB68" s="351">
        <f t="shared" si="90"/>
        <v>0.95588235294117641</v>
      </c>
      <c r="AC68" s="442"/>
    </row>
    <row r="69" spans="1:29" ht="15.75" customHeight="1">
      <c r="A69" s="439" t="s">
        <v>1686</v>
      </c>
      <c r="B69" s="357" t="s">
        <v>67</v>
      </c>
      <c r="C69" s="441" t="s">
        <v>71</v>
      </c>
      <c r="D69" s="441"/>
      <c r="E69" s="31">
        <v>22.35</v>
      </c>
      <c r="F69" s="357">
        <v>1300</v>
      </c>
      <c r="G69" s="346">
        <f t="shared" si="82"/>
        <v>29055.000000000004</v>
      </c>
      <c r="H69" s="359" t="s">
        <v>103</v>
      </c>
      <c r="I69" s="355">
        <v>16</v>
      </c>
      <c r="J69" s="26">
        <v>2400</v>
      </c>
      <c r="K69" s="10">
        <f t="shared" si="92"/>
        <v>150</v>
      </c>
      <c r="L69" s="19">
        <v>16</v>
      </c>
      <c r="M69" s="11">
        <f t="shared" si="88"/>
        <v>2294.1176470588207</v>
      </c>
      <c r="N69" s="10">
        <f t="shared" si="84"/>
        <v>143.38235294117629</v>
      </c>
      <c r="O69" s="12">
        <f t="shared" si="85"/>
        <v>0</v>
      </c>
      <c r="P69" s="13">
        <f t="shared" si="86"/>
        <v>-6.6176470588237066</v>
      </c>
      <c r="Q69" s="351">
        <f t="shared" si="89"/>
        <v>0.9558823529411753</v>
      </c>
      <c r="R69" s="442"/>
      <c r="S69" s="28">
        <v>0.45972222222222214</v>
      </c>
      <c r="T69" s="28">
        <v>0.48333333333333328</v>
      </c>
      <c r="U69" s="346">
        <f t="shared" si="91"/>
        <v>7.9999999999999716</v>
      </c>
      <c r="V69" s="356">
        <f t="shared" si="87"/>
        <v>34.000000000000043</v>
      </c>
      <c r="W69" s="16"/>
      <c r="X69" s="16"/>
      <c r="Y69" s="443"/>
      <c r="Z69" s="443"/>
      <c r="AA69" s="12">
        <f t="shared" ref="AA69:AA74" si="93">M69-J69</f>
        <v>-105.88235294117931</v>
      </c>
      <c r="AB69" s="351">
        <f t="shared" si="90"/>
        <v>0.9558823529411753</v>
      </c>
      <c r="AC69" s="442"/>
    </row>
    <row r="70" spans="1:29" ht="15.75" customHeight="1">
      <c r="A70" s="439" t="s">
        <v>1686</v>
      </c>
      <c r="B70" s="357" t="s">
        <v>67</v>
      </c>
      <c r="C70" s="444" t="s">
        <v>74</v>
      </c>
      <c r="D70" s="445"/>
      <c r="E70" s="31">
        <v>24.45</v>
      </c>
      <c r="F70" s="357">
        <v>1500</v>
      </c>
      <c r="G70" s="346">
        <f t="shared" si="82"/>
        <v>36675</v>
      </c>
      <c r="H70" s="359" t="s">
        <v>103</v>
      </c>
      <c r="I70" s="355">
        <v>20</v>
      </c>
      <c r="J70" s="26">
        <v>2400</v>
      </c>
      <c r="K70" s="10">
        <f t="shared" si="92"/>
        <v>120</v>
      </c>
      <c r="L70" s="19">
        <v>20</v>
      </c>
      <c r="M70" s="11">
        <f t="shared" si="88"/>
        <v>2307.6923076923063</v>
      </c>
      <c r="N70" s="10">
        <f t="shared" si="84"/>
        <v>115.38461538461532</v>
      </c>
      <c r="O70" s="12">
        <f t="shared" si="85"/>
        <v>0</v>
      </c>
      <c r="P70" s="13">
        <f t="shared" si="86"/>
        <v>-4.6153846153846843</v>
      </c>
      <c r="Q70" s="351">
        <f t="shared" si="89"/>
        <v>0.96153846153846101</v>
      </c>
      <c r="R70" s="442"/>
      <c r="S70" s="28">
        <v>0.48819444444444438</v>
      </c>
      <c r="T70" s="28">
        <v>0.51527777777777772</v>
      </c>
      <c r="U70" s="346">
        <f t="shared" si="91"/>
        <v>6.9999999999999751</v>
      </c>
      <c r="V70" s="356">
        <f t="shared" si="87"/>
        <v>39.000000000000021</v>
      </c>
      <c r="W70" s="16">
        <f>T70</f>
        <v>0.51527777777777772</v>
      </c>
      <c r="X70" s="16">
        <f>S71</f>
        <v>0.55694444444444435</v>
      </c>
      <c r="Y70" s="447"/>
      <c r="Z70" s="448"/>
      <c r="AA70" s="12">
        <f t="shared" si="93"/>
        <v>-92.307692307693742</v>
      </c>
      <c r="AB70" s="351">
        <f t="shared" si="90"/>
        <v>0.9615384615384609</v>
      </c>
      <c r="AC70" s="442"/>
    </row>
    <row r="71" spans="1:29" ht="15.75" customHeight="1">
      <c r="A71" s="439" t="s">
        <v>1686</v>
      </c>
      <c r="B71" s="357" t="s">
        <v>67</v>
      </c>
      <c r="C71" s="444" t="s">
        <v>100</v>
      </c>
      <c r="D71" s="445"/>
      <c r="E71" s="31">
        <v>19.02</v>
      </c>
      <c r="F71" s="357">
        <v>5041</v>
      </c>
      <c r="G71" s="346">
        <f t="shared" si="82"/>
        <v>95879.819999999992</v>
      </c>
      <c r="H71" s="359" t="s">
        <v>103</v>
      </c>
      <c r="I71" s="355">
        <v>15</v>
      </c>
      <c r="J71" s="26">
        <v>2400</v>
      </c>
      <c r="K71" s="10">
        <f t="shared" si="92"/>
        <v>160</v>
      </c>
      <c r="L71" s="19">
        <v>15</v>
      </c>
      <c r="M71" s="11">
        <f t="shared" si="88"/>
        <v>2291.363636363636</v>
      </c>
      <c r="N71" s="10">
        <f t="shared" si="84"/>
        <v>152.75757575757572</v>
      </c>
      <c r="O71" s="12">
        <f t="shared" si="85"/>
        <v>0</v>
      </c>
      <c r="P71" s="13">
        <f t="shared" si="86"/>
        <v>-7.2424242424242777</v>
      </c>
      <c r="Q71" s="351">
        <f t="shared" si="89"/>
        <v>0.95473484848484824</v>
      </c>
      <c r="R71" s="442"/>
      <c r="S71" s="28">
        <v>0.55694444444444435</v>
      </c>
      <c r="T71" s="28">
        <v>0.64861111111111103</v>
      </c>
      <c r="U71" s="346">
        <f t="shared" si="91"/>
        <v>59.999999999999943</v>
      </c>
      <c r="V71" s="356">
        <f t="shared" si="87"/>
        <v>132</v>
      </c>
      <c r="W71" s="16"/>
      <c r="X71" s="16"/>
      <c r="Y71" s="447"/>
      <c r="Z71" s="448"/>
      <c r="AA71" s="12">
        <f t="shared" si="93"/>
        <v>-108.63636363636397</v>
      </c>
      <c r="AB71" s="351">
        <f t="shared" si="90"/>
        <v>0.95473484848484835</v>
      </c>
      <c r="AC71" s="442"/>
    </row>
    <row r="72" spans="1:29" ht="15.75" customHeight="1">
      <c r="A72" s="439" t="s">
        <v>1686</v>
      </c>
      <c r="B72" s="357" t="s">
        <v>67</v>
      </c>
      <c r="C72" s="444" t="s">
        <v>102</v>
      </c>
      <c r="D72" s="445"/>
      <c r="E72" s="31">
        <v>20.52</v>
      </c>
      <c r="F72" s="357">
        <v>2584</v>
      </c>
      <c r="G72" s="346">
        <f t="shared" si="82"/>
        <v>53023.68</v>
      </c>
      <c r="H72" s="359" t="s">
        <v>103</v>
      </c>
      <c r="I72" s="355">
        <v>18</v>
      </c>
      <c r="J72" s="26">
        <v>2400</v>
      </c>
      <c r="K72" s="10">
        <f t="shared" si="92"/>
        <v>133.33333333333334</v>
      </c>
      <c r="L72" s="19">
        <v>18</v>
      </c>
      <c r="M72" s="11">
        <f t="shared" si="88"/>
        <v>2314.0298507462712</v>
      </c>
      <c r="N72" s="10">
        <f t="shared" si="84"/>
        <v>128.55721393034841</v>
      </c>
      <c r="O72" s="12">
        <f t="shared" si="85"/>
        <v>0</v>
      </c>
      <c r="P72" s="13">
        <f t="shared" si="86"/>
        <v>-4.7761194029849321</v>
      </c>
      <c r="Q72" s="351">
        <f t="shared" si="89"/>
        <v>0.96417910447761301</v>
      </c>
      <c r="R72" s="442"/>
      <c r="S72" s="28">
        <v>0.65416666666666656</v>
      </c>
      <c r="T72" s="28">
        <v>0.70069444444444429</v>
      </c>
      <c r="U72" s="346">
        <f t="shared" si="91"/>
        <v>7.9999999999999716</v>
      </c>
      <c r="V72" s="356">
        <f t="shared" si="87"/>
        <v>66.999999999999915</v>
      </c>
      <c r="W72" s="16"/>
      <c r="X72" s="16"/>
      <c r="Y72" s="447"/>
      <c r="Z72" s="448"/>
      <c r="AA72" s="12">
        <f t="shared" si="93"/>
        <v>-85.970149253728778</v>
      </c>
      <c r="AB72" s="351">
        <f t="shared" si="90"/>
        <v>0.96417910447761301</v>
      </c>
      <c r="AC72" s="442"/>
    </row>
    <row r="73" spans="1:29" ht="15.75" customHeight="1">
      <c r="A73" s="439" t="s">
        <v>1686</v>
      </c>
      <c r="B73" s="357" t="s">
        <v>67</v>
      </c>
      <c r="C73" s="444" t="s">
        <v>1161</v>
      </c>
      <c r="D73" s="445"/>
      <c r="E73" s="31">
        <v>24.25</v>
      </c>
      <c r="F73" s="357">
        <v>1883</v>
      </c>
      <c r="G73" s="346">
        <f t="shared" si="82"/>
        <v>45662.75</v>
      </c>
      <c r="H73" s="359" t="s">
        <v>103</v>
      </c>
      <c r="I73" s="355">
        <v>17</v>
      </c>
      <c r="J73" s="26">
        <v>2400</v>
      </c>
      <c r="K73" s="10">
        <f t="shared" si="92"/>
        <v>141.1764705882353</v>
      </c>
      <c r="L73" s="19">
        <v>17</v>
      </c>
      <c r="M73" s="11">
        <f t="shared" si="88"/>
        <v>2305.7142857142862</v>
      </c>
      <c r="N73" s="10">
        <f t="shared" si="84"/>
        <v>135.63025210084038</v>
      </c>
      <c r="O73" s="12">
        <f t="shared" si="85"/>
        <v>0</v>
      </c>
      <c r="P73" s="13">
        <f t="shared" si="86"/>
        <v>-5.5462184873949241</v>
      </c>
      <c r="Q73" s="351">
        <f t="shared" si="89"/>
        <v>0.96071428571428596</v>
      </c>
      <c r="R73" s="442"/>
      <c r="S73" s="28">
        <v>0.70624999999999982</v>
      </c>
      <c r="T73" s="28">
        <v>0.74027777777777759</v>
      </c>
      <c r="U73" s="346">
        <f t="shared" si="91"/>
        <v>7.9999999999999716</v>
      </c>
      <c r="V73" s="356">
        <f t="shared" si="87"/>
        <v>48.999999999999986</v>
      </c>
      <c r="W73" s="16"/>
      <c r="X73" s="16"/>
      <c r="Y73" s="447"/>
      <c r="Z73" s="448"/>
      <c r="AA73" s="12">
        <f t="shared" si="93"/>
        <v>-94.285714285713766</v>
      </c>
      <c r="AB73" s="351">
        <f t="shared" si="90"/>
        <v>0.96071428571428596</v>
      </c>
      <c r="AC73" s="442"/>
    </row>
    <row r="74" spans="1:29" ht="16.5" customHeight="1">
      <c r="A74" s="440" t="s">
        <v>1686</v>
      </c>
      <c r="B74" s="31" t="s">
        <v>1678</v>
      </c>
      <c r="C74" s="446"/>
      <c r="D74" s="446"/>
      <c r="E74" s="345"/>
      <c r="F74" s="33"/>
      <c r="G74" s="10"/>
      <c r="H74" s="357"/>
      <c r="I74" s="19">
        <v>17.3</v>
      </c>
      <c r="J74" s="26">
        <v>2400</v>
      </c>
      <c r="K74" s="10">
        <f t="shared" si="92"/>
        <v>138.72832369942196</v>
      </c>
      <c r="L74" s="19">
        <v>17.3</v>
      </c>
      <c r="M74" s="11">
        <f>AVERAGE(M64:M73)</f>
        <v>2297.6017385216155</v>
      </c>
      <c r="N74" s="10">
        <f>M74/L74</f>
        <v>132.80934904749222</v>
      </c>
      <c r="O74" s="12">
        <f>L74-I74</f>
        <v>0</v>
      </c>
      <c r="P74" s="13">
        <f>N74-K74</f>
        <v>-5.9189746519297444</v>
      </c>
      <c r="Q74" s="351">
        <f t="shared" si="89"/>
        <v>0.9573340577173397</v>
      </c>
      <c r="R74" s="442"/>
      <c r="S74" s="28"/>
      <c r="T74" s="28"/>
      <c r="U74" s="10"/>
      <c r="V74" s="356"/>
      <c r="W74" s="10"/>
      <c r="X74" s="10"/>
      <c r="Y74" s="443"/>
      <c r="Z74" s="443"/>
      <c r="AA74" s="12">
        <f t="shared" si="93"/>
        <v>-102.39826147838448</v>
      </c>
      <c r="AB74" s="351">
        <f t="shared" si="90"/>
        <v>0.95733405771733981</v>
      </c>
      <c r="AC74" s="442"/>
    </row>
    <row r="75" spans="1:29">
      <c r="D75" s="22"/>
      <c r="E75" s="22"/>
    </row>
  </sheetData>
  <mergeCells count="196">
    <mergeCell ref="AC64:AC74"/>
    <mergeCell ref="C65:D65"/>
    <mergeCell ref="Y65:Z65"/>
    <mergeCell ref="C66:D66"/>
    <mergeCell ref="Y66:Z66"/>
    <mergeCell ref="C67:D67"/>
    <mergeCell ref="Y67:Z67"/>
    <mergeCell ref="C68:D68"/>
    <mergeCell ref="Y68:Z68"/>
    <mergeCell ref="C69:D69"/>
    <mergeCell ref="A64:A74"/>
    <mergeCell ref="C64:D64"/>
    <mergeCell ref="R64:R74"/>
    <mergeCell ref="Y64:Z64"/>
    <mergeCell ref="Y69:Z69"/>
    <mergeCell ref="C70:D70"/>
    <mergeCell ref="Y70:Z70"/>
    <mergeCell ref="A59:A63"/>
    <mergeCell ref="C59:D59"/>
    <mergeCell ref="R59:R63"/>
    <mergeCell ref="Y59:Z59"/>
    <mergeCell ref="C74:D74"/>
    <mergeCell ref="Y74:Z74"/>
    <mergeCell ref="C71:D71"/>
    <mergeCell ref="Y71:Z71"/>
    <mergeCell ref="C72:D72"/>
    <mergeCell ref="Y72:Z72"/>
    <mergeCell ref="C73:D73"/>
    <mergeCell ref="Y73:Z73"/>
    <mergeCell ref="AC59:AC63"/>
    <mergeCell ref="C60:D60"/>
    <mergeCell ref="Y60:Z60"/>
    <mergeCell ref="C61:D61"/>
    <mergeCell ref="Y61:Z61"/>
    <mergeCell ref="C62:D62"/>
    <mergeCell ref="AC52:AC58"/>
    <mergeCell ref="C53:D53"/>
    <mergeCell ref="Y53:Z53"/>
    <mergeCell ref="C54:D54"/>
    <mergeCell ref="C57:D57"/>
    <mergeCell ref="Y57:Z57"/>
    <mergeCell ref="C58:D58"/>
    <mergeCell ref="Y58:Z58"/>
    <mergeCell ref="Y62:Z62"/>
    <mergeCell ref="C63:D63"/>
    <mergeCell ref="Y63:Z63"/>
    <mergeCell ref="AC45:AC51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45:A51"/>
    <mergeCell ref="C45:D45"/>
    <mergeCell ref="R45:R51"/>
    <mergeCell ref="Y45:Z45"/>
    <mergeCell ref="Y50:Z50"/>
    <mergeCell ref="C51:D51"/>
    <mergeCell ref="Y51:Z51"/>
    <mergeCell ref="A52:A58"/>
    <mergeCell ref="C52:D52"/>
    <mergeCell ref="R52:R58"/>
    <mergeCell ref="Y52:Z52"/>
    <mergeCell ref="A36:A44"/>
    <mergeCell ref="C36:D36"/>
    <mergeCell ref="R36:R44"/>
    <mergeCell ref="Y36:Z36"/>
    <mergeCell ref="Y41:Z41"/>
    <mergeCell ref="C42:D42"/>
    <mergeCell ref="A24:A35"/>
    <mergeCell ref="C24:D24"/>
    <mergeCell ref="AC36:AC44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2:Z42"/>
    <mergeCell ref="C43:D43"/>
    <mergeCell ref="Y43:Z43"/>
    <mergeCell ref="C44:D44"/>
    <mergeCell ref="Y44:Z44"/>
    <mergeCell ref="C32:D32"/>
    <mergeCell ref="Y32:Z32"/>
    <mergeCell ref="C33:D33"/>
    <mergeCell ref="Y33:Z33"/>
    <mergeCell ref="Y27:Z27"/>
    <mergeCell ref="C28:D28"/>
    <mergeCell ref="Y28:Z28"/>
    <mergeCell ref="C29:D29"/>
    <mergeCell ref="Y29:Z29"/>
    <mergeCell ref="C30:D30"/>
    <mergeCell ref="Y30:Z30"/>
    <mergeCell ref="R24:R35"/>
    <mergeCell ref="Y24:Z24"/>
    <mergeCell ref="C34:D34"/>
    <mergeCell ref="Y34:Z34"/>
    <mergeCell ref="C35:D35"/>
    <mergeCell ref="Y35:Z35"/>
    <mergeCell ref="A18:A23"/>
    <mergeCell ref="C18:D18"/>
    <mergeCell ref="R18:R23"/>
    <mergeCell ref="Y18:Z18"/>
    <mergeCell ref="Y23:Z23"/>
    <mergeCell ref="A11:A17"/>
    <mergeCell ref="AC24:AC35"/>
    <mergeCell ref="C25:D25"/>
    <mergeCell ref="Y25:Z25"/>
    <mergeCell ref="C26:D26"/>
    <mergeCell ref="Y26:Z26"/>
    <mergeCell ref="C27:D2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31:D31"/>
    <mergeCell ref="Y31:Z31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C11:D11"/>
    <mergeCell ref="R11:R17"/>
    <mergeCell ref="Y11:Z11"/>
    <mergeCell ref="AC11:AC17"/>
    <mergeCell ref="C12:D12"/>
    <mergeCell ref="Y12:Z12"/>
    <mergeCell ref="C16:D16"/>
    <mergeCell ref="Y16:Z16"/>
    <mergeCell ref="C17:D17"/>
    <mergeCell ref="Y17:Z17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69 O74 O5:O12 O17:O31 O35:O44 O52:O59">
    <cfRule type="cellIs" dxfId="1345" priority="77" operator="greaterThan">
      <formula>0</formula>
    </cfRule>
  </conditionalFormatting>
  <conditionalFormatting sqref="P5:P7 P62 AA62 P64:P69 P24:P31 P59 P9:P12 AA64:AA74 P18:P22 P52:P57 P36:P44 AA5:AA44 AA52:AA59">
    <cfRule type="cellIs" dxfId="1344" priority="81" operator="lessThan">
      <formula>0</formula>
    </cfRule>
  </conditionalFormatting>
  <conditionalFormatting sqref="AB62 Q62:Q69 Q74 Q5:Q12 AB64:AB74 Q17:Q31 Q35:Q44 AB5:AB44 Q52:Q59 AB52:AB59">
    <cfRule type="cellIs" dxfId="1343" priority="78" operator="greaterThan">
      <formula>1</formula>
    </cfRule>
    <cfRule type="cellIs" dxfId="1342" priority="79" operator="lessThan">
      <formula>0.8</formula>
    </cfRule>
  </conditionalFormatting>
  <conditionalFormatting sqref="AC11:AC12 R11:R12 AC62 R62:R69 AC17:AC31 R17:R31 R74 AC5:AC9 R5:R9 AC35:AC44 R35:R44 R52:R59 AC52:AC59">
    <cfRule type="cellIs" dxfId="1341" priority="83" operator="lessThan">
      <formula>0.8</formula>
    </cfRule>
  </conditionalFormatting>
  <conditionalFormatting sqref="AC18:AC22">
    <cfRule type="cellIs" dxfId="1340" priority="82" operator="lessThan">
      <formula>0.8</formula>
    </cfRule>
  </conditionalFormatting>
  <conditionalFormatting sqref="AC24">
    <cfRule type="cellIs" dxfId="1339" priority="84" operator="lessThan">
      <formula>0.8</formula>
    </cfRule>
  </conditionalFormatting>
  <conditionalFormatting sqref="AC36:AC43">
    <cfRule type="cellIs" dxfId="1338" priority="80" operator="lessThan">
      <formula>0.8</formula>
    </cfRule>
  </conditionalFormatting>
  <conditionalFormatting sqref="AA63">
    <cfRule type="cellIs" dxfId="1337" priority="76" operator="lessThan">
      <formula>0</formula>
    </cfRule>
  </conditionalFormatting>
  <conditionalFormatting sqref="AB63">
    <cfRule type="cellIs" dxfId="1336" priority="74" operator="greaterThan">
      <formula>1</formula>
    </cfRule>
    <cfRule type="cellIs" dxfId="1335" priority="75" operator="lessThan">
      <formula>0.8</formula>
    </cfRule>
  </conditionalFormatting>
  <conditionalFormatting sqref="O13:O14">
    <cfRule type="cellIs" dxfId="1334" priority="69" operator="greaterThan">
      <formula>0</formula>
    </cfRule>
  </conditionalFormatting>
  <conditionalFormatting sqref="P13:P14">
    <cfRule type="cellIs" dxfId="1333" priority="72" operator="lessThan">
      <formula>0</formula>
    </cfRule>
  </conditionalFormatting>
  <conditionalFormatting sqref="Q13:Q14">
    <cfRule type="cellIs" dxfId="1332" priority="70" operator="greaterThan">
      <formula>1</formula>
    </cfRule>
    <cfRule type="cellIs" dxfId="1331" priority="71" operator="lessThan">
      <formula>0.8</formula>
    </cfRule>
  </conditionalFormatting>
  <conditionalFormatting sqref="R13:R14 AC13:AC14">
    <cfRule type="cellIs" dxfId="1330" priority="73" operator="lessThan">
      <formula>0.8</formula>
    </cfRule>
  </conditionalFormatting>
  <conditionalFormatting sqref="O61">
    <cfRule type="cellIs" dxfId="1329" priority="64" operator="greaterThan">
      <formula>0</formula>
    </cfRule>
  </conditionalFormatting>
  <conditionalFormatting sqref="P61 AA61">
    <cfRule type="cellIs" dxfId="1328" priority="67" operator="lessThan">
      <formula>0</formula>
    </cfRule>
  </conditionalFormatting>
  <conditionalFormatting sqref="Q61 AB61">
    <cfRule type="cellIs" dxfId="1327" priority="65" operator="greaterThan">
      <formula>1</formula>
    </cfRule>
    <cfRule type="cellIs" dxfId="1326" priority="66" operator="lessThan">
      <formula>0.8</formula>
    </cfRule>
  </conditionalFormatting>
  <conditionalFormatting sqref="R61 AC61">
    <cfRule type="cellIs" dxfId="1325" priority="68" operator="lessThan">
      <formula>0.8</formula>
    </cfRule>
  </conditionalFormatting>
  <conditionalFormatting sqref="O32">
    <cfRule type="cellIs" dxfId="1324" priority="59" operator="greaterThan">
      <formula>0</formula>
    </cfRule>
  </conditionalFormatting>
  <conditionalFormatting sqref="P32">
    <cfRule type="cellIs" dxfId="1323" priority="62" operator="lessThan">
      <formula>0</formula>
    </cfRule>
  </conditionalFormatting>
  <conditionalFormatting sqref="Q32">
    <cfRule type="cellIs" dxfId="1322" priority="60" operator="greaterThan">
      <formula>1</formula>
    </cfRule>
    <cfRule type="cellIs" dxfId="1321" priority="61" operator="lessThan">
      <formula>0.8</formula>
    </cfRule>
  </conditionalFormatting>
  <conditionalFormatting sqref="R32 AC32">
    <cfRule type="cellIs" dxfId="1320" priority="63" operator="lessThan">
      <formula>0.8</formula>
    </cfRule>
  </conditionalFormatting>
  <conditionalFormatting sqref="O70">
    <cfRule type="cellIs" dxfId="1319" priority="54" operator="greaterThan">
      <formula>0</formula>
    </cfRule>
  </conditionalFormatting>
  <conditionalFormatting sqref="P70">
    <cfRule type="cellIs" dxfId="1318" priority="57" operator="lessThan">
      <formula>0</formula>
    </cfRule>
  </conditionalFormatting>
  <conditionalFormatting sqref="Q70">
    <cfRule type="cellIs" dxfId="1317" priority="55" operator="greaterThan">
      <formula>1</formula>
    </cfRule>
    <cfRule type="cellIs" dxfId="1316" priority="56" operator="lessThan">
      <formula>0.8</formula>
    </cfRule>
  </conditionalFormatting>
  <conditionalFormatting sqref="R70">
    <cfRule type="cellIs" dxfId="1315" priority="58" operator="lessThan">
      <formula>0.8</formula>
    </cfRule>
  </conditionalFormatting>
  <conditionalFormatting sqref="O15:O16">
    <cfRule type="cellIs" dxfId="1314" priority="49" operator="greaterThan">
      <formula>0</formula>
    </cfRule>
  </conditionalFormatting>
  <conditionalFormatting sqref="P15:P16">
    <cfRule type="cellIs" dxfId="1313" priority="52" operator="lessThan">
      <formula>0</formula>
    </cfRule>
  </conditionalFormatting>
  <conditionalFormatting sqref="Q15:Q16">
    <cfRule type="cellIs" dxfId="1312" priority="50" operator="greaterThan">
      <formula>1</formula>
    </cfRule>
    <cfRule type="cellIs" dxfId="1311" priority="51" operator="lessThan">
      <formula>0.8</formula>
    </cfRule>
  </conditionalFormatting>
  <conditionalFormatting sqref="R15:R16 AC15:AC16">
    <cfRule type="cellIs" dxfId="1310" priority="53" operator="lessThan">
      <formula>0.8</formula>
    </cfRule>
  </conditionalFormatting>
  <conditionalFormatting sqref="O33">
    <cfRule type="cellIs" dxfId="1309" priority="44" operator="greaterThan">
      <formula>0</formula>
    </cfRule>
  </conditionalFormatting>
  <conditionalFormatting sqref="P33">
    <cfRule type="cellIs" dxfId="1308" priority="47" operator="lessThan">
      <formula>0</formula>
    </cfRule>
  </conditionalFormatting>
  <conditionalFormatting sqref="Q33">
    <cfRule type="cellIs" dxfId="1307" priority="45" operator="greaterThan">
      <formula>1</formula>
    </cfRule>
    <cfRule type="cellIs" dxfId="1306" priority="46" operator="lessThan">
      <formula>0.8</formula>
    </cfRule>
  </conditionalFormatting>
  <conditionalFormatting sqref="R33 AC33">
    <cfRule type="cellIs" dxfId="1305" priority="48" operator="lessThan">
      <formula>0.8</formula>
    </cfRule>
  </conditionalFormatting>
  <conditionalFormatting sqref="O60">
    <cfRule type="cellIs" dxfId="1304" priority="39" operator="greaterThan">
      <formula>0</formula>
    </cfRule>
  </conditionalFormatting>
  <conditionalFormatting sqref="P60 AA60">
    <cfRule type="cellIs" dxfId="1303" priority="42" operator="lessThan">
      <formula>0</formula>
    </cfRule>
  </conditionalFormatting>
  <conditionalFormatting sqref="Q60 AB60">
    <cfRule type="cellIs" dxfId="1302" priority="40" operator="greaterThan">
      <formula>1</formula>
    </cfRule>
    <cfRule type="cellIs" dxfId="1301" priority="41" operator="lessThan">
      <formula>0.8</formula>
    </cfRule>
  </conditionalFormatting>
  <conditionalFormatting sqref="R60 AC60">
    <cfRule type="cellIs" dxfId="1300" priority="43" operator="lessThan">
      <formula>0.8</formula>
    </cfRule>
  </conditionalFormatting>
  <conditionalFormatting sqref="P8">
    <cfRule type="cellIs" dxfId="1299" priority="38" operator="lessThan">
      <formula>0</formula>
    </cfRule>
  </conditionalFormatting>
  <conditionalFormatting sqref="P17">
    <cfRule type="cellIs" dxfId="1298" priority="37" operator="lessThan">
      <formula>0</formula>
    </cfRule>
  </conditionalFormatting>
  <conditionalFormatting sqref="P23">
    <cfRule type="cellIs" dxfId="1297" priority="36" operator="lessThan">
      <formula>0</formula>
    </cfRule>
  </conditionalFormatting>
  <conditionalFormatting sqref="P35">
    <cfRule type="cellIs" dxfId="1296" priority="35" operator="lessThan">
      <formula>0</formula>
    </cfRule>
  </conditionalFormatting>
  <conditionalFormatting sqref="P58">
    <cfRule type="cellIs" dxfId="1295" priority="34" operator="lessThan">
      <formula>0</formula>
    </cfRule>
  </conditionalFormatting>
  <conditionalFormatting sqref="P63">
    <cfRule type="cellIs" dxfId="1294" priority="33" operator="lessThan">
      <formula>0</formula>
    </cfRule>
  </conditionalFormatting>
  <conditionalFormatting sqref="P74">
    <cfRule type="cellIs" dxfId="1293" priority="32" operator="lessThan">
      <formula>0</formula>
    </cfRule>
  </conditionalFormatting>
  <conditionalFormatting sqref="O34">
    <cfRule type="cellIs" dxfId="1292" priority="27" operator="greaterThan">
      <formula>0</formula>
    </cfRule>
  </conditionalFormatting>
  <conditionalFormatting sqref="P34">
    <cfRule type="cellIs" dxfId="1291" priority="30" operator="lessThan">
      <formula>0</formula>
    </cfRule>
  </conditionalFormatting>
  <conditionalFormatting sqref="Q34">
    <cfRule type="cellIs" dxfId="1290" priority="28" operator="greaterThan">
      <formula>1</formula>
    </cfRule>
    <cfRule type="cellIs" dxfId="1289" priority="29" operator="lessThan">
      <formula>0.8</formula>
    </cfRule>
  </conditionalFormatting>
  <conditionalFormatting sqref="R34 AC34">
    <cfRule type="cellIs" dxfId="1288" priority="31" operator="lessThan">
      <formula>0.8</formula>
    </cfRule>
  </conditionalFormatting>
  <conditionalFormatting sqref="O71">
    <cfRule type="cellIs" dxfId="1287" priority="22" operator="greaterThan">
      <formula>0</formula>
    </cfRule>
  </conditionalFormatting>
  <conditionalFormatting sqref="P71">
    <cfRule type="cellIs" dxfId="1286" priority="25" operator="lessThan">
      <formula>0</formula>
    </cfRule>
  </conditionalFormatting>
  <conditionalFormatting sqref="Q71">
    <cfRule type="cellIs" dxfId="1285" priority="23" operator="greaterThan">
      <formula>1</formula>
    </cfRule>
    <cfRule type="cellIs" dxfId="1284" priority="24" operator="lessThan">
      <formula>0.8</formula>
    </cfRule>
  </conditionalFormatting>
  <conditionalFormatting sqref="R71">
    <cfRule type="cellIs" dxfId="1283" priority="26" operator="lessThan">
      <formula>0.8</formula>
    </cfRule>
  </conditionalFormatting>
  <conditionalFormatting sqref="O72">
    <cfRule type="cellIs" dxfId="1282" priority="17" operator="greaterThan">
      <formula>0</formula>
    </cfRule>
  </conditionalFormatting>
  <conditionalFormatting sqref="P72">
    <cfRule type="cellIs" dxfId="1281" priority="20" operator="lessThan">
      <formula>0</formula>
    </cfRule>
  </conditionalFormatting>
  <conditionalFormatting sqref="Q72">
    <cfRule type="cellIs" dxfId="1280" priority="18" operator="greaterThan">
      <formula>1</formula>
    </cfRule>
    <cfRule type="cellIs" dxfId="1279" priority="19" operator="lessThan">
      <formula>0.8</formula>
    </cfRule>
  </conditionalFormatting>
  <conditionalFormatting sqref="R72">
    <cfRule type="cellIs" dxfId="1278" priority="21" operator="lessThan">
      <formula>0.8</formula>
    </cfRule>
  </conditionalFormatting>
  <conditionalFormatting sqref="O73">
    <cfRule type="cellIs" dxfId="1277" priority="12" operator="greaterThan">
      <formula>0</formula>
    </cfRule>
  </conditionalFormatting>
  <conditionalFormatting sqref="P73">
    <cfRule type="cellIs" dxfId="1276" priority="15" operator="lessThan">
      <formula>0</formula>
    </cfRule>
  </conditionalFormatting>
  <conditionalFormatting sqref="Q73">
    <cfRule type="cellIs" dxfId="1275" priority="13" operator="greaterThan">
      <formula>1</formula>
    </cfRule>
    <cfRule type="cellIs" dxfId="1274" priority="14" operator="lessThan">
      <formula>0.8</formula>
    </cfRule>
  </conditionalFormatting>
  <conditionalFormatting sqref="R73">
    <cfRule type="cellIs" dxfId="1273" priority="16" operator="lessThan">
      <formula>0.8</formula>
    </cfRule>
  </conditionalFormatting>
  <conditionalFormatting sqref="O45:O51">
    <cfRule type="cellIs" dxfId="1272" priority="11" operator="greaterThan">
      <formula>0</formula>
    </cfRule>
  </conditionalFormatting>
  <conditionalFormatting sqref="Q45:Q51">
    <cfRule type="cellIs" dxfId="1271" priority="9" operator="greaterThan">
      <formula>1</formula>
    </cfRule>
    <cfRule type="cellIs" dxfId="1270" priority="10" operator="lessThan">
      <formula>0.8</formula>
    </cfRule>
  </conditionalFormatting>
  <conditionalFormatting sqref="R45:R51">
    <cfRule type="cellIs" dxfId="1269" priority="8" operator="lessThan">
      <formula>0.8</formula>
    </cfRule>
  </conditionalFormatting>
  <conditionalFormatting sqref="AA45:AA51">
    <cfRule type="cellIs" dxfId="1268" priority="5" operator="lessThan">
      <formula>0</formula>
    </cfRule>
  </conditionalFormatting>
  <conditionalFormatting sqref="AB45:AB51">
    <cfRule type="cellIs" dxfId="1267" priority="3" operator="greaterThan">
      <formula>1</formula>
    </cfRule>
    <cfRule type="cellIs" dxfId="1266" priority="4" operator="lessThan">
      <formula>0.8</formula>
    </cfRule>
  </conditionalFormatting>
  <conditionalFormatting sqref="AC45:AC51">
    <cfRule type="cellIs" dxfId="1265" priority="6" operator="lessThan">
      <formula>0.8</formula>
    </cfRule>
  </conditionalFormatting>
  <conditionalFormatting sqref="AC45">
    <cfRule type="cellIs" dxfId="1264" priority="7" operator="lessThan">
      <formula>0.8</formula>
    </cfRule>
  </conditionalFormatting>
  <conditionalFormatting sqref="P45:P50">
    <cfRule type="cellIs" dxfId="1263" priority="2" operator="lessThan">
      <formula>0</formula>
    </cfRule>
  </conditionalFormatting>
  <conditionalFormatting sqref="P51">
    <cfRule type="cellIs" dxfId="1262" priority="1" operator="lessThan">
      <formula>0</formula>
    </cfRule>
  </conditionalFormatting>
  <dataValidations count="1">
    <dataValidation type="list" allowBlank="1" showInputMessage="1" showErrorMessage="1" sqref="Z8 Y63:Z74 Y5:Z7 Y8:Y62 Z10:Z5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70" zoomScaleNormal="70" workbookViewId="0">
      <selection activeCell="L5" sqref="L5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1572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43" t="s">
        <v>1573</v>
      </c>
      <c r="C3" s="420" t="str">
        <f>TEXT('0922 4度C'!A2,"yyyy.mm.ddaaaa")</f>
        <v>2025.09.22星期一</v>
      </c>
      <c r="D3" s="421"/>
      <c r="E3" s="343" t="s">
        <v>1574</v>
      </c>
      <c r="F3" s="422">
        <f>'0922 4度C'!D1</f>
        <v>190262</v>
      </c>
      <c r="G3" s="423"/>
      <c r="H3" s="343" t="s">
        <v>1575</v>
      </c>
      <c r="I3" s="424">
        <f>'0922 4度C'!F1</f>
        <v>6192295.3500000015</v>
      </c>
      <c r="J3" s="425"/>
      <c r="K3" s="45"/>
      <c r="L3" s="46"/>
      <c r="M3" s="47"/>
      <c r="N3" s="47"/>
    </row>
    <row r="4" spans="2:17" ht="28.5" customHeight="1">
      <c r="B4" s="426" t="s">
        <v>1576</v>
      </c>
      <c r="C4" s="429" t="s">
        <v>1577</v>
      </c>
      <c r="D4" s="430"/>
      <c r="E4" s="431" t="s">
        <v>1578</v>
      </c>
      <c r="F4" s="432"/>
      <c r="G4" s="431" t="s">
        <v>1579</v>
      </c>
      <c r="H4" s="432"/>
      <c r="I4" s="431" t="s">
        <v>1580</v>
      </c>
      <c r="J4" s="432"/>
      <c r="L4" s="47"/>
      <c r="M4" s="47"/>
      <c r="N4" s="47"/>
    </row>
    <row r="5" spans="2:17" ht="28.5" customHeight="1">
      <c r="B5" s="427"/>
      <c r="C5" s="429" t="s">
        <v>1581</v>
      </c>
      <c r="D5" s="430"/>
      <c r="E5" s="429" t="s">
        <v>1582</v>
      </c>
      <c r="F5" s="430"/>
      <c r="G5" s="433" t="s">
        <v>1583</v>
      </c>
      <c r="H5" s="434"/>
      <c r="I5" s="435" t="s">
        <v>1584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148.83225549974262</v>
      </c>
      <c r="F6" s="438">
        <f>AVERAGE(D27:O27,D13:J13)</f>
        <v>154.11758614896158</v>
      </c>
      <c r="G6" s="399">
        <f>AVERAGE(D13:J13)</f>
        <v>154.11758614896158</v>
      </c>
      <c r="H6" s="400"/>
      <c r="I6" s="399">
        <f>AVERAGE(K13:M13)</f>
        <v>136.49981731823163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141.90830625350642</v>
      </c>
      <c r="F7" s="406">
        <f>AVERAGE(D28:O28,D14:J14)</f>
        <v>147.11390914829394</v>
      </c>
      <c r="G7" s="407">
        <f>AVERAGE(D14:J14)</f>
        <v>147.11390914829394</v>
      </c>
      <c r="H7" s="408"/>
      <c r="I7" s="407">
        <f>AVERAGE(K14:M14)</f>
        <v>129.7618994990022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0.95286759834502033</v>
      </c>
      <c r="F8" s="410">
        <f>AVERAGE(D15:J15,D29:O29)</f>
        <v>0.95382506890393159</v>
      </c>
      <c r="G8" s="411">
        <f>AVERAGE(D15:J15)</f>
        <v>0.95382506890393159</v>
      </c>
      <c r="H8" s="412"/>
      <c r="I8" s="411">
        <f>AVERAGE(K15:M15)</f>
        <v>0.95063350037422734</v>
      </c>
      <c r="J8" s="412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125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392" t="s">
        <v>128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1585</v>
      </c>
      <c r="C13" s="58" t="s">
        <v>140</v>
      </c>
      <c r="D13" s="59">
        <f>SUMIFS('0922 4度C'!$K:$K,'0922 4度C'!$A:$A,"新豐6線",'0922 4度C'!$B:$B,"平均")</f>
        <v>125</v>
      </c>
      <c r="E13" s="60">
        <f>SUMIFS('0922 4度C'!$K:$K,'0922 4度C'!$A:$A,"新豐2線",'0922 4度C'!$B:$B,"平均")</f>
        <v>88.235294117647058</v>
      </c>
      <c r="F13" s="61">
        <f>SUMIFS('0922 4度C'!$K:$K,'0922 4度C'!$A:$A,"新豐5線",'0922 4度C'!$B:$B,"平均")</f>
        <v>88.541666666666671</v>
      </c>
      <c r="G13" s="61">
        <f>SUMIFS('0922 4度C'!$K:$K,'0922 4度C'!$A:$A,"新豐7線",'0922 4度C'!$B:$B,"平均")</f>
        <v>117.64705882352941</v>
      </c>
      <c r="H13" s="61">
        <f>SUMIFS('0922 4度C'!$K:$K,'0922 4度C'!$A:$A,"新豐3線",'0922 4度C'!$B:$B,"平均")</f>
        <v>310.34482758620692</v>
      </c>
      <c r="I13" s="61">
        <f>SUMIFS('0922 4度C'!$K:$K,'0922 4度C'!$A:$A,"新豐1線",'0922 4度C'!$B:$B,"平均")</f>
        <v>117.34693877551021</v>
      </c>
      <c r="J13" s="62">
        <f>SUMIFS('0922 4度C'!$K:$K,'0922 4度C'!$A:$A,"新豐10線",'0922 4度C'!$B:$B,"平均")</f>
        <v>231.70731707317074</v>
      </c>
      <c r="K13" s="63">
        <f>SUMIFS('0922 4度C'!$K:$K,'0922 4度C'!$A:$A,"新豐8線",'0922 4度C'!$B:$B,"平均")</f>
        <v>134.1614906832298</v>
      </c>
      <c r="L13" s="64">
        <f>SUMIFS('0922 4度C'!$K:$K,'0922 4度C'!$A:$A,"新豐9線",'0922 4度C'!$B:$B,"平均")</f>
        <v>134.1614906832298</v>
      </c>
      <c r="M13" s="62">
        <f>SUMIFS('0922 4度C'!$K:$K,'0922 4度C'!$A:$A,"新豐4線",'0922 4度C'!$B:$B,"平均")</f>
        <v>141.1764705882353</v>
      </c>
    </row>
    <row r="14" spans="2:17" ht="39.6" customHeight="1">
      <c r="B14" s="397"/>
      <c r="C14" s="65" t="s">
        <v>1586</v>
      </c>
      <c r="D14" s="66">
        <f>SUMIFS('0922 4度C'!$N:$N,'0922 4度C'!$A:$A,"新豐6線",'0922 4度C'!$B:$B,"平均")</f>
        <v>120.15385477821262</v>
      </c>
      <c r="E14" s="67">
        <f>SUMIFS('0922 4度C'!$N:$N,'0922 4度C'!$A:$A,"新豐2線",'0922 4度C'!$B:$B,"平均")</f>
        <v>83.692810457516345</v>
      </c>
      <c r="F14" s="67">
        <f>SUMIFS('0922 4度C'!$N:$N,'0922 4度C'!$A:$A,"新豐5線",'0922 4度C'!$B:$B,"平均")</f>
        <v>84.187554612004178</v>
      </c>
      <c r="G14" s="67">
        <f>SUMIFS('0922 4度C'!$N:$N,'0922 4度C'!$A:$A,"新豐7線",'0922 4度C'!$B:$B,"平均")</f>
        <v>112.21784408507055</v>
      </c>
      <c r="H14" s="67">
        <f>SUMIFS('0922 4度C'!$N:$N,'0922 4度C'!$A:$A,"新豐3線",'0922 4度C'!$B:$B,"平均")</f>
        <v>296.25417404322076</v>
      </c>
      <c r="I14" s="67">
        <f>SUMIFS('0922 4度C'!$N:$N,'0922 4度C'!$A:$A,"新豐1線",'0922 4度C'!$B:$B,"平均")</f>
        <v>111.58934994424115</v>
      </c>
      <c r="J14" s="68">
        <f>SUMIFS('0922 4度C'!$N:$N,'0922 4度C'!$A:$A,"新豐10線",'0922 4度C'!$B:$B,"平均")</f>
        <v>221.70177611779204</v>
      </c>
      <c r="K14" s="69">
        <f>SUMIFS('0922 4度C'!$N:$N,'0922 4度C'!$A:$A,"新豐8線",'0922 4度C'!$B:$B,"平均")</f>
        <v>127.44030613260055</v>
      </c>
      <c r="L14" s="70">
        <f>SUMIFS('0922 4度C'!$N:$N,'0922 4度C'!$A:$A,"新豐9線",'0922 4度C'!$B:$B,"平均")</f>
        <v>127.60206314339003</v>
      </c>
      <c r="M14" s="68">
        <f>SUMIFS('0922 4度C'!$N:$N,'0922 4度C'!$A:$A,"新豐4線",'0922 4度C'!$B:$B,"平均")</f>
        <v>134.24332922101598</v>
      </c>
    </row>
    <row r="15" spans="2:17" ht="40.15" customHeight="1">
      <c r="B15" s="398"/>
      <c r="C15" s="71" t="s">
        <v>142</v>
      </c>
      <c r="D15" s="72">
        <f t="shared" ref="D15:M15" si="0">D14/D13</f>
        <v>0.96123083822570099</v>
      </c>
      <c r="E15" s="73">
        <f t="shared" si="0"/>
        <v>0.94851851851851854</v>
      </c>
      <c r="F15" s="73">
        <f t="shared" si="0"/>
        <v>0.95082414620616473</v>
      </c>
      <c r="G15" s="73">
        <f t="shared" si="0"/>
        <v>0.95385167472309973</v>
      </c>
      <c r="H15" s="73">
        <f t="shared" si="0"/>
        <v>0.95459678302815576</v>
      </c>
      <c r="I15" s="73">
        <f t="shared" si="0"/>
        <v>0.95093532995962016</v>
      </c>
      <c r="J15" s="74">
        <f t="shared" si="0"/>
        <v>0.95681819166626036</v>
      </c>
      <c r="K15" s="72">
        <f t="shared" si="0"/>
        <v>0.94990228182169867</v>
      </c>
      <c r="L15" s="73">
        <f t="shared" si="0"/>
        <v>0.95110797065212016</v>
      </c>
      <c r="M15" s="74">
        <f t="shared" si="0"/>
        <v>0.95089024864886318</v>
      </c>
    </row>
    <row r="16" spans="2:17" ht="17.25" customHeight="1">
      <c r="B16" s="401" t="s">
        <v>143</v>
      </c>
      <c r="C16" s="342" t="s">
        <v>144</v>
      </c>
      <c r="D16" s="76">
        <f>VLOOKUP("新豐6線",'0922 4度C'!$A:$T,19,0)</f>
        <v>0.70833333333333337</v>
      </c>
      <c r="E16" s="28">
        <f>VLOOKUP("新豐2線",'0922 4度C'!$A:$T,19,0)</f>
        <v>0.20833333333333334</v>
      </c>
      <c r="F16" s="28">
        <f>VLOOKUP("新豐5線",'0922 4度C'!$A:$T,19,0)</f>
        <v>8.3333333333333329E-2</v>
      </c>
      <c r="G16" s="28">
        <f>VLOOKUP("新豐7線",'0922 4度C'!$A:$T,19,0)</f>
        <v>0.20833333333333334</v>
      </c>
      <c r="H16" s="28">
        <f>VLOOKUP("新豐3線",'0922 4度C'!$A:$T,19,0)</f>
        <v>8.3333333333333329E-2</v>
      </c>
      <c r="I16" s="28">
        <f>VLOOKUP("新豐1線",'0922 4度C'!$A:$T,19,0)</f>
        <v>0.29166666666666669</v>
      </c>
      <c r="J16" s="77">
        <f>VLOOKUP("新豐10線",'0922 4度C'!$A:$T,19,0)</f>
        <v>8.3333333333333329E-2</v>
      </c>
      <c r="K16" s="78">
        <f>VLOOKUP("新豐8線",'0922 4度C'!$A:$T,19,0)</f>
        <v>8.3333333333333329E-2</v>
      </c>
      <c r="L16" s="79">
        <f>VLOOKUP("新豐9線",'0922 4度C'!$A:$T,19,0)</f>
        <v>8.3333333333333329E-2</v>
      </c>
      <c r="M16" s="80">
        <f>VLOOKUP("新豐4線",'0922 4度C'!$A:$T,19,0)</f>
        <v>8.3333333333333329E-2</v>
      </c>
    </row>
    <row r="17" spans="2:13" ht="17.25" customHeight="1">
      <c r="B17" s="402"/>
      <c r="C17" s="342" t="s">
        <v>145</v>
      </c>
      <c r="D17" s="78">
        <f>LOOKUP(2,1/(('0922 4度C'!$A:$A="新豐6線")*('0922 4度C'!$T:$T&lt;&gt;"")),'0922 4度C'!$T:$T)</f>
        <v>0.83333333333333337</v>
      </c>
      <c r="E17" s="28">
        <f>LOOKUP(2,1/(('0922 4度C'!$A:$A="新豐2線")*('0922 4度C'!$T:$T&lt;&gt;"")),'0922 4度C'!$T:$T)</f>
        <v>0.43333333333333335</v>
      </c>
      <c r="F17" s="28">
        <f>LOOKUP(2,1/(('0922 4度C'!$A:$A="新豐5線")*('0922 4度C'!$T:$T&lt;&gt;"")),'0922 4度C'!$T:$T)</f>
        <v>0.84930555555555554</v>
      </c>
      <c r="G17" s="28">
        <f>LOOKUP(2,1/(('0922 4度C'!$A:$A="新豐7線")*('0922 4度C'!$T:$T&lt;&gt;"")),'0922 4度C'!$T:$T)</f>
        <v>0.78055555555555556</v>
      </c>
      <c r="H17" s="28">
        <f>LOOKUP(2,1/(('0922 4度C'!$A:$A="新豐3線")*('0922 4度C'!$T:$T&lt;&gt;"")),'0922 4度C'!$T:$T)</f>
        <v>0.49861111111111106</v>
      </c>
      <c r="I17" s="28">
        <f>LOOKUP(2,1/(('0922 4度C'!$A:$A="新豐1線")*('0922 4度C'!$T:$T&lt;&gt;"")),'0922 4度C'!$T:$T)</f>
        <v>0.85</v>
      </c>
      <c r="J17" s="77">
        <f>LOOKUP(2,1/(('0922 4度C'!$A:$A="新豐10線")*('0922 4度C'!$T:$T&lt;&gt;"")),'0922 4度C'!$T:$T)</f>
        <v>0.33125000000000004</v>
      </c>
      <c r="K17" s="76">
        <f>LOOKUP(2,1/(('0922 4度C'!$A:$A="新豐8線")*('0922 4度C'!$T:$T&lt;&gt;"")),'0922 4度C'!$T:$T)</f>
        <v>0.75069444444444433</v>
      </c>
      <c r="L17" s="28">
        <f>LOOKUP(2,1/(('0922 4度C'!$A:$A="新豐9線")*('0922 4度C'!$T:$T&lt;&gt;"")),'0922 4度C'!$T:$T)</f>
        <v>0.76597222222222205</v>
      </c>
      <c r="M17" s="77">
        <f>LOOKUP(2,1/(('0922 4度C'!$A:$A="新豐4線")*('0922 4度C'!$T:$T&lt;&gt;"")),'0922 4度C'!$T:$T)</f>
        <v>0.74930555555555545</v>
      </c>
    </row>
    <row r="18" spans="2:13" ht="17.25" customHeight="1">
      <c r="B18" s="383" t="s">
        <v>146</v>
      </c>
      <c r="C18" s="384"/>
      <c r="D18" s="81">
        <f>SUMIFS('0922 4度C'!$I:$I,'0922 4度C'!$A:$A,"新豐6線",'0922 4度C'!$B:$B,"平均")</f>
        <v>16</v>
      </c>
      <c r="E18" s="82">
        <f>SUMIFS('0922 4度C'!$I:$I,'0922 4度C'!$A:$A,"新豐2線",'0922 4度C'!$B:$B,"平均")</f>
        <v>17</v>
      </c>
      <c r="F18" s="82">
        <f>SUMIFS('0922 4度C'!$I:$I,'0922 4度C'!$A:$A,"新豐5線",'0922 4度C'!$B:$B,"平均")</f>
        <v>19.2</v>
      </c>
      <c r="G18" s="82">
        <f>SUMIFS('0922 4度C'!$I:$I,'0922 4度C'!$A:$A,"新豐7線",'0922 4度C'!$B:$B,"平均")</f>
        <v>17</v>
      </c>
      <c r="H18" s="82">
        <f>SUMIFS('0922 4度C'!$I:$I,'0922 4度C'!$A:$A,"新豐3線",'0922 4度C'!$B:$B,"平均")</f>
        <v>9.6666666666666661</v>
      </c>
      <c r="I18" s="82">
        <f>SUMIFS('0922 4度C'!$I:$I,'0922 4度C'!$A:$A,"新豐1線",'0922 4度C'!$B:$B,"平均")</f>
        <v>16.333333333333332</v>
      </c>
      <c r="J18" s="83">
        <f>SUMIFS('0922 4度C'!$I:$I,'0922 4度C'!$A:$A,"新豐10線",'0922 4度C'!$B:$B,"平均")</f>
        <v>10.25</v>
      </c>
      <c r="K18" s="81">
        <f>SUMIFS('0922 4度C'!$I:$I,'0922 4度C'!$A:$A,"新豐8線",'0922 4度C'!$B:$B,"平均")</f>
        <v>17.888888888888889</v>
      </c>
      <c r="L18" s="82">
        <f>SUMIFS('0922 4度C'!$I:$I,'0922 4度C'!$A:$A,"新豐9線",'0922 4度C'!$B:$B,"平均")</f>
        <v>17.888888888888889</v>
      </c>
      <c r="M18" s="83">
        <f>SUMIFS('0922 4度C'!$I:$I,'0922 4度C'!$A:$A,"新豐4線",'0922 4度C'!$B:$B,"平均")</f>
        <v>17</v>
      </c>
    </row>
    <row r="19" spans="2:13" ht="17.25" customHeight="1">
      <c r="B19" s="383" t="s">
        <v>147</v>
      </c>
      <c r="C19" s="384"/>
      <c r="D19" s="84" t="s">
        <v>148</v>
      </c>
      <c r="E19" s="85" t="s">
        <v>149</v>
      </c>
      <c r="F19" s="85" t="s">
        <v>1587</v>
      </c>
      <c r="G19" s="85" t="s">
        <v>1587</v>
      </c>
      <c r="H19" s="85" t="s">
        <v>151</v>
      </c>
      <c r="I19" s="85" t="s">
        <v>148</v>
      </c>
      <c r="J19" s="86" t="s">
        <v>151</v>
      </c>
      <c r="K19" s="84" t="s">
        <v>152</v>
      </c>
      <c r="L19" s="85" t="s">
        <v>152</v>
      </c>
      <c r="M19" s="86" t="s">
        <v>152</v>
      </c>
    </row>
    <row r="20" spans="2:13" ht="17.25" customHeight="1">
      <c r="B20" s="383" t="s">
        <v>153</v>
      </c>
      <c r="C20" s="384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155</v>
      </c>
      <c r="C21" s="386"/>
      <c r="D21" s="87"/>
      <c r="E21" s="88" t="s">
        <v>1588</v>
      </c>
      <c r="F21" s="387" t="s">
        <v>157</v>
      </c>
      <c r="G21" s="388"/>
      <c r="H21" s="88" t="s">
        <v>158</v>
      </c>
      <c r="I21" s="88" t="s">
        <v>159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26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1"/>
  <sheetViews>
    <sheetView zoomScale="80" zoomScaleNormal="80" workbookViewId="0">
      <pane ySplit="4" topLeftCell="A53" activePane="bottomLeft" state="frozen"/>
      <selection activeCell="C3" sqref="C3:D3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206</v>
      </c>
      <c r="B1" s="1"/>
      <c r="C1" s="2" t="s">
        <v>207</v>
      </c>
      <c r="D1" s="3">
        <f>SUM(F5:F70)</f>
        <v>190262</v>
      </c>
      <c r="E1" s="330" t="s">
        <v>258</v>
      </c>
      <c r="F1" s="1">
        <f>SUM(G5:G70)</f>
        <v>6192295.3500000015</v>
      </c>
      <c r="G1" s="1" t="s">
        <v>259</v>
      </c>
      <c r="H1" s="38">
        <f>L8+L16+L56+L61+L22+L73+L42+L49+L33+L10+L70</f>
        <v>158.3388888888889</v>
      </c>
      <c r="I1" s="482" t="s">
        <v>1589</v>
      </c>
      <c r="J1" s="482"/>
      <c r="K1" s="482"/>
      <c r="L1" s="482" t="s">
        <v>1590</v>
      </c>
      <c r="M1" s="482"/>
      <c r="N1" s="482"/>
      <c r="O1" s="482" t="s">
        <v>1591</v>
      </c>
      <c r="P1" s="482"/>
      <c r="Q1" s="482"/>
      <c r="R1" s="482"/>
      <c r="S1" s="482" t="s">
        <v>1592</v>
      </c>
      <c r="T1" s="482"/>
      <c r="U1" s="482"/>
      <c r="V1" s="482"/>
      <c r="W1" s="482"/>
      <c r="X1" s="482"/>
      <c r="Y1" s="482" t="s">
        <v>1593</v>
      </c>
      <c r="Z1" s="482"/>
      <c r="AA1" s="482" t="s">
        <v>1594</v>
      </c>
      <c r="AB1" s="483"/>
      <c r="AC1" s="483"/>
    </row>
    <row r="2" spans="1:29" ht="26.25" customHeight="1">
      <c r="A2" s="24">
        <v>45922</v>
      </c>
      <c r="B2" s="25" t="s">
        <v>52</v>
      </c>
      <c r="C2" s="2" t="s">
        <v>1595</v>
      </c>
      <c r="D2" s="6">
        <f>AVERAGE(N8,N10,N49,N56,N16,N61,N22,N32,N42,N70)</f>
        <v>141.90830625350642</v>
      </c>
      <c r="E2" s="7" t="s">
        <v>11</v>
      </c>
      <c r="F2" s="8">
        <f>F1/D1</f>
        <v>32.546148731748858</v>
      </c>
      <c r="G2" s="1" t="s">
        <v>1596</v>
      </c>
      <c r="H2" s="39">
        <f>COUNT(H5:H71)</f>
        <v>9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212</v>
      </c>
      <c r="B3" s="443" t="s">
        <v>213</v>
      </c>
      <c r="C3" s="443" t="s">
        <v>214</v>
      </c>
      <c r="D3" s="443"/>
      <c r="E3" s="484" t="s">
        <v>215</v>
      </c>
      <c r="F3" s="443" t="s">
        <v>1597</v>
      </c>
      <c r="G3" s="484" t="s">
        <v>217</v>
      </c>
      <c r="H3" s="487" t="s">
        <v>218</v>
      </c>
      <c r="I3" s="474" t="s">
        <v>219</v>
      </c>
      <c r="J3" s="479" t="s">
        <v>220</v>
      </c>
      <c r="K3" s="481" t="s">
        <v>139</v>
      </c>
      <c r="L3" s="474" t="s">
        <v>219</v>
      </c>
      <c r="M3" s="479" t="s">
        <v>220</v>
      </c>
      <c r="N3" s="481" t="s">
        <v>1595</v>
      </c>
      <c r="O3" s="474" t="s">
        <v>1598</v>
      </c>
      <c r="P3" s="481" t="s">
        <v>139</v>
      </c>
      <c r="Q3" s="480" t="s">
        <v>1599</v>
      </c>
      <c r="R3" s="451" t="s">
        <v>1600</v>
      </c>
      <c r="S3" s="486" t="s">
        <v>25</v>
      </c>
      <c r="T3" s="486"/>
      <c r="U3" s="476" t="s">
        <v>26</v>
      </c>
      <c r="V3" s="476" t="s">
        <v>1601</v>
      </c>
      <c r="W3" s="443" t="s">
        <v>1602</v>
      </c>
      <c r="X3" s="443"/>
      <c r="Y3" s="477" t="s">
        <v>252</v>
      </c>
      <c r="Z3" s="478"/>
      <c r="AA3" s="479" t="s">
        <v>220</v>
      </c>
      <c r="AB3" s="480" t="s">
        <v>221</v>
      </c>
      <c r="AC3" s="451" t="s">
        <v>222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40" t="s">
        <v>31</v>
      </c>
      <c r="T4" s="340" t="s">
        <v>32</v>
      </c>
      <c r="U4" s="476"/>
      <c r="V4" s="476"/>
      <c r="W4" s="330" t="s">
        <v>228</v>
      </c>
      <c r="X4" s="330" t="s">
        <v>1603</v>
      </c>
      <c r="Y4" s="478"/>
      <c r="Z4" s="478"/>
      <c r="AA4" s="479"/>
      <c r="AB4" s="480"/>
      <c r="AC4" s="451"/>
    </row>
    <row r="5" spans="1:29">
      <c r="A5" s="473" t="s">
        <v>230</v>
      </c>
      <c r="B5" s="31" t="s">
        <v>58</v>
      </c>
      <c r="C5" s="475" t="s">
        <v>104</v>
      </c>
      <c r="D5" s="475"/>
      <c r="E5" s="31">
        <v>46.93</v>
      </c>
      <c r="F5" s="340">
        <v>1038</v>
      </c>
      <c r="G5" s="330">
        <f>E5*F5</f>
        <v>48713.34</v>
      </c>
      <c r="H5" s="341" t="s">
        <v>103</v>
      </c>
      <c r="I5" s="338">
        <v>16</v>
      </c>
      <c r="J5" s="26">
        <v>2000</v>
      </c>
      <c r="K5" s="10">
        <f>J5/I5</f>
        <v>125</v>
      </c>
      <c r="L5" s="338">
        <v>16</v>
      </c>
      <c r="M5" s="11">
        <f>F5/V5*60</f>
        <v>1946.2499999999975</v>
      </c>
      <c r="N5" s="10">
        <f>M5/L5</f>
        <v>121.64062499999984</v>
      </c>
      <c r="O5" s="12">
        <f t="shared" ref="O5:O7" si="0">L5-I5</f>
        <v>0</v>
      </c>
      <c r="P5" s="13">
        <f t="shared" ref="P5:P7" si="1">N5-K5</f>
        <v>-3.3593750000001563</v>
      </c>
      <c r="Q5" s="332">
        <f>N5/K5</f>
        <v>0.9731249999999988</v>
      </c>
      <c r="R5" s="442">
        <f>Q8</f>
        <v>0.96123083822570099</v>
      </c>
      <c r="S5" s="28">
        <v>0.70833333333333337</v>
      </c>
      <c r="T5" s="28">
        <v>0.73055555555555562</v>
      </c>
      <c r="U5" s="330"/>
      <c r="V5" s="339">
        <f>(T5-S5)*24*60</f>
        <v>32.000000000000043</v>
      </c>
      <c r="W5" s="16"/>
      <c r="X5" s="17"/>
      <c r="Y5" s="443"/>
      <c r="Z5" s="443"/>
      <c r="AA5" s="12">
        <f t="shared" ref="AA5:AA68" si="2">M5-J5</f>
        <v>-53.750000000002501</v>
      </c>
      <c r="AB5" s="332">
        <f t="shared" ref="AB5:AB7" si="3">M5/J5</f>
        <v>0.9731249999999988</v>
      </c>
      <c r="AC5" s="442">
        <f>AB8</f>
        <v>0.96123083822570099</v>
      </c>
    </row>
    <row r="6" spans="1:29">
      <c r="A6" s="474" t="s">
        <v>230</v>
      </c>
      <c r="B6" s="31" t="s">
        <v>58</v>
      </c>
      <c r="C6" s="475" t="s">
        <v>105</v>
      </c>
      <c r="D6" s="475"/>
      <c r="E6" s="31">
        <v>50.49</v>
      </c>
      <c r="F6" s="340">
        <v>2320</v>
      </c>
      <c r="G6" s="330">
        <f t="shared" ref="G6:G7" si="4">E6*F6</f>
        <v>117136.8</v>
      </c>
      <c r="H6" s="341" t="s">
        <v>103</v>
      </c>
      <c r="I6" s="338">
        <v>15</v>
      </c>
      <c r="J6" s="26">
        <v>2000</v>
      </c>
      <c r="K6" s="10">
        <f t="shared" ref="K6:K7" si="5">J6/I6</f>
        <v>133.33333333333334</v>
      </c>
      <c r="L6" s="338">
        <v>15</v>
      </c>
      <c r="M6" s="11">
        <f>F6/V6*60</f>
        <v>1906.8493150684917</v>
      </c>
      <c r="N6" s="10">
        <f t="shared" ref="N6:N7" si="6">M6/L6</f>
        <v>127.12328767123277</v>
      </c>
      <c r="O6" s="12">
        <f t="shared" si="0"/>
        <v>0</v>
      </c>
      <c r="P6" s="13">
        <f t="shared" si="1"/>
        <v>-6.2100456621005691</v>
      </c>
      <c r="Q6" s="332">
        <f t="shared" ref="Q6:Q7" si="7">N6/K6</f>
        <v>0.95342465753424577</v>
      </c>
      <c r="R6" s="442"/>
      <c r="S6" s="28">
        <v>0.73472222222222228</v>
      </c>
      <c r="T6" s="28">
        <v>0.78541666666666676</v>
      </c>
      <c r="U6" s="330">
        <f>(S6-T5)*24*60</f>
        <v>5.9999999999999787</v>
      </c>
      <c r="V6" s="339">
        <f>(T6-S6)*24*60</f>
        <v>73.000000000000057</v>
      </c>
      <c r="W6" s="16"/>
      <c r="X6" s="16"/>
      <c r="Y6" s="443"/>
      <c r="Z6" s="443"/>
      <c r="AA6" s="12">
        <f t="shared" si="2"/>
        <v>-93.150684931508295</v>
      </c>
      <c r="AB6" s="332">
        <f t="shared" si="3"/>
        <v>0.95342465753424588</v>
      </c>
      <c r="AC6" s="442"/>
    </row>
    <row r="7" spans="1:29">
      <c r="A7" s="474" t="s">
        <v>1604</v>
      </c>
      <c r="B7" s="31" t="s">
        <v>58</v>
      </c>
      <c r="C7" s="471" t="s">
        <v>106</v>
      </c>
      <c r="D7" s="472"/>
      <c r="E7" s="31">
        <v>50.67</v>
      </c>
      <c r="F7" s="340">
        <v>2010</v>
      </c>
      <c r="G7" s="330">
        <f t="shared" si="4"/>
        <v>101846.7</v>
      </c>
      <c r="H7" s="341" t="s">
        <v>103</v>
      </c>
      <c r="I7" s="338">
        <v>17</v>
      </c>
      <c r="J7" s="26">
        <v>2000</v>
      </c>
      <c r="K7" s="10">
        <f t="shared" si="5"/>
        <v>117.64705882352941</v>
      </c>
      <c r="L7" s="338">
        <v>17</v>
      </c>
      <c r="M7" s="11">
        <f t="shared" ref="M7" si="8">F7/V7*60</f>
        <v>1914.2857142857163</v>
      </c>
      <c r="N7" s="10">
        <f t="shared" si="6"/>
        <v>112.60504201680683</v>
      </c>
      <c r="O7" s="12">
        <f t="shared" si="0"/>
        <v>0</v>
      </c>
      <c r="P7" s="13">
        <f t="shared" si="1"/>
        <v>-5.0420168067225717</v>
      </c>
      <c r="Q7" s="332">
        <f t="shared" si="7"/>
        <v>0.95714285714285818</v>
      </c>
      <c r="R7" s="442"/>
      <c r="S7" s="28">
        <v>0.78958333333333341</v>
      </c>
      <c r="T7" s="28">
        <v>0.83333333333333337</v>
      </c>
      <c r="U7" s="330">
        <f t="shared" ref="U7" si="9">(S7-T6)*24*60</f>
        <v>5.9999999999999787</v>
      </c>
      <c r="V7" s="339">
        <f t="shared" ref="V7" si="10">(T7-S7)*24*60</f>
        <v>62.999999999999936</v>
      </c>
      <c r="W7" s="16"/>
      <c r="X7" s="16"/>
      <c r="Y7" s="447"/>
      <c r="Z7" s="448"/>
      <c r="AA7" s="12">
        <f t="shared" si="2"/>
        <v>-85.714285714283733</v>
      </c>
      <c r="AB7" s="332">
        <f t="shared" si="3"/>
        <v>0.95714285714285818</v>
      </c>
      <c r="AC7" s="442"/>
    </row>
    <row r="8" spans="1:29">
      <c r="A8" s="474" t="s">
        <v>230</v>
      </c>
      <c r="B8" s="31" t="s">
        <v>1605</v>
      </c>
      <c r="C8" s="446"/>
      <c r="D8" s="446"/>
      <c r="E8" s="331"/>
      <c r="F8" s="33"/>
      <c r="G8" s="10"/>
      <c r="H8" s="340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1922.4616764514019</v>
      </c>
      <c r="N8" s="10">
        <f>M8/L8</f>
        <v>120.15385477821262</v>
      </c>
      <c r="O8" s="12">
        <f>L8-I8</f>
        <v>0</v>
      </c>
      <c r="P8" s="13">
        <f>N8-K8</f>
        <v>-4.8461452217873813</v>
      </c>
      <c r="Q8" s="332">
        <f>N8/K8</f>
        <v>0.96123083822570099</v>
      </c>
      <c r="R8" s="442"/>
      <c r="S8" s="28"/>
      <c r="T8" s="28"/>
      <c r="U8" s="330"/>
      <c r="V8" s="339"/>
      <c r="W8" s="10"/>
      <c r="X8" s="10"/>
      <c r="Y8" s="443"/>
      <c r="Z8" s="443"/>
      <c r="AA8" s="12">
        <f t="shared" si="2"/>
        <v>-77.5383235485981</v>
      </c>
      <c r="AB8" s="332">
        <f>M8/J8</f>
        <v>0.96123083822570099</v>
      </c>
      <c r="AC8" s="442"/>
    </row>
    <row r="9" spans="1:29" ht="15.75" customHeight="1">
      <c r="A9" s="439" t="s">
        <v>1606</v>
      </c>
      <c r="B9" s="31" t="s">
        <v>53</v>
      </c>
      <c r="C9" s="471" t="s">
        <v>54</v>
      </c>
      <c r="D9" s="472"/>
      <c r="E9" s="31">
        <v>39.799999999999997</v>
      </c>
      <c r="F9" s="340">
        <v>7683</v>
      </c>
      <c r="G9" s="330">
        <f t="shared" ref="G9" si="11">E9*F9</f>
        <v>305783.39999999997</v>
      </c>
      <c r="H9" s="341" t="s">
        <v>103</v>
      </c>
      <c r="I9" s="338">
        <v>17</v>
      </c>
      <c r="J9" s="26">
        <v>1500</v>
      </c>
      <c r="K9" s="10">
        <f t="shared" ref="K9" si="12">J9/I9</f>
        <v>88.235294117647058</v>
      </c>
      <c r="L9" s="338">
        <v>17</v>
      </c>
      <c r="M9" s="11">
        <f t="shared" ref="M9" si="13">F9/V9*60</f>
        <v>1422.7777777777778</v>
      </c>
      <c r="N9" s="10">
        <f t="shared" ref="N9" si="14">M9/L9</f>
        <v>83.692810457516345</v>
      </c>
      <c r="O9" s="12">
        <f t="shared" ref="O9" si="15">L9-I9</f>
        <v>0</v>
      </c>
      <c r="P9" s="13">
        <f>N9-K9</f>
        <v>-4.5424836601307135</v>
      </c>
      <c r="Q9" s="332">
        <f>N9/K9</f>
        <v>0.94851851851851854</v>
      </c>
      <c r="R9" s="442">
        <f>Q10</f>
        <v>0.94851851851851854</v>
      </c>
      <c r="S9" s="28">
        <v>0.20833333333333334</v>
      </c>
      <c r="T9" s="28">
        <v>0.43333333333333335</v>
      </c>
      <c r="U9" s="330"/>
      <c r="V9" s="339">
        <f t="shared" ref="V9" si="16">(T9-S9)*24*60</f>
        <v>324</v>
      </c>
      <c r="W9" s="16"/>
      <c r="X9" s="16"/>
      <c r="Y9" s="443"/>
      <c r="Z9" s="443"/>
      <c r="AA9" s="12">
        <f t="shared" si="2"/>
        <v>-77.222222222222172</v>
      </c>
      <c r="AB9" s="332">
        <f>M9/J9</f>
        <v>0.94851851851851854</v>
      </c>
      <c r="AC9" s="442">
        <f>AB10</f>
        <v>0.94851851851851854</v>
      </c>
    </row>
    <row r="10" spans="1:29" ht="16.5" customHeight="1">
      <c r="A10" s="439" t="s">
        <v>1606</v>
      </c>
      <c r="B10" s="31" t="s">
        <v>1605</v>
      </c>
      <c r="C10" s="446"/>
      <c r="D10" s="446"/>
      <c r="E10" s="331"/>
      <c r="F10" s="26"/>
      <c r="G10" s="11"/>
      <c r="H10" s="340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1422.7777777777778</v>
      </c>
      <c r="N10" s="10">
        <f>M10/L10</f>
        <v>83.692810457516345</v>
      </c>
      <c r="O10" s="12">
        <f>L10-I10</f>
        <v>0</v>
      </c>
      <c r="P10" s="13">
        <f>N10-K10</f>
        <v>-4.5424836601307135</v>
      </c>
      <c r="Q10" s="332">
        <f>N10/K10</f>
        <v>0.94851851851851854</v>
      </c>
      <c r="R10" s="442"/>
      <c r="S10" s="28"/>
      <c r="T10" s="28"/>
      <c r="U10" s="10"/>
      <c r="V10" s="339"/>
      <c r="W10" s="10"/>
      <c r="X10" s="10"/>
      <c r="Y10" s="443"/>
      <c r="Z10" s="443"/>
      <c r="AA10" s="12">
        <f t="shared" si="2"/>
        <v>-77.222222222222172</v>
      </c>
      <c r="AB10" s="332">
        <f t="shared" ref="AB10:AB22" si="17">M10/J10</f>
        <v>0.94851851851851854</v>
      </c>
      <c r="AC10" s="442"/>
    </row>
    <row r="11" spans="1:29" ht="16.5" customHeight="1">
      <c r="A11" s="469" t="s">
        <v>1607</v>
      </c>
      <c r="B11" s="340" t="s">
        <v>56</v>
      </c>
      <c r="C11" s="464" t="s">
        <v>57</v>
      </c>
      <c r="D11" s="464"/>
      <c r="E11" s="31">
        <v>41</v>
      </c>
      <c r="F11" s="340">
        <v>2126</v>
      </c>
      <c r="G11" s="330">
        <f t="shared" ref="G11:G15" si="18">E11*F11</f>
        <v>87166</v>
      </c>
      <c r="H11" s="341" t="s">
        <v>103</v>
      </c>
      <c r="I11" s="338">
        <v>26</v>
      </c>
      <c r="J11" s="26">
        <v>1500</v>
      </c>
      <c r="K11" s="10">
        <f>J11/I11</f>
        <v>57.692307692307693</v>
      </c>
      <c r="L11" s="338">
        <v>26</v>
      </c>
      <c r="M11" s="11">
        <f>F11/V11*60</f>
        <v>1433.2584269662925</v>
      </c>
      <c r="N11" s="10">
        <f t="shared" ref="N11:N21" si="19">M11/L11</f>
        <v>55.125324114088173</v>
      </c>
      <c r="O11" s="12">
        <f t="shared" ref="O11" si="20">L11-I11</f>
        <v>0</v>
      </c>
      <c r="P11" s="13">
        <f t="shared" ref="P11" si="21">N11-K11</f>
        <v>-2.5669835782195207</v>
      </c>
      <c r="Q11" s="332">
        <f>N11/K11</f>
        <v>0.95550561797752831</v>
      </c>
      <c r="R11" s="442">
        <f>Q16</f>
        <v>0.95082414620616473</v>
      </c>
      <c r="S11" s="28">
        <v>8.3333333333333329E-2</v>
      </c>
      <c r="T11" s="28">
        <v>0.14513888888888887</v>
      </c>
      <c r="U11" s="330"/>
      <c r="V11" s="339">
        <f>(T11-S11)*24*60</f>
        <v>88.999999999999972</v>
      </c>
      <c r="W11" s="16">
        <f>T11</f>
        <v>0.14513888888888887</v>
      </c>
      <c r="X11" s="16">
        <f>S12</f>
        <v>0.16527777777777777</v>
      </c>
      <c r="Y11" s="443"/>
      <c r="Z11" s="443"/>
      <c r="AA11" s="12">
        <f t="shared" si="2"/>
        <v>-66.741573033707482</v>
      </c>
      <c r="AB11" s="332">
        <f t="shared" si="17"/>
        <v>0.95550561797752831</v>
      </c>
      <c r="AC11" s="442">
        <f>AB16</f>
        <v>0.95082414620616473</v>
      </c>
    </row>
    <row r="12" spans="1:29" ht="16.5" customHeight="1">
      <c r="A12" s="470" t="s">
        <v>162</v>
      </c>
      <c r="B12" s="340" t="s">
        <v>53</v>
      </c>
      <c r="C12" s="464" t="s">
        <v>107</v>
      </c>
      <c r="D12" s="464"/>
      <c r="E12" s="31">
        <v>39.619999999999997</v>
      </c>
      <c r="F12" s="340">
        <v>5293</v>
      </c>
      <c r="G12" s="330">
        <f t="shared" si="18"/>
        <v>209708.65999999997</v>
      </c>
      <c r="H12" s="341" t="s">
        <v>103</v>
      </c>
      <c r="I12" s="338">
        <v>19</v>
      </c>
      <c r="J12" s="26">
        <v>1500</v>
      </c>
      <c r="K12" s="10">
        <f>J12/I12</f>
        <v>78.94736842105263</v>
      </c>
      <c r="L12" s="338">
        <v>19</v>
      </c>
      <c r="M12" s="11">
        <f>F12/V12*60</f>
        <v>1424.125560538117</v>
      </c>
      <c r="N12" s="10">
        <f t="shared" si="19"/>
        <v>74.953976870427212</v>
      </c>
      <c r="O12" s="12">
        <f>L12-I12</f>
        <v>0</v>
      </c>
      <c r="P12" s="13">
        <f>N12-K12</f>
        <v>-3.9933915506254181</v>
      </c>
      <c r="Q12" s="332">
        <f>N12/K12</f>
        <v>0.94941704035874475</v>
      </c>
      <c r="R12" s="442"/>
      <c r="S12" s="28">
        <v>0.16527777777777777</v>
      </c>
      <c r="T12" s="28">
        <v>0.32013888888888886</v>
      </c>
      <c r="U12" s="330">
        <f>IF(S12=TIME(17,0,0),"",(S12-T11)*24*60)</f>
        <v>29.000000000000018</v>
      </c>
      <c r="V12" s="339">
        <f>(T12-S12)*24*60</f>
        <v>222.99999999999994</v>
      </c>
      <c r="W12" s="16"/>
      <c r="X12" s="16"/>
      <c r="Y12" s="443"/>
      <c r="Z12" s="443"/>
      <c r="AA12" s="12">
        <f t="shared" si="2"/>
        <v>-75.874439461882957</v>
      </c>
      <c r="AB12" s="332">
        <f t="shared" si="17"/>
        <v>0.94941704035874475</v>
      </c>
      <c r="AC12" s="442"/>
    </row>
    <row r="13" spans="1:29" ht="16.5" customHeight="1">
      <c r="A13" s="470" t="s">
        <v>1608</v>
      </c>
      <c r="B13" s="340" t="s">
        <v>53</v>
      </c>
      <c r="C13" s="464" t="s">
        <v>163</v>
      </c>
      <c r="D13" s="464"/>
      <c r="E13" s="31">
        <v>39.36</v>
      </c>
      <c r="F13" s="340">
        <v>4362</v>
      </c>
      <c r="G13" s="330">
        <f t="shared" si="18"/>
        <v>171688.32000000001</v>
      </c>
      <c r="H13" s="341" t="s">
        <v>103</v>
      </c>
      <c r="I13" s="338">
        <v>20</v>
      </c>
      <c r="J13" s="26">
        <v>1500</v>
      </c>
      <c r="K13" s="10">
        <f t="shared" ref="K13:K15" si="22">J13/I13</f>
        <v>75</v>
      </c>
      <c r="L13" s="338">
        <v>20</v>
      </c>
      <c r="M13" s="11">
        <f t="shared" ref="M13:M15" si="23">F13/V13*60</f>
        <v>1422.391304347826</v>
      </c>
      <c r="N13" s="10">
        <f t="shared" si="19"/>
        <v>71.119565217391298</v>
      </c>
      <c r="O13" s="12">
        <f t="shared" ref="O13:O15" si="24">L13-I13</f>
        <v>0</v>
      </c>
      <c r="P13" s="13">
        <f t="shared" ref="P13:P15" si="25">N13-K13</f>
        <v>-3.8804347826087024</v>
      </c>
      <c r="Q13" s="332">
        <f t="shared" ref="Q13:Q21" si="26">N13/K13</f>
        <v>0.94826086956521727</v>
      </c>
      <c r="R13" s="442"/>
      <c r="S13" s="28">
        <v>0.3256944444444444</v>
      </c>
      <c r="T13" s="28">
        <v>0.45347222222222217</v>
      </c>
      <c r="U13" s="330">
        <f t="shared" ref="U13:U15" si="27">IF(S13=TIME(17,0,0),"",(S13-T12)*24*60)</f>
        <v>7.9999999999999716</v>
      </c>
      <c r="V13" s="339">
        <f t="shared" ref="V13:V15" si="28">(T13-S13)*24*60</f>
        <v>184</v>
      </c>
      <c r="W13" s="16"/>
      <c r="X13" s="16"/>
      <c r="Y13" s="443"/>
      <c r="Z13" s="443"/>
      <c r="AA13" s="12">
        <f t="shared" si="2"/>
        <v>-77.608695652173992</v>
      </c>
      <c r="AB13" s="332">
        <f t="shared" si="17"/>
        <v>0.94826086956521738</v>
      </c>
      <c r="AC13" s="442"/>
    </row>
    <row r="14" spans="1:29" ht="16.5" customHeight="1">
      <c r="A14" s="470" t="s">
        <v>162</v>
      </c>
      <c r="B14" s="340" t="s">
        <v>58</v>
      </c>
      <c r="C14" s="464" t="s">
        <v>59</v>
      </c>
      <c r="D14" s="464"/>
      <c r="E14" s="31">
        <v>50.98</v>
      </c>
      <c r="F14" s="340">
        <v>2966</v>
      </c>
      <c r="G14" s="330">
        <f t="shared" si="18"/>
        <v>151206.68</v>
      </c>
      <c r="H14" s="341" t="s">
        <v>103</v>
      </c>
      <c r="I14" s="338">
        <v>16</v>
      </c>
      <c r="J14" s="26">
        <v>2000</v>
      </c>
      <c r="K14" s="10">
        <f t="shared" si="22"/>
        <v>125</v>
      </c>
      <c r="L14" s="338">
        <v>16</v>
      </c>
      <c r="M14" s="11">
        <f t="shared" si="23"/>
        <v>1893.1914893617025</v>
      </c>
      <c r="N14" s="10">
        <f t="shared" si="19"/>
        <v>118.3244680851064</v>
      </c>
      <c r="O14" s="12">
        <f t="shared" si="24"/>
        <v>0</v>
      </c>
      <c r="P14" s="13">
        <f t="shared" si="25"/>
        <v>-6.6755319148935968</v>
      </c>
      <c r="Q14" s="332">
        <f t="shared" si="26"/>
        <v>0.94659574468085128</v>
      </c>
      <c r="R14" s="442"/>
      <c r="S14" s="28">
        <v>0.70833333333333337</v>
      </c>
      <c r="T14" s="28">
        <v>0.77361111111111114</v>
      </c>
      <c r="U14" s="330" t="str">
        <f t="shared" si="27"/>
        <v/>
      </c>
      <c r="V14" s="339">
        <f t="shared" si="28"/>
        <v>93.999999999999986</v>
      </c>
      <c r="W14" s="16"/>
      <c r="X14" s="16"/>
      <c r="Y14" s="443"/>
      <c r="Z14" s="443"/>
      <c r="AA14" s="12">
        <f t="shared" si="2"/>
        <v>-106.80851063829755</v>
      </c>
      <c r="AB14" s="332">
        <f t="shared" si="17"/>
        <v>0.94659574468085128</v>
      </c>
      <c r="AC14" s="442"/>
    </row>
    <row r="15" spans="1:29" ht="16.5" customHeight="1">
      <c r="A15" s="470" t="s">
        <v>162</v>
      </c>
      <c r="B15" s="340" t="s">
        <v>58</v>
      </c>
      <c r="C15" s="464" t="s">
        <v>60</v>
      </c>
      <c r="D15" s="464"/>
      <c r="E15" s="31">
        <v>50.92</v>
      </c>
      <c r="F15" s="340">
        <v>3309</v>
      </c>
      <c r="G15" s="330">
        <f t="shared" si="18"/>
        <v>168494.28</v>
      </c>
      <c r="H15" s="341" t="s">
        <v>103</v>
      </c>
      <c r="I15" s="338">
        <v>15</v>
      </c>
      <c r="J15" s="26">
        <v>2000</v>
      </c>
      <c r="K15" s="10">
        <f t="shared" si="22"/>
        <v>133.33333333333334</v>
      </c>
      <c r="L15" s="338">
        <v>15</v>
      </c>
      <c r="M15" s="11">
        <f t="shared" si="23"/>
        <v>1909.0384615384626</v>
      </c>
      <c r="N15" s="10">
        <f t="shared" si="19"/>
        <v>127.26923076923084</v>
      </c>
      <c r="O15" s="12">
        <f t="shared" si="24"/>
        <v>0</v>
      </c>
      <c r="P15" s="13">
        <f t="shared" si="25"/>
        <v>-6.0641025641024981</v>
      </c>
      <c r="Q15" s="332">
        <f t="shared" si="26"/>
        <v>0.95451923076923129</v>
      </c>
      <c r="R15" s="442"/>
      <c r="S15" s="28">
        <v>0.77708333333333335</v>
      </c>
      <c r="T15" s="28">
        <v>0.84930555555555554</v>
      </c>
      <c r="U15" s="330">
        <f t="shared" si="27"/>
        <v>4.9999999999999822</v>
      </c>
      <c r="V15" s="339">
        <f t="shared" si="28"/>
        <v>103.99999999999994</v>
      </c>
      <c r="W15" s="16"/>
      <c r="X15" s="16"/>
      <c r="Y15" s="443"/>
      <c r="Z15" s="443"/>
      <c r="AA15" s="12">
        <f t="shared" si="2"/>
        <v>-90.96153846153743</v>
      </c>
      <c r="AB15" s="332">
        <f t="shared" si="17"/>
        <v>0.95451923076923129</v>
      </c>
      <c r="AC15" s="442"/>
    </row>
    <row r="16" spans="1:29" ht="16.5" customHeight="1">
      <c r="A16" s="470" t="s">
        <v>162</v>
      </c>
      <c r="B16" s="31" t="s">
        <v>231</v>
      </c>
      <c r="C16" s="446"/>
      <c r="D16" s="446"/>
      <c r="E16" s="331"/>
      <c r="F16" s="33"/>
      <c r="G16" s="10"/>
      <c r="H16" s="340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1616.40104855048</v>
      </c>
      <c r="N16" s="10">
        <f t="shared" si="19"/>
        <v>84.187554612004178</v>
      </c>
      <c r="O16" s="12">
        <f>L16-I16</f>
        <v>0</v>
      </c>
      <c r="P16" s="13">
        <f>N16-K16</f>
        <v>-4.3541120546624938</v>
      </c>
      <c r="Q16" s="332">
        <f t="shared" si="26"/>
        <v>0.95082414620616473</v>
      </c>
      <c r="R16" s="442"/>
      <c r="S16" s="28"/>
      <c r="T16" s="28"/>
      <c r="U16" s="330"/>
      <c r="V16" s="339"/>
      <c r="W16" s="10"/>
      <c r="X16" s="10"/>
      <c r="Y16" s="443"/>
      <c r="Z16" s="443"/>
      <c r="AA16" s="12">
        <f t="shared" si="2"/>
        <v>-83.598951449519973</v>
      </c>
      <c r="AB16" s="332">
        <f t="shared" si="17"/>
        <v>0.95082414620616473</v>
      </c>
      <c r="AC16" s="442"/>
    </row>
    <row r="17" spans="1:29" ht="15.75" customHeight="1">
      <c r="A17" s="467" t="s">
        <v>233</v>
      </c>
      <c r="B17" s="31" t="s">
        <v>56</v>
      </c>
      <c r="C17" s="464" t="s">
        <v>61</v>
      </c>
      <c r="D17" s="464"/>
      <c r="E17" s="31">
        <v>43.14</v>
      </c>
      <c r="F17" s="340">
        <v>1380</v>
      </c>
      <c r="G17" s="330">
        <f t="shared" ref="G17:G21" si="29">E17*F17</f>
        <v>59533.200000000004</v>
      </c>
      <c r="H17" s="341" t="s">
        <v>103</v>
      </c>
      <c r="I17" s="338">
        <v>17</v>
      </c>
      <c r="J17" s="26">
        <v>2000</v>
      </c>
      <c r="K17" s="10">
        <f t="shared" ref="K17:K22" si="30">J17/I17</f>
        <v>117.64705882352941</v>
      </c>
      <c r="L17" s="338">
        <v>17</v>
      </c>
      <c r="M17" s="11">
        <f t="shared" ref="M17:M21" si="31">F17/V17*60</f>
        <v>1925.5813953488368</v>
      </c>
      <c r="N17" s="10">
        <f t="shared" si="19"/>
        <v>113.26949384404922</v>
      </c>
      <c r="O17" s="12">
        <f t="shared" ref="O17:O21" si="32">L17-I17</f>
        <v>0</v>
      </c>
      <c r="P17" s="13">
        <f t="shared" ref="P17:P21" si="33">N17-K17</f>
        <v>-4.3775649794801836</v>
      </c>
      <c r="Q17" s="332">
        <f t="shared" si="26"/>
        <v>0.96279069767441838</v>
      </c>
      <c r="R17" s="442">
        <f>Q22</f>
        <v>0.95385167472309973</v>
      </c>
      <c r="S17" s="28">
        <v>0.20833333333333334</v>
      </c>
      <c r="T17" s="28">
        <v>0.23819444444444446</v>
      </c>
      <c r="U17" s="330"/>
      <c r="V17" s="339">
        <f>(T17-S17)*24*60</f>
        <v>43.000000000000007</v>
      </c>
      <c r="W17" s="18"/>
      <c r="X17" s="18"/>
      <c r="Y17" s="443"/>
      <c r="Z17" s="443"/>
      <c r="AA17" s="12">
        <f t="shared" si="2"/>
        <v>-74.41860465116315</v>
      </c>
      <c r="AB17" s="332">
        <f t="shared" si="17"/>
        <v>0.96279069767441838</v>
      </c>
      <c r="AC17" s="442">
        <f>AB22</f>
        <v>0.95385167472309973</v>
      </c>
    </row>
    <row r="18" spans="1:29" ht="15.75" customHeight="1">
      <c r="A18" s="468" t="s">
        <v>1609</v>
      </c>
      <c r="B18" s="31" t="s">
        <v>58</v>
      </c>
      <c r="C18" s="464" t="s">
        <v>62</v>
      </c>
      <c r="D18" s="464"/>
      <c r="E18" s="31">
        <v>57.73</v>
      </c>
      <c r="F18" s="340">
        <v>2980</v>
      </c>
      <c r="G18" s="330">
        <f t="shared" si="29"/>
        <v>172035.4</v>
      </c>
      <c r="H18" s="341" t="s">
        <v>103</v>
      </c>
      <c r="I18" s="338">
        <v>15</v>
      </c>
      <c r="J18" s="26">
        <v>2000</v>
      </c>
      <c r="K18" s="10">
        <f t="shared" si="30"/>
        <v>133.33333333333334</v>
      </c>
      <c r="L18" s="338">
        <v>15</v>
      </c>
      <c r="M18" s="11">
        <f t="shared" si="31"/>
        <v>1902.1276595744685</v>
      </c>
      <c r="N18" s="10">
        <f t="shared" si="19"/>
        <v>126.8085106382979</v>
      </c>
      <c r="O18" s="12">
        <f t="shared" si="32"/>
        <v>0</v>
      </c>
      <c r="P18" s="13">
        <f t="shared" si="33"/>
        <v>-6.5248226950354393</v>
      </c>
      <c r="Q18" s="332">
        <f t="shared" si="26"/>
        <v>0.95106382978723425</v>
      </c>
      <c r="R18" s="442"/>
      <c r="S18" s="28">
        <v>0.24236111111111114</v>
      </c>
      <c r="T18" s="28">
        <v>0.30763888888888891</v>
      </c>
      <c r="U18" s="330">
        <f>IF(S18=TIME(17,0,0),"",(S18-T17)*24*60)</f>
        <v>6.0000000000000187</v>
      </c>
      <c r="V18" s="339">
        <f t="shared" ref="V18:V21" si="34">(T18-S18)*24*60</f>
        <v>93.999999999999986</v>
      </c>
      <c r="W18" s="16"/>
      <c r="X18" s="330"/>
      <c r="Y18" s="443"/>
      <c r="Z18" s="443"/>
      <c r="AA18" s="12">
        <f t="shared" si="2"/>
        <v>-97.872340425531547</v>
      </c>
      <c r="AB18" s="332">
        <f t="shared" si="17"/>
        <v>0.95106382978723425</v>
      </c>
      <c r="AC18" s="442"/>
    </row>
    <row r="19" spans="1:29" ht="15.75" customHeight="1">
      <c r="A19" s="468" t="s">
        <v>233</v>
      </c>
      <c r="B19" s="31" t="s">
        <v>58</v>
      </c>
      <c r="C19" s="464" t="s">
        <v>63</v>
      </c>
      <c r="D19" s="464"/>
      <c r="E19" s="31">
        <v>53.68</v>
      </c>
      <c r="F19" s="340">
        <v>1913</v>
      </c>
      <c r="G19" s="330">
        <f t="shared" si="29"/>
        <v>102689.84</v>
      </c>
      <c r="H19" s="341" t="s">
        <v>103</v>
      </c>
      <c r="I19" s="338">
        <v>16</v>
      </c>
      <c r="J19" s="26">
        <v>2000</v>
      </c>
      <c r="K19" s="10">
        <f t="shared" si="30"/>
        <v>125</v>
      </c>
      <c r="L19" s="338">
        <v>16</v>
      </c>
      <c r="M19" s="11">
        <f t="shared" si="31"/>
        <v>1912.9999999999991</v>
      </c>
      <c r="N19" s="10">
        <f t="shared" si="19"/>
        <v>119.56249999999994</v>
      </c>
      <c r="O19" s="12">
        <f t="shared" si="32"/>
        <v>0</v>
      </c>
      <c r="P19" s="13">
        <f t="shared" si="33"/>
        <v>-5.4375000000000568</v>
      </c>
      <c r="Q19" s="332">
        <f t="shared" si="26"/>
        <v>0.95649999999999957</v>
      </c>
      <c r="R19" s="442"/>
      <c r="S19" s="28">
        <v>0.31319444444444444</v>
      </c>
      <c r="T19" s="28">
        <v>0.35486111111111113</v>
      </c>
      <c r="U19" s="330">
        <f t="shared" ref="U19:U21" si="35">IF(S19=TIME(17,0,0),"",(S19-T18)*24*60)</f>
        <v>7.9999999999999716</v>
      </c>
      <c r="V19" s="339">
        <f t="shared" si="34"/>
        <v>60.000000000000028</v>
      </c>
      <c r="W19" s="16"/>
      <c r="X19" s="330"/>
      <c r="Y19" s="443"/>
      <c r="Z19" s="443"/>
      <c r="AA19" s="12">
        <f t="shared" si="2"/>
        <v>-87.000000000000909</v>
      </c>
      <c r="AB19" s="332">
        <f t="shared" si="17"/>
        <v>0.95649999999999957</v>
      </c>
      <c r="AC19" s="442"/>
    </row>
    <row r="20" spans="1:29" ht="15.75" customHeight="1">
      <c r="A20" s="468" t="s">
        <v>233</v>
      </c>
      <c r="B20" s="31" t="s">
        <v>58</v>
      </c>
      <c r="C20" s="464" t="s">
        <v>1170</v>
      </c>
      <c r="D20" s="464"/>
      <c r="E20" s="31">
        <v>53.27</v>
      </c>
      <c r="F20" s="340">
        <v>1898</v>
      </c>
      <c r="G20" s="330">
        <f t="shared" si="29"/>
        <v>101106.46</v>
      </c>
      <c r="H20" s="341" t="s">
        <v>103</v>
      </c>
      <c r="I20" s="338">
        <v>17</v>
      </c>
      <c r="J20" s="26">
        <v>2000</v>
      </c>
      <c r="K20" s="10">
        <f t="shared" si="30"/>
        <v>117.64705882352941</v>
      </c>
      <c r="L20" s="338">
        <v>17</v>
      </c>
      <c r="M20" s="11">
        <f t="shared" si="31"/>
        <v>1897.9999999999991</v>
      </c>
      <c r="N20" s="10">
        <f t="shared" si="19"/>
        <v>111.64705882352936</v>
      </c>
      <c r="O20" s="12">
        <f t="shared" si="32"/>
        <v>0</v>
      </c>
      <c r="P20" s="13">
        <f t="shared" si="33"/>
        <v>-6.0000000000000426</v>
      </c>
      <c r="Q20" s="332">
        <f t="shared" si="26"/>
        <v>0.94899999999999962</v>
      </c>
      <c r="R20" s="442"/>
      <c r="S20" s="28">
        <v>0.35833333333333334</v>
      </c>
      <c r="T20" s="28">
        <v>0.4</v>
      </c>
      <c r="U20" s="330">
        <f t="shared" si="35"/>
        <v>4.9999999999999822</v>
      </c>
      <c r="V20" s="339">
        <f t="shared" si="34"/>
        <v>60.000000000000028</v>
      </c>
      <c r="W20" s="16"/>
      <c r="X20" s="330"/>
      <c r="Y20" s="443"/>
      <c r="Z20" s="443"/>
      <c r="AA20" s="12">
        <f t="shared" si="2"/>
        <v>-102.00000000000091</v>
      </c>
      <c r="AB20" s="332">
        <f t="shared" si="17"/>
        <v>0.94899999999999951</v>
      </c>
      <c r="AC20" s="442"/>
    </row>
    <row r="21" spans="1:29" ht="15.75" customHeight="1">
      <c r="A21" s="468" t="s">
        <v>233</v>
      </c>
      <c r="B21" s="31" t="s">
        <v>58</v>
      </c>
      <c r="C21" s="464" t="s">
        <v>65</v>
      </c>
      <c r="D21" s="464"/>
      <c r="E21" s="31">
        <v>54.09</v>
      </c>
      <c r="F21" s="340">
        <v>3293</v>
      </c>
      <c r="G21" s="330">
        <f t="shared" si="29"/>
        <v>178118.37000000002</v>
      </c>
      <c r="H21" s="341" t="s">
        <v>103</v>
      </c>
      <c r="I21" s="338">
        <v>19</v>
      </c>
      <c r="J21" s="26">
        <v>2000</v>
      </c>
      <c r="K21" s="10">
        <f t="shared" si="30"/>
        <v>105.26315789473684</v>
      </c>
      <c r="L21" s="338">
        <v>19</v>
      </c>
      <c r="M21" s="11">
        <f t="shared" si="31"/>
        <v>1899.8076923076933</v>
      </c>
      <c r="N21" s="10">
        <f t="shared" si="19"/>
        <v>99.989878542510169</v>
      </c>
      <c r="O21" s="12">
        <f t="shared" si="32"/>
        <v>0</v>
      </c>
      <c r="P21" s="13">
        <f t="shared" si="33"/>
        <v>-5.2732793522266661</v>
      </c>
      <c r="Q21" s="332">
        <f t="shared" si="26"/>
        <v>0.94990384615384671</v>
      </c>
      <c r="R21" s="442"/>
      <c r="S21" s="28">
        <v>0.70833333333333337</v>
      </c>
      <c r="T21" s="28">
        <v>0.78055555555555556</v>
      </c>
      <c r="U21" s="330" t="str">
        <f t="shared" si="35"/>
        <v/>
      </c>
      <c r="V21" s="339">
        <f t="shared" si="34"/>
        <v>103.99999999999994</v>
      </c>
      <c r="W21" s="16"/>
      <c r="X21" s="330"/>
      <c r="Y21" s="443"/>
      <c r="Z21" s="443"/>
      <c r="AA21" s="12">
        <f t="shared" si="2"/>
        <v>-100.19230769230671</v>
      </c>
      <c r="AB21" s="332">
        <f t="shared" si="17"/>
        <v>0.9499038461538466</v>
      </c>
      <c r="AC21" s="442"/>
    </row>
    <row r="22" spans="1:29" ht="15.75" customHeight="1">
      <c r="A22" s="468" t="s">
        <v>1609</v>
      </c>
      <c r="B22" s="31" t="s">
        <v>1610</v>
      </c>
      <c r="C22" s="446"/>
      <c r="D22" s="446"/>
      <c r="E22" s="331"/>
      <c r="F22" s="340"/>
      <c r="G22" s="330"/>
      <c r="H22" s="340"/>
      <c r="I22" s="19">
        <v>17</v>
      </c>
      <c r="J22" s="26">
        <v>2000</v>
      </c>
      <c r="K22" s="10">
        <f t="shared" si="30"/>
        <v>117.64705882352941</v>
      </c>
      <c r="L22" s="19">
        <v>17</v>
      </c>
      <c r="M22" s="11">
        <f>AVERAGE(M17:M21)</f>
        <v>1907.7033494461994</v>
      </c>
      <c r="N22" s="10">
        <f>M22/L22</f>
        <v>112.21784408507055</v>
      </c>
      <c r="O22" s="12">
        <f>L22-I22</f>
        <v>0</v>
      </c>
      <c r="P22" s="13">
        <f>N22-K22</f>
        <v>-5.4292147384588532</v>
      </c>
      <c r="Q22" s="332">
        <f>N22/K22</f>
        <v>0.95385167472309973</v>
      </c>
      <c r="R22" s="442"/>
      <c r="S22" s="28"/>
      <c r="T22" s="28"/>
      <c r="U22" s="10"/>
      <c r="V22" s="339"/>
      <c r="W22" s="10"/>
      <c r="X22" s="10"/>
      <c r="Y22" s="443"/>
      <c r="Z22" s="443"/>
      <c r="AA22" s="12">
        <f t="shared" si="2"/>
        <v>-92.296650553800646</v>
      </c>
      <c r="AB22" s="332">
        <f t="shared" si="17"/>
        <v>0.95385167472309973</v>
      </c>
      <c r="AC22" s="442"/>
    </row>
    <row r="23" spans="1:29" ht="15.75" customHeight="1">
      <c r="A23" s="463" t="s">
        <v>164</v>
      </c>
      <c r="B23" s="31" t="s">
        <v>67</v>
      </c>
      <c r="C23" s="464" t="s">
        <v>68</v>
      </c>
      <c r="D23" s="464"/>
      <c r="E23" s="31">
        <v>26.2</v>
      </c>
      <c r="F23" s="340">
        <v>2900</v>
      </c>
      <c r="G23" s="330">
        <f t="shared" ref="G23:G31" si="36">E23*F23</f>
        <v>75980</v>
      </c>
      <c r="H23" s="341">
        <v>2</v>
      </c>
      <c r="I23" s="338">
        <v>20</v>
      </c>
      <c r="J23" s="26">
        <v>2400</v>
      </c>
      <c r="K23" s="10">
        <f>J23/I23</f>
        <v>120</v>
      </c>
      <c r="L23" s="338">
        <v>20</v>
      </c>
      <c r="M23" s="11">
        <f t="shared" ref="M23:M31" si="37">F23/V23*60</f>
        <v>2289.4736842105262</v>
      </c>
      <c r="N23" s="10">
        <f t="shared" ref="N23:N31" si="38">M23/L23</f>
        <v>114.47368421052632</v>
      </c>
      <c r="O23" s="12">
        <f t="shared" ref="O23:O31" si="39">L23-I23</f>
        <v>0</v>
      </c>
      <c r="P23" s="13">
        <f t="shared" ref="P23:P31" si="40">N23-K23</f>
        <v>-5.526315789473685</v>
      </c>
      <c r="Q23" s="332">
        <f t="shared" ref="Q23:Q28" si="41">N23/K23</f>
        <v>0.95394736842105265</v>
      </c>
      <c r="R23" s="442">
        <f>Q32</f>
        <v>0.94990228182169867</v>
      </c>
      <c r="S23" s="28">
        <v>8.3333333333333329E-2</v>
      </c>
      <c r="T23" s="28">
        <v>0.1361111111111111</v>
      </c>
      <c r="U23" s="330"/>
      <c r="V23" s="339">
        <f t="shared" ref="V23:V31" si="42">(T23-S23)*24*60</f>
        <v>76</v>
      </c>
      <c r="W23" s="16">
        <f>T23</f>
        <v>0.1361111111111111</v>
      </c>
      <c r="X23" s="16">
        <f>S24</f>
        <v>0.15625</v>
      </c>
      <c r="Y23" s="443"/>
      <c r="Z23" s="443"/>
      <c r="AA23" s="12">
        <f t="shared" si="2"/>
        <v>-110.52631578947376</v>
      </c>
      <c r="AB23" s="332">
        <f>M23/J23</f>
        <v>0.95394736842105265</v>
      </c>
      <c r="AC23" s="442">
        <f>AB32</f>
        <v>0.94990228182169856</v>
      </c>
    </row>
    <row r="24" spans="1:29" ht="15.75" customHeight="1">
      <c r="A24" s="463" t="s">
        <v>164</v>
      </c>
      <c r="B24" s="31" t="s">
        <v>67</v>
      </c>
      <c r="C24" s="464" t="s">
        <v>69</v>
      </c>
      <c r="D24" s="464"/>
      <c r="E24" s="31">
        <v>31.29</v>
      </c>
      <c r="F24" s="340">
        <v>4200</v>
      </c>
      <c r="G24" s="330">
        <f t="shared" si="36"/>
        <v>131418</v>
      </c>
      <c r="H24" s="341">
        <v>2</v>
      </c>
      <c r="I24" s="338">
        <v>18</v>
      </c>
      <c r="J24" s="26">
        <v>2400</v>
      </c>
      <c r="K24" s="10">
        <f t="shared" ref="K24:K32" si="43">J24/I24</f>
        <v>133.33333333333334</v>
      </c>
      <c r="L24" s="338">
        <v>18</v>
      </c>
      <c r="M24" s="11">
        <f t="shared" si="37"/>
        <v>2270.2702702702704</v>
      </c>
      <c r="N24" s="10">
        <f t="shared" si="38"/>
        <v>126.12612612612614</v>
      </c>
      <c r="O24" s="12">
        <f t="shared" si="39"/>
        <v>0</v>
      </c>
      <c r="P24" s="13">
        <f t="shared" si="40"/>
        <v>-7.2072072072072046</v>
      </c>
      <c r="Q24" s="332">
        <f t="shared" si="41"/>
        <v>0.94594594594594594</v>
      </c>
      <c r="R24" s="442"/>
      <c r="S24" s="28">
        <v>0.15625</v>
      </c>
      <c r="T24" s="28">
        <v>0.23333333333333334</v>
      </c>
      <c r="U24" s="330">
        <f>(S24-T23)*24*60</f>
        <v>29.000000000000018</v>
      </c>
      <c r="V24" s="339">
        <f t="shared" si="42"/>
        <v>111</v>
      </c>
      <c r="W24" s="16"/>
      <c r="X24" s="16"/>
      <c r="Y24" s="443"/>
      <c r="Z24" s="443"/>
      <c r="AA24" s="12">
        <f t="shared" si="2"/>
        <v>-129.72972972972957</v>
      </c>
      <c r="AB24" s="332">
        <f t="shared" ref="AB24:AB31" si="44">M24/J24</f>
        <v>0.94594594594594605</v>
      </c>
      <c r="AC24" s="442"/>
    </row>
    <row r="25" spans="1:29" ht="15.75" customHeight="1">
      <c r="A25" s="463" t="s">
        <v>164</v>
      </c>
      <c r="B25" s="31" t="s">
        <v>67</v>
      </c>
      <c r="C25" s="464" t="s">
        <v>101</v>
      </c>
      <c r="D25" s="464"/>
      <c r="E25" s="31">
        <v>25</v>
      </c>
      <c r="F25" s="340">
        <v>2700</v>
      </c>
      <c r="G25" s="330">
        <f t="shared" si="36"/>
        <v>67500</v>
      </c>
      <c r="H25" s="341">
        <v>2</v>
      </c>
      <c r="I25" s="338">
        <v>15</v>
      </c>
      <c r="J25" s="26">
        <v>2400</v>
      </c>
      <c r="K25" s="10">
        <f t="shared" si="43"/>
        <v>160</v>
      </c>
      <c r="L25" s="338">
        <v>15</v>
      </c>
      <c r="M25" s="11">
        <f t="shared" si="37"/>
        <v>2281.6901408450708</v>
      </c>
      <c r="N25" s="10">
        <f t="shared" si="38"/>
        <v>152.11267605633805</v>
      </c>
      <c r="O25" s="12">
        <f t="shared" si="39"/>
        <v>0</v>
      </c>
      <c r="P25" s="13">
        <f t="shared" si="40"/>
        <v>-7.8873239436619542</v>
      </c>
      <c r="Q25" s="332">
        <f t="shared" si="41"/>
        <v>0.95070422535211274</v>
      </c>
      <c r="R25" s="442"/>
      <c r="S25" s="28">
        <v>0.23680555555555555</v>
      </c>
      <c r="T25" s="28">
        <v>0.28611111111111109</v>
      </c>
      <c r="U25" s="330">
        <f t="shared" ref="U25:U31" si="45">(S25-T24)*24*60</f>
        <v>4.9999999999999822</v>
      </c>
      <c r="V25" s="339">
        <f t="shared" si="42"/>
        <v>70.999999999999986</v>
      </c>
      <c r="W25" s="16"/>
      <c r="X25" s="16"/>
      <c r="Y25" s="443"/>
      <c r="Z25" s="443"/>
      <c r="AA25" s="12">
        <f t="shared" si="2"/>
        <v>-118.3098591549292</v>
      </c>
      <c r="AB25" s="332">
        <f t="shared" si="44"/>
        <v>0.95070422535211285</v>
      </c>
      <c r="AC25" s="442"/>
    </row>
    <row r="26" spans="1:29" ht="15.75" customHeight="1">
      <c r="A26" s="463" t="s">
        <v>164</v>
      </c>
      <c r="B26" s="31" t="s">
        <v>67</v>
      </c>
      <c r="C26" s="464" t="s">
        <v>165</v>
      </c>
      <c r="D26" s="464"/>
      <c r="E26" s="31">
        <v>26.18</v>
      </c>
      <c r="F26" s="340">
        <v>3200</v>
      </c>
      <c r="G26" s="330">
        <f t="shared" si="36"/>
        <v>83776</v>
      </c>
      <c r="H26" s="341">
        <v>2</v>
      </c>
      <c r="I26" s="338">
        <v>19</v>
      </c>
      <c r="J26" s="26">
        <v>2400</v>
      </c>
      <c r="K26" s="10">
        <f t="shared" si="43"/>
        <v>126.31578947368421</v>
      </c>
      <c r="L26" s="338">
        <v>19</v>
      </c>
      <c r="M26" s="11">
        <f t="shared" si="37"/>
        <v>2285.7142857142849</v>
      </c>
      <c r="N26" s="10">
        <f t="shared" si="38"/>
        <v>120.30075187969921</v>
      </c>
      <c r="O26" s="12">
        <f t="shared" si="39"/>
        <v>0</v>
      </c>
      <c r="P26" s="13">
        <f t="shared" si="40"/>
        <v>-6.0150375939849994</v>
      </c>
      <c r="Q26" s="332">
        <f t="shared" si="41"/>
        <v>0.95238095238095211</v>
      </c>
      <c r="R26" s="442"/>
      <c r="S26" s="28">
        <v>0.2895833333333333</v>
      </c>
      <c r="T26" s="28">
        <v>0.34791666666666665</v>
      </c>
      <c r="U26" s="330">
        <f t="shared" si="45"/>
        <v>4.9999999999999822</v>
      </c>
      <c r="V26" s="339">
        <f t="shared" si="42"/>
        <v>84.000000000000028</v>
      </c>
      <c r="W26" s="16"/>
      <c r="X26" s="16"/>
      <c r="Y26" s="443"/>
      <c r="Z26" s="443"/>
      <c r="AA26" s="12">
        <f t="shared" si="2"/>
        <v>-114.28571428571513</v>
      </c>
      <c r="AB26" s="332">
        <f t="shared" si="44"/>
        <v>0.952380952380952</v>
      </c>
      <c r="AC26" s="442"/>
    </row>
    <row r="27" spans="1:29" ht="15.75" customHeight="1">
      <c r="A27" s="463" t="s">
        <v>164</v>
      </c>
      <c r="B27" s="31" t="s">
        <v>67</v>
      </c>
      <c r="C27" s="464" t="s">
        <v>77</v>
      </c>
      <c r="D27" s="464"/>
      <c r="E27" s="31">
        <v>26.2</v>
      </c>
      <c r="F27" s="340">
        <v>5074</v>
      </c>
      <c r="G27" s="330">
        <f t="shared" si="36"/>
        <v>132938.79999999999</v>
      </c>
      <c r="H27" s="341" t="s">
        <v>103</v>
      </c>
      <c r="I27" s="338">
        <v>19</v>
      </c>
      <c r="J27" s="26">
        <v>2400</v>
      </c>
      <c r="K27" s="10">
        <f t="shared" si="43"/>
        <v>126.31578947368421</v>
      </c>
      <c r="L27" s="338">
        <v>19</v>
      </c>
      <c r="M27" s="11">
        <f t="shared" si="37"/>
        <v>2271.9402985074626</v>
      </c>
      <c r="N27" s="10">
        <f t="shared" si="38"/>
        <v>119.5758051846033</v>
      </c>
      <c r="O27" s="12">
        <f t="shared" si="39"/>
        <v>0</v>
      </c>
      <c r="P27" s="13">
        <f t="shared" si="40"/>
        <v>-6.7399842890809083</v>
      </c>
      <c r="Q27" s="332">
        <f t="shared" si="41"/>
        <v>0.94664179104477619</v>
      </c>
      <c r="R27" s="442"/>
      <c r="S27" s="28">
        <v>0.35138888888888886</v>
      </c>
      <c r="T27" s="28">
        <v>0.44444444444444442</v>
      </c>
      <c r="U27" s="330">
        <f t="shared" si="45"/>
        <v>4.9999999999999822</v>
      </c>
      <c r="V27" s="339">
        <f t="shared" si="42"/>
        <v>134</v>
      </c>
      <c r="W27" s="16"/>
      <c r="X27" s="16"/>
      <c r="Y27" s="443"/>
      <c r="Z27" s="443"/>
      <c r="AA27" s="12">
        <f t="shared" si="2"/>
        <v>-128.05970149253744</v>
      </c>
      <c r="AB27" s="332">
        <f t="shared" si="44"/>
        <v>0.94664179104477608</v>
      </c>
      <c r="AC27" s="442"/>
    </row>
    <row r="28" spans="1:29" ht="15.75" customHeight="1">
      <c r="A28" s="463" t="s">
        <v>164</v>
      </c>
      <c r="B28" s="31" t="s">
        <v>67</v>
      </c>
      <c r="C28" s="464" t="s">
        <v>78</v>
      </c>
      <c r="D28" s="464"/>
      <c r="E28" s="31">
        <v>25.98</v>
      </c>
      <c r="F28" s="340">
        <v>2965</v>
      </c>
      <c r="G28" s="330">
        <f t="shared" si="36"/>
        <v>77030.7</v>
      </c>
      <c r="H28" s="341" t="s">
        <v>103</v>
      </c>
      <c r="I28" s="338">
        <v>17</v>
      </c>
      <c r="J28" s="26">
        <v>2400</v>
      </c>
      <c r="K28" s="10">
        <f t="shared" si="43"/>
        <v>141.1764705882353</v>
      </c>
      <c r="L28" s="338">
        <v>17</v>
      </c>
      <c r="M28" s="11">
        <f t="shared" si="37"/>
        <v>2280.7692307692296</v>
      </c>
      <c r="N28" s="10">
        <f t="shared" si="38"/>
        <v>134.16289592760174</v>
      </c>
      <c r="O28" s="12">
        <f t="shared" si="39"/>
        <v>0</v>
      </c>
      <c r="P28" s="13">
        <f t="shared" si="40"/>
        <v>-7.0135746606335658</v>
      </c>
      <c r="Q28" s="332">
        <f t="shared" si="41"/>
        <v>0.95032051282051222</v>
      </c>
      <c r="R28" s="442"/>
      <c r="S28" s="28">
        <v>0.44999999999999996</v>
      </c>
      <c r="T28" s="28">
        <v>0.50416666666666665</v>
      </c>
      <c r="U28" s="330">
        <f t="shared" si="45"/>
        <v>7.9999999999999716</v>
      </c>
      <c r="V28" s="339">
        <f t="shared" si="42"/>
        <v>78.000000000000043</v>
      </c>
      <c r="W28" s="16">
        <f>T28</f>
        <v>0.50416666666666665</v>
      </c>
      <c r="X28" s="16">
        <f>S29</f>
        <v>0.5444444444444444</v>
      </c>
      <c r="Y28" s="443"/>
      <c r="Z28" s="443"/>
      <c r="AA28" s="12">
        <f t="shared" si="2"/>
        <v>-119.23076923077042</v>
      </c>
      <c r="AB28" s="332">
        <f t="shared" si="44"/>
        <v>0.95032051282051233</v>
      </c>
      <c r="AC28" s="442"/>
    </row>
    <row r="29" spans="1:29" ht="15.75" customHeight="1">
      <c r="A29" s="463" t="s">
        <v>1611</v>
      </c>
      <c r="B29" s="31" t="s">
        <v>67</v>
      </c>
      <c r="C29" s="464" t="s">
        <v>69</v>
      </c>
      <c r="D29" s="464"/>
      <c r="E29" s="31">
        <v>31.29</v>
      </c>
      <c r="F29" s="340">
        <v>6329</v>
      </c>
      <c r="G29" s="330">
        <f t="shared" si="36"/>
        <v>198034.41</v>
      </c>
      <c r="H29" s="341" t="s">
        <v>103</v>
      </c>
      <c r="I29" s="338">
        <v>18</v>
      </c>
      <c r="J29" s="26">
        <v>2400</v>
      </c>
      <c r="K29" s="10">
        <f t="shared" si="43"/>
        <v>133.33333333333334</v>
      </c>
      <c r="L29" s="338">
        <v>18</v>
      </c>
      <c r="M29" s="11">
        <f t="shared" si="37"/>
        <v>2273.8922155688615</v>
      </c>
      <c r="N29" s="10">
        <f t="shared" si="38"/>
        <v>126.3273453093812</v>
      </c>
      <c r="O29" s="12">
        <f t="shared" si="39"/>
        <v>0</v>
      </c>
      <c r="P29" s="13">
        <f t="shared" si="40"/>
        <v>-7.0059880239521419</v>
      </c>
      <c r="Q29" s="332">
        <f>N29/K29</f>
        <v>0.94745508982035898</v>
      </c>
      <c r="R29" s="442"/>
      <c r="S29" s="28">
        <v>0.5444444444444444</v>
      </c>
      <c r="T29" s="28">
        <v>0.66041666666666665</v>
      </c>
      <c r="U29" s="330">
        <f t="shared" si="45"/>
        <v>57.999999999999957</v>
      </c>
      <c r="V29" s="339">
        <f t="shared" si="42"/>
        <v>167.00000000000006</v>
      </c>
      <c r="W29" s="16"/>
      <c r="X29" s="16"/>
      <c r="Y29" s="443"/>
      <c r="Z29" s="443"/>
      <c r="AA29" s="12">
        <f t="shared" si="2"/>
        <v>-126.1077844311385</v>
      </c>
      <c r="AB29" s="332">
        <f t="shared" si="44"/>
        <v>0.94745508982035898</v>
      </c>
      <c r="AC29" s="442"/>
    </row>
    <row r="30" spans="1:29" ht="15.75" customHeight="1">
      <c r="A30" s="463" t="s">
        <v>164</v>
      </c>
      <c r="B30" s="31" t="s">
        <v>67</v>
      </c>
      <c r="C30" s="464" t="s">
        <v>101</v>
      </c>
      <c r="D30" s="464"/>
      <c r="E30" s="31">
        <v>25</v>
      </c>
      <c r="F30" s="340">
        <v>2168</v>
      </c>
      <c r="G30" s="330">
        <f t="shared" si="36"/>
        <v>54200</v>
      </c>
      <c r="H30" s="341" t="s">
        <v>103</v>
      </c>
      <c r="I30" s="338">
        <v>15</v>
      </c>
      <c r="J30" s="26">
        <v>2400</v>
      </c>
      <c r="K30" s="10">
        <f t="shared" si="43"/>
        <v>160</v>
      </c>
      <c r="L30" s="338">
        <v>15</v>
      </c>
      <c r="M30" s="11">
        <f t="shared" si="37"/>
        <v>2282.1052631578964</v>
      </c>
      <c r="N30" s="10">
        <f t="shared" si="38"/>
        <v>152.1403508771931</v>
      </c>
      <c r="O30" s="12">
        <f t="shared" si="39"/>
        <v>0</v>
      </c>
      <c r="P30" s="13">
        <f t="shared" si="40"/>
        <v>-7.8596491228068999</v>
      </c>
      <c r="Q30" s="332">
        <f>N30/K30</f>
        <v>0.95087719298245688</v>
      </c>
      <c r="R30" s="442"/>
      <c r="S30" s="28">
        <v>0.66527777777777775</v>
      </c>
      <c r="T30" s="28">
        <v>0.70486111111111105</v>
      </c>
      <c r="U30" s="330">
        <f t="shared" si="45"/>
        <v>6.9999999999999751</v>
      </c>
      <c r="V30" s="339">
        <f t="shared" si="42"/>
        <v>56.999999999999957</v>
      </c>
      <c r="W30" s="16"/>
      <c r="X30" s="16"/>
      <c r="Y30" s="443"/>
      <c r="Z30" s="443"/>
      <c r="AA30" s="12">
        <f t="shared" si="2"/>
        <v>-117.89473684210361</v>
      </c>
      <c r="AB30" s="332">
        <f t="shared" si="44"/>
        <v>0.95087719298245688</v>
      </c>
      <c r="AC30" s="442"/>
    </row>
    <row r="31" spans="1:29" ht="15.75" customHeight="1">
      <c r="A31" s="463" t="s">
        <v>1611</v>
      </c>
      <c r="B31" s="31" t="s">
        <v>67</v>
      </c>
      <c r="C31" s="465" t="s">
        <v>68</v>
      </c>
      <c r="D31" s="466"/>
      <c r="E31" s="31">
        <v>26.2</v>
      </c>
      <c r="F31" s="340">
        <v>2244</v>
      </c>
      <c r="G31" s="330">
        <f t="shared" si="36"/>
        <v>58792.799999999996</v>
      </c>
      <c r="H31" s="341" t="s">
        <v>103</v>
      </c>
      <c r="I31" s="338">
        <v>20</v>
      </c>
      <c r="J31" s="26">
        <v>2400</v>
      </c>
      <c r="K31" s="10">
        <f t="shared" si="43"/>
        <v>120</v>
      </c>
      <c r="L31" s="338">
        <v>20</v>
      </c>
      <c r="M31" s="11">
        <f t="shared" si="37"/>
        <v>2282.0338983050865</v>
      </c>
      <c r="N31" s="10">
        <f t="shared" si="38"/>
        <v>114.10169491525433</v>
      </c>
      <c r="O31" s="12">
        <f t="shared" si="39"/>
        <v>0</v>
      </c>
      <c r="P31" s="13">
        <f t="shared" si="40"/>
        <v>-5.8983050847456724</v>
      </c>
      <c r="Q31" s="332">
        <f t="shared" ref="Q31" si="46">N31/K31</f>
        <v>0.95084745762711942</v>
      </c>
      <c r="R31" s="442"/>
      <c r="S31" s="28">
        <v>0.70972222222222214</v>
      </c>
      <c r="T31" s="28">
        <v>0.75069444444444433</v>
      </c>
      <c r="U31" s="330">
        <f t="shared" si="45"/>
        <v>6.9999999999999751</v>
      </c>
      <c r="V31" s="339">
        <f t="shared" si="42"/>
        <v>58.99999999999995</v>
      </c>
      <c r="W31" s="16"/>
      <c r="X31" s="16"/>
      <c r="Y31" s="447"/>
      <c r="Z31" s="448"/>
      <c r="AA31" s="12">
        <f t="shared" si="2"/>
        <v>-117.9661016949135</v>
      </c>
      <c r="AB31" s="332">
        <f t="shared" si="44"/>
        <v>0.95084745762711942</v>
      </c>
      <c r="AC31" s="442"/>
    </row>
    <row r="32" spans="1:29" ht="15.75" customHeight="1">
      <c r="A32" s="463" t="s">
        <v>164</v>
      </c>
      <c r="B32" s="31" t="s">
        <v>1610</v>
      </c>
      <c r="C32" s="446"/>
      <c r="D32" s="446"/>
      <c r="E32" s="331"/>
      <c r="F32" s="340"/>
      <c r="G32" s="330"/>
      <c r="H32" s="340"/>
      <c r="I32" s="19">
        <v>17.888888888888889</v>
      </c>
      <c r="J32" s="26">
        <v>2400</v>
      </c>
      <c r="K32" s="10">
        <f t="shared" si="43"/>
        <v>134.1614906832298</v>
      </c>
      <c r="L32" s="19">
        <v>17.888888888888889</v>
      </c>
      <c r="M32" s="11">
        <f>AVERAGE(M23:M31)</f>
        <v>2279.7654763720766</v>
      </c>
      <c r="N32" s="10">
        <f>M32/L32</f>
        <v>127.44030613260055</v>
      </c>
      <c r="O32" s="12">
        <f>L32-I32</f>
        <v>0</v>
      </c>
      <c r="P32" s="13">
        <f>N32-K32</f>
        <v>-6.7211845506292462</v>
      </c>
      <c r="Q32" s="332">
        <f>N32/K32</f>
        <v>0.94990228182169867</v>
      </c>
      <c r="R32" s="442"/>
      <c r="S32" s="28"/>
      <c r="T32" s="28"/>
      <c r="U32" s="330"/>
      <c r="V32" s="339"/>
      <c r="W32" s="330"/>
      <c r="X32" s="330"/>
      <c r="Y32" s="443"/>
      <c r="Z32" s="443"/>
      <c r="AA32" s="12">
        <f t="shared" si="2"/>
        <v>-120.23452362792341</v>
      </c>
      <c r="AB32" s="332">
        <f>M32/J32</f>
        <v>0.94990228182169856</v>
      </c>
      <c r="AC32" s="442"/>
    </row>
    <row r="33" spans="1:29" ht="15.75" customHeight="1">
      <c r="A33" s="461" t="s">
        <v>234</v>
      </c>
      <c r="B33" s="31" t="s">
        <v>67</v>
      </c>
      <c r="C33" s="441" t="s">
        <v>73</v>
      </c>
      <c r="D33" s="441"/>
      <c r="E33" s="31">
        <v>26.2</v>
      </c>
      <c r="F33" s="340">
        <v>4400</v>
      </c>
      <c r="G33" s="330">
        <f t="shared" ref="G33:G41" si="47">E33*F33</f>
        <v>115280</v>
      </c>
      <c r="H33" s="341">
        <v>2</v>
      </c>
      <c r="I33" s="338">
        <v>18</v>
      </c>
      <c r="J33" s="26">
        <v>2400</v>
      </c>
      <c r="K33" s="10">
        <f>J33/I33</f>
        <v>133.33333333333334</v>
      </c>
      <c r="L33" s="338">
        <v>18</v>
      </c>
      <c r="M33" s="11">
        <f>F33/V33*60</f>
        <v>2275.8620689655172</v>
      </c>
      <c r="N33" s="10">
        <f>M33/L33</f>
        <v>126.43678160919541</v>
      </c>
      <c r="O33" s="12">
        <f t="shared" ref="O33:O41" si="48">L33-I33</f>
        <v>0</v>
      </c>
      <c r="P33" s="13">
        <f t="shared" ref="P33:P49" si="49">N33-K33</f>
        <v>-6.8965517241379359</v>
      </c>
      <c r="Q33" s="332">
        <f t="shared" ref="Q33:Q46" si="50">N33/K33</f>
        <v>0.94827586206896552</v>
      </c>
      <c r="R33" s="442">
        <f>Q42</f>
        <v>0.95110797065212016</v>
      </c>
      <c r="S33" s="28">
        <v>8.3333333333333329E-2</v>
      </c>
      <c r="T33" s="28">
        <v>0.16388888888888889</v>
      </c>
      <c r="U33" s="330"/>
      <c r="V33" s="339">
        <f t="shared" ref="V33:V41" si="51">(T33-S33)*24*60</f>
        <v>116.00000000000001</v>
      </c>
      <c r="W33" s="18">
        <f>T33</f>
        <v>0.16388888888888889</v>
      </c>
      <c r="X33" s="18">
        <f>S34</f>
        <v>0.18124999999999997</v>
      </c>
      <c r="Y33" s="443"/>
      <c r="Z33" s="443"/>
      <c r="AA33" s="12">
        <f t="shared" si="2"/>
        <v>-124.13793103448279</v>
      </c>
      <c r="AB33" s="332">
        <f>M33/J33</f>
        <v>0.94827586206896552</v>
      </c>
      <c r="AC33" s="442">
        <f>AB42</f>
        <v>0.95110797065212016</v>
      </c>
    </row>
    <row r="34" spans="1:29" ht="15.75" customHeight="1">
      <c r="A34" s="461" t="s">
        <v>234</v>
      </c>
      <c r="B34" s="31" t="s">
        <v>67</v>
      </c>
      <c r="C34" s="441" t="s">
        <v>74</v>
      </c>
      <c r="D34" s="441"/>
      <c r="E34" s="31">
        <v>24.45</v>
      </c>
      <c r="F34" s="340">
        <v>2680</v>
      </c>
      <c r="G34" s="330">
        <f t="shared" si="47"/>
        <v>65526</v>
      </c>
      <c r="H34" s="341" t="s">
        <v>103</v>
      </c>
      <c r="I34" s="338">
        <v>20</v>
      </c>
      <c r="J34" s="26">
        <v>2400</v>
      </c>
      <c r="K34" s="10">
        <f t="shared" ref="K34:K48" si="52">J34/I34</f>
        <v>120</v>
      </c>
      <c r="L34" s="338">
        <v>20</v>
      </c>
      <c r="M34" s="11">
        <f t="shared" ref="M34:M41" si="53">F34/V34*60</f>
        <v>2297.1428571428573</v>
      </c>
      <c r="N34" s="10">
        <f t="shared" ref="N34:N41" si="54">M34/L34</f>
        <v>114.85714285714286</v>
      </c>
      <c r="O34" s="12">
        <f t="shared" si="48"/>
        <v>0</v>
      </c>
      <c r="P34" s="13">
        <f t="shared" si="49"/>
        <v>-5.1428571428571388</v>
      </c>
      <c r="Q34" s="332">
        <f t="shared" si="50"/>
        <v>0.95714285714285718</v>
      </c>
      <c r="R34" s="442"/>
      <c r="S34" s="28">
        <v>0.18124999999999997</v>
      </c>
      <c r="T34" s="28">
        <v>0.22986111111111107</v>
      </c>
      <c r="U34" s="330">
        <f>(S34-T33)*24*60</f>
        <v>24.99999999999995</v>
      </c>
      <c r="V34" s="339">
        <f t="shared" si="51"/>
        <v>69.999999999999986</v>
      </c>
      <c r="W34" s="330"/>
      <c r="X34" s="330"/>
      <c r="Y34" s="443"/>
      <c r="Z34" s="443"/>
      <c r="AA34" s="12">
        <f t="shared" si="2"/>
        <v>-102.85714285714266</v>
      </c>
      <c r="AB34" s="332">
        <f t="shared" ref="AB34:AB61" si="55">M34/J34</f>
        <v>0.95714285714285718</v>
      </c>
      <c r="AC34" s="442"/>
    </row>
    <row r="35" spans="1:29">
      <c r="A35" s="462" t="s">
        <v>234</v>
      </c>
      <c r="B35" s="31" t="s">
        <v>67</v>
      </c>
      <c r="C35" s="441" t="s">
        <v>75</v>
      </c>
      <c r="D35" s="441"/>
      <c r="E35" s="31">
        <v>26.39</v>
      </c>
      <c r="F35" s="340">
        <v>4200</v>
      </c>
      <c r="G35" s="330">
        <f t="shared" si="47"/>
        <v>110838</v>
      </c>
      <c r="H35" s="341">
        <v>2</v>
      </c>
      <c r="I35" s="338">
        <v>19</v>
      </c>
      <c r="J35" s="26">
        <v>2400</v>
      </c>
      <c r="K35" s="10">
        <f t="shared" si="52"/>
        <v>126.31578947368421</v>
      </c>
      <c r="L35" s="338">
        <v>19</v>
      </c>
      <c r="M35" s="11">
        <f t="shared" si="53"/>
        <v>2270.2702702702704</v>
      </c>
      <c r="N35" s="10">
        <f t="shared" si="54"/>
        <v>119.48790896159318</v>
      </c>
      <c r="O35" s="12">
        <f t="shared" si="48"/>
        <v>0</v>
      </c>
      <c r="P35" s="13">
        <f t="shared" si="49"/>
        <v>-6.8278805120910278</v>
      </c>
      <c r="Q35" s="332">
        <f t="shared" si="50"/>
        <v>0.94594594594594605</v>
      </c>
      <c r="R35" s="442"/>
      <c r="S35" s="28">
        <v>0.23333333333333328</v>
      </c>
      <c r="T35" s="28">
        <v>0.31041666666666662</v>
      </c>
      <c r="U35" s="330">
        <f t="shared" ref="U35:U41" si="56">(S35-T34)*24*60</f>
        <v>4.9999999999999822</v>
      </c>
      <c r="V35" s="339">
        <f t="shared" si="51"/>
        <v>111</v>
      </c>
      <c r="W35" s="330"/>
      <c r="X35" s="330"/>
      <c r="Y35" s="443"/>
      <c r="Z35" s="443"/>
      <c r="AA35" s="12">
        <f t="shared" si="2"/>
        <v>-129.72972972972957</v>
      </c>
      <c r="AB35" s="332">
        <f t="shared" si="55"/>
        <v>0.94594594594594605</v>
      </c>
      <c r="AC35" s="442"/>
    </row>
    <row r="36" spans="1:29">
      <c r="A36" s="462" t="s">
        <v>234</v>
      </c>
      <c r="B36" s="31" t="s">
        <v>67</v>
      </c>
      <c r="C36" s="441" t="s">
        <v>76</v>
      </c>
      <c r="D36" s="441"/>
      <c r="E36" s="31">
        <v>20.52</v>
      </c>
      <c r="F36" s="340">
        <v>3966</v>
      </c>
      <c r="G36" s="330">
        <f t="shared" si="47"/>
        <v>81382.319999999992</v>
      </c>
      <c r="H36" s="341" t="s">
        <v>103</v>
      </c>
      <c r="I36" s="338">
        <v>18</v>
      </c>
      <c r="J36" s="26">
        <v>2400</v>
      </c>
      <c r="K36" s="10">
        <f t="shared" si="52"/>
        <v>133.33333333333334</v>
      </c>
      <c r="L36" s="338">
        <v>18</v>
      </c>
      <c r="M36" s="11">
        <f t="shared" si="53"/>
        <v>2288.0769230769224</v>
      </c>
      <c r="N36" s="10">
        <f t="shared" si="54"/>
        <v>127.11538461538458</v>
      </c>
      <c r="O36" s="12">
        <f t="shared" si="48"/>
        <v>0</v>
      </c>
      <c r="P36" s="13">
        <f t="shared" si="49"/>
        <v>-6.217948717948758</v>
      </c>
      <c r="Q36" s="332">
        <f t="shared" si="50"/>
        <v>0.95336538461538434</v>
      </c>
      <c r="R36" s="442"/>
      <c r="S36" s="28">
        <v>0.31458333333333327</v>
      </c>
      <c r="T36" s="28">
        <v>0.38680555555555551</v>
      </c>
      <c r="U36" s="330">
        <f t="shared" si="56"/>
        <v>5.9999999999999787</v>
      </c>
      <c r="V36" s="339">
        <f t="shared" si="51"/>
        <v>104.00000000000003</v>
      </c>
      <c r="W36" s="16"/>
      <c r="X36" s="16"/>
      <c r="Y36" s="443"/>
      <c r="Z36" s="443"/>
      <c r="AA36" s="12">
        <f t="shared" si="2"/>
        <v>-111.92307692307759</v>
      </c>
      <c r="AB36" s="332">
        <f t="shared" si="55"/>
        <v>0.95336538461538434</v>
      </c>
      <c r="AC36" s="442"/>
    </row>
    <row r="37" spans="1:29">
      <c r="A37" s="462" t="s">
        <v>234</v>
      </c>
      <c r="B37" s="31" t="s">
        <v>67</v>
      </c>
      <c r="C37" s="441" t="s">
        <v>1167</v>
      </c>
      <c r="D37" s="441"/>
      <c r="E37" s="31">
        <v>24.43</v>
      </c>
      <c r="F37" s="340">
        <v>5000</v>
      </c>
      <c r="G37" s="330">
        <f t="shared" si="47"/>
        <v>122150</v>
      </c>
      <c r="H37" s="341">
        <v>2</v>
      </c>
      <c r="I37" s="338">
        <v>15</v>
      </c>
      <c r="J37" s="26">
        <v>2400</v>
      </c>
      <c r="K37" s="10">
        <f t="shared" si="52"/>
        <v>160</v>
      </c>
      <c r="L37" s="338">
        <v>15</v>
      </c>
      <c r="M37" s="11">
        <f t="shared" si="53"/>
        <v>2290.0763358778627</v>
      </c>
      <c r="N37" s="10">
        <f t="shared" si="54"/>
        <v>152.67175572519085</v>
      </c>
      <c r="O37" s="12">
        <f t="shared" si="48"/>
        <v>0</v>
      </c>
      <c r="P37" s="13">
        <f t="shared" si="49"/>
        <v>-7.3282442748091512</v>
      </c>
      <c r="Q37" s="332">
        <f t="shared" si="50"/>
        <v>0.95419847328244278</v>
      </c>
      <c r="R37" s="442"/>
      <c r="S37" s="28">
        <v>0.39097222222222217</v>
      </c>
      <c r="T37" s="28">
        <v>0.4819444444444444</v>
      </c>
      <c r="U37" s="330">
        <f t="shared" si="56"/>
        <v>5.9999999999999787</v>
      </c>
      <c r="V37" s="339">
        <f t="shared" si="51"/>
        <v>131</v>
      </c>
      <c r="W37" s="16">
        <f>T37</f>
        <v>0.4819444444444444</v>
      </c>
      <c r="X37" s="16">
        <f>S38</f>
        <v>0.52222222222222214</v>
      </c>
      <c r="Y37" s="443"/>
      <c r="Z37" s="443"/>
      <c r="AA37" s="12">
        <f t="shared" si="2"/>
        <v>-109.92366412213732</v>
      </c>
      <c r="AB37" s="332">
        <f t="shared" si="55"/>
        <v>0.95419847328244278</v>
      </c>
      <c r="AC37" s="442"/>
    </row>
    <row r="38" spans="1:29">
      <c r="A38" s="462" t="s">
        <v>1612</v>
      </c>
      <c r="B38" s="31" t="s">
        <v>67</v>
      </c>
      <c r="C38" s="441" t="s">
        <v>1167</v>
      </c>
      <c r="D38" s="441"/>
      <c r="E38" s="31">
        <v>24.43</v>
      </c>
      <c r="F38" s="340">
        <v>3709</v>
      </c>
      <c r="G38" s="330">
        <f t="shared" si="47"/>
        <v>90610.87</v>
      </c>
      <c r="H38" s="341" t="s">
        <v>103</v>
      </c>
      <c r="I38" s="338">
        <v>15</v>
      </c>
      <c r="J38" s="26">
        <v>2400</v>
      </c>
      <c r="K38" s="10">
        <f t="shared" si="52"/>
        <v>160</v>
      </c>
      <c r="L38" s="338">
        <v>15</v>
      </c>
      <c r="M38" s="11">
        <f t="shared" si="53"/>
        <v>2294.2268041237121</v>
      </c>
      <c r="N38" s="10">
        <f t="shared" si="54"/>
        <v>152.94845360824746</v>
      </c>
      <c r="O38" s="12">
        <f t="shared" si="48"/>
        <v>0</v>
      </c>
      <c r="P38" s="13">
        <f t="shared" si="49"/>
        <v>-7.0515463917525381</v>
      </c>
      <c r="Q38" s="332">
        <f t="shared" si="50"/>
        <v>0.95592783505154666</v>
      </c>
      <c r="R38" s="442"/>
      <c r="S38" s="28">
        <v>0.52222222222222214</v>
      </c>
      <c r="T38" s="28">
        <v>0.58958333333333324</v>
      </c>
      <c r="U38" s="330">
        <f t="shared" si="56"/>
        <v>57.999999999999957</v>
      </c>
      <c r="V38" s="339">
        <f t="shared" si="51"/>
        <v>96.999999999999972</v>
      </c>
      <c r="W38" s="16"/>
      <c r="X38" s="16"/>
      <c r="Y38" s="443"/>
      <c r="Z38" s="443"/>
      <c r="AA38" s="12">
        <f t="shared" si="2"/>
        <v>-105.7731958762879</v>
      </c>
      <c r="AB38" s="332">
        <f t="shared" si="55"/>
        <v>0.95592783505154666</v>
      </c>
      <c r="AC38" s="442"/>
    </row>
    <row r="39" spans="1:29">
      <c r="A39" s="462" t="s">
        <v>234</v>
      </c>
      <c r="B39" s="31" t="s">
        <v>67</v>
      </c>
      <c r="C39" s="441" t="s">
        <v>75</v>
      </c>
      <c r="D39" s="441"/>
      <c r="E39" s="31">
        <v>26.39</v>
      </c>
      <c r="F39" s="340">
        <v>3030</v>
      </c>
      <c r="G39" s="330">
        <f t="shared" si="47"/>
        <v>79961.7</v>
      </c>
      <c r="H39" s="341" t="s">
        <v>103</v>
      </c>
      <c r="I39" s="338">
        <v>19</v>
      </c>
      <c r="J39" s="26">
        <v>2400</v>
      </c>
      <c r="K39" s="10">
        <f t="shared" si="52"/>
        <v>126.31578947368421</v>
      </c>
      <c r="L39" s="338">
        <v>19</v>
      </c>
      <c r="M39" s="11">
        <f t="shared" si="53"/>
        <v>2272.4999999999991</v>
      </c>
      <c r="N39" s="10">
        <f t="shared" si="54"/>
        <v>119.60526315789468</v>
      </c>
      <c r="O39" s="12">
        <f t="shared" si="48"/>
        <v>0</v>
      </c>
      <c r="P39" s="13">
        <f t="shared" si="49"/>
        <v>-6.7105263157895223</v>
      </c>
      <c r="Q39" s="332">
        <f t="shared" si="50"/>
        <v>0.94687499999999958</v>
      </c>
      <c r="R39" s="442"/>
      <c r="S39" s="28">
        <v>0.59513888888888877</v>
      </c>
      <c r="T39" s="28">
        <v>0.65069444444444435</v>
      </c>
      <c r="U39" s="330">
        <f t="shared" si="56"/>
        <v>7.9999999999999716</v>
      </c>
      <c r="V39" s="339">
        <f t="shared" si="51"/>
        <v>80.000000000000028</v>
      </c>
      <c r="W39" s="16"/>
      <c r="X39" s="16"/>
      <c r="Y39" s="447"/>
      <c r="Z39" s="448"/>
      <c r="AA39" s="12">
        <f t="shared" si="2"/>
        <v>-127.50000000000091</v>
      </c>
      <c r="AB39" s="332">
        <f t="shared" si="55"/>
        <v>0.94687499999999958</v>
      </c>
      <c r="AC39" s="442"/>
    </row>
    <row r="40" spans="1:29">
      <c r="A40" s="462" t="s">
        <v>234</v>
      </c>
      <c r="B40" s="31" t="s">
        <v>67</v>
      </c>
      <c r="C40" s="441" t="s">
        <v>73</v>
      </c>
      <c r="D40" s="441"/>
      <c r="E40" s="31">
        <v>26.2</v>
      </c>
      <c r="F40" s="340">
        <v>3485</v>
      </c>
      <c r="G40" s="330">
        <f t="shared" si="47"/>
        <v>91307</v>
      </c>
      <c r="H40" s="341" t="s">
        <v>103</v>
      </c>
      <c r="I40" s="338">
        <v>18</v>
      </c>
      <c r="J40" s="26">
        <v>2400</v>
      </c>
      <c r="K40" s="10">
        <f t="shared" si="52"/>
        <v>133.33333333333334</v>
      </c>
      <c r="L40" s="338">
        <v>18</v>
      </c>
      <c r="M40" s="11">
        <f t="shared" si="53"/>
        <v>2272.8260869565215</v>
      </c>
      <c r="N40" s="10">
        <f t="shared" si="54"/>
        <v>126.26811594202897</v>
      </c>
      <c r="O40" s="12">
        <f t="shared" si="48"/>
        <v>0</v>
      </c>
      <c r="P40" s="13">
        <f t="shared" si="49"/>
        <v>-7.0652173913043725</v>
      </c>
      <c r="Q40" s="332">
        <f t="shared" si="50"/>
        <v>0.94701086956521718</v>
      </c>
      <c r="R40" s="442"/>
      <c r="S40" s="28">
        <v>0.65555555555555545</v>
      </c>
      <c r="T40" s="28">
        <v>0.71944444444444433</v>
      </c>
      <c r="U40" s="330">
        <f t="shared" si="56"/>
        <v>6.9999999999999751</v>
      </c>
      <c r="V40" s="339">
        <f t="shared" si="51"/>
        <v>92</v>
      </c>
      <c r="W40" s="16"/>
      <c r="X40" s="16"/>
      <c r="Y40" s="447"/>
      <c r="Z40" s="448"/>
      <c r="AA40" s="12">
        <f t="shared" si="2"/>
        <v>-127.17391304347848</v>
      </c>
      <c r="AB40" s="332">
        <f t="shared" si="55"/>
        <v>0.94701086956521729</v>
      </c>
      <c r="AC40" s="442"/>
    </row>
    <row r="41" spans="1:29">
      <c r="A41" s="462" t="s">
        <v>234</v>
      </c>
      <c r="B41" s="31" t="s">
        <v>67</v>
      </c>
      <c r="C41" s="441" t="s">
        <v>165</v>
      </c>
      <c r="D41" s="441"/>
      <c r="E41" s="31">
        <v>26.18</v>
      </c>
      <c r="F41" s="340">
        <v>2321</v>
      </c>
      <c r="G41" s="330">
        <f t="shared" si="47"/>
        <v>60763.78</v>
      </c>
      <c r="H41" s="341" t="s">
        <v>103</v>
      </c>
      <c r="I41" s="338">
        <v>19</v>
      </c>
      <c r="J41" s="26">
        <v>2400</v>
      </c>
      <c r="K41" s="10">
        <f t="shared" si="52"/>
        <v>126.31578947368421</v>
      </c>
      <c r="L41" s="338">
        <v>19</v>
      </c>
      <c r="M41" s="11">
        <f t="shared" si="53"/>
        <v>2282.9508196721335</v>
      </c>
      <c r="N41" s="10">
        <f t="shared" si="54"/>
        <v>120.15530629853335</v>
      </c>
      <c r="O41" s="12">
        <f t="shared" si="48"/>
        <v>0</v>
      </c>
      <c r="P41" s="13">
        <f t="shared" si="49"/>
        <v>-6.1604831751508584</v>
      </c>
      <c r="Q41" s="332">
        <f t="shared" si="50"/>
        <v>0.95122950819672236</v>
      </c>
      <c r="R41" s="442"/>
      <c r="S41" s="28">
        <v>0.72361111111111098</v>
      </c>
      <c r="T41" s="28">
        <v>0.76597222222222205</v>
      </c>
      <c r="U41" s="330">
        <f t="shared" si="56"/>
        <v>5.9999999999999787</v>
      </c>
      <c r="V41" s="339">
        <f t="shared" si="51"/>
        <v>60.999999999999943</v>
      </c>
      <c r="W41" s="16"/>
      <c r="X41" s="16"/>
      <c r="Y41" s="447"/>
      <c r="Z41" s="448"/>
      <c r="AA41" s="12">
        <f t="shared" si="2"/>
        <v>-117.04918032786645</v>
      </c>
      <c r="AB41" s="332">
        <f t="shared" si="55"/>
        <v>0.95122950819672236</v>
      </c>
      <c r="AC41" s="442"/>
    </row>
    <row r="42" spans="1:29">
      <c r="A42" s="462" t="s">
        <v>234</v>
      </c>
      <c r="B42" s="33" t="s">
        <v>231</v>
      </c>
      <c r="C42" s="446"/>
      <c r="D42" s="446"/>
      <c r="E42" s="331"/>
      <c r="F42" s="33"/>
      <c r="G42" s="10"/>
      <c r="H42" s="340"/>
      <c r="I42" s="19">
        <v>17.888888888888889</v>
      </c>
      <c r="J42" s="26">
        <v>2400</v>
      </c>
      <c r="K42" s="10">
        <f t="shared" si="52"/>
        <v>134.1614906832298</v>
      </c>
      <c r="L42" s="19">
        <v>17.888888888888889</v>
      </c>
      <c r="M42" s="11">
        <f>AVERAGE(M33:M41)</f>
        <v>2282.6591295650883</v>
      </c>
      <c r="N42" s="10">
        <f>M42/L42</f>
        <v>127.60206314339003</v>
      </c>
      <c r="O42" s="12">
        <f>L42-I42</f>
        <v>0</v>
      </c>
      <c r="P42" s="13">
        <f t="shared" si="49"/>
        <v>-6.5594275398397741</v>
      </c>
      <c r="Q42" s="332">
        <f t="shared" si="50"/>
        <v>0.95110797065212016</v>
      </c>
      <c r="R42" s="442"/>
      <c r="S42" s="28"/>
      <c r="T42" s="28"/>
      <c r="U42" s="10"/>
      <c r="V42" s="339"/>
      <c r="W42" s="10"/>
      <c r="X42" s="10"/>
      <c r="Y42" s="443"/>
      <c r="Z42" s="443"/>
      <c r="AA42" s="12">
        <f t="shared" si="2"/>
        <v>-117.34087043491172</v>
      </c>
      <c r="AB42" s="332">
        <f t="shared" si="55"/>
        <v>0.95110797065212016</v>
      </c>
      <c r="AC42" s="442"/>
    </row>
    <row r="43" spans="1:29" ht="15.75" customHeight="1">
      <c r="A43" s="453" t="s">
        <v>246</v>
      </c>
      <c r="B43" s="31" t="s">
        <v>79</v>
      </c>
      <c r="C43" s="444" t="s">
        <v>80</v>
      </c>
      <c r="D43" s="445"/>
      <c r="E43" s="31">
        <v>21.13</v>
      </c>
      <c r="F43" s="340">
        <v>5671</v>
      </c>
      <c r="G43" s="330">
        <f t="shared" ref="G43:G48" si="57">E43*F43</f>
        <v>119828.23</v>
      </c>
      <c r="H43" s="341" t="s">
        <v>103</v>
      </c>
      <c r="I43" s="338">
        <v>10</v>
      </c>
      <c r="J43" s="26">
        <v>3000</v>
      </c>
      <c r="K43" s="10">
        <f t="shared" si="52"/>
        <v>300</v>
      </c>
      <c r="L43" s="338">
        <v>10</v>
      </c>
      <c r="M43" s="11">
        <f t="shared" ref="M43:M44" si="58">F43/V43*60</f>
        <v>2859.3277310924368</v>
      </c>
      <c r="N43" s="11">
        <f t="shared" ref="N43:N49" si="59">M43/L43</f>
        <v>285.93277310924367</v>
      </c>
      <c r="O43" s="12">
        <f t="shared" ref="O43:O49" si="60">L43-I43</f>
        <v>0</v>
      </c>
      <c r="P43" s="13">
        <f t="shared" si="49"/>
        <v>-14.067226890756331</v>
      </c>
      <c r="Q43" s="332">
        <f t="shared" si="50"/>
        <v>0.95310924369747885</v>
      </c>
      <c r="R43" s="456">
        <f>Q49</f>
        <v>0.95459678302815576</v>
      </c>
      <c r="S43" s="28">
        <v>8.3333333333333329E-2</v>
      </c>
      <c r="T43" s="28">
        <v>0.16597222222222222</v>
      </c>
      <c r="U43" s="18"/>
      <c r="V43" s="339">
        <f t="shared" ref="V43:V48" si="61">(T43-S43)*24*60</f>
        <v>119</v>
      </c>
      <c r="W43" s="16">
        <f>T43</f>
        <v>0.16597222222222222</v>
      </c>
      <c r="X43" s="16">
        <f>S44</f>
        <v>0.18680555555555556</v>
      </c>
      <c r="Y43" s="447"/>
      <c r="Z43" s="448"/>
      <c r="AA43" s="12">
        <f t="shared" si="2"/>
        <v>-140.67226890756319</v>
      </c>
      <c r="AB43" s="332">
        <f t="shared" si="55"/>
        <v>0.95310924369747896</v>
      </c>
      <c r="AC43" s="456">
        <f>AB49</f>
        <v>0.95459678302815565</v>
      </c>
    </row>
    <row r="44" spans="1:29" ht="15.75" customHeight="1">
      <c r="A44" s="454" t="s">
        <v>246</v>
      </c>
      <c r="B44" s="31" t="s">
        <v>79</v>
      </c>
      <c r="C44" s="444" t="s">
        <v>81</v>
      </c>
      <c r="D44" s="445"/>
      <c r="E44" s="31">
        <v>27.17</v>
      </c>
      <c r="F44" s="340">
        <v>7297</v>
      </c>
      <c r="G44" s="330">
        <f t="shared" si="57"/>
        <v>198259.49000000002</v>
      </c>
      <c r="H44" s="341" t="s">
        <v>103</v>
      </c>
      <c r="I44" s="338">
        <v>10</v>
      </c>
      <c r="J44" s="26">
        <v>3000</v>
      </c>
      <c r="K44" s="10">
        <f t="shared" si="52"/>
        <v>300</v>
      </c>
      <c r="L44" s="338">
        <v>10</v>
      </c>
      <c r="M44" s="11">
        <f t="shared" si="58"/>
        <v>2842.9870129870133</v>
      </c>
      <c r="N44" s="11">
        <f t="shared" si="59"/>
        <v>284.2987012987013</v>
      </c>
      <c r="O44" s="12">
        <f t="shared" si="60"/>
        <v>0</v>
      </c>
      <c r="P44" s="13">
        <f t="shared" si="49"/>
        <v>-15.701298701298697</v>
      </c>
      <c r="Q44" s="332">
        <f t="shared" si="50"/>
        <v>0.94766233766233765</v>
      </c>
      <c r="R44" s="457"/>
      <c r="S44" s="28">
        <v>0.18680555555555556</v>
      </c>
      <c r="T44" s="28">
        <v>0.29375000000000001</v>
      </c>
      <c r="U44" s="330">
        <f>(S44-T43)*24*60</f>
        <v>30.000000000000014</v>
      </c>
      <c r="V44" s="339">
        <f t="shared" si="61"/>
        <v>154</v>
      </c>
      <c r="W44" s="16"/>
      <c r="X44" s="16"/>
      <c r="Y44" s="447"/>
      <c r="Z44" s="448"/>
      <c r="AA44" s="12">
        <f t="shared" si="2"/>
        <v>-157.01298701298674</v>
      </c>
      <c r="AB44" s="332">
        <f t="shared" si="55"/>
        <v>0.94766233766233776</v>
      </c>
      <c r="AC44" s="457"/>
    </row>
    <row r="45" spans="1:29" ht="15.75" customHeight="1">
      <c r="A45" s="454" t="s">
        <v>246</v>
      </c>
      <c r="B45" s="31" t="s">
        <v>79</v>
      </c>
      <c r="C45" s="444" t="s">
        <v>82</v>
      </c>
      <c r="D45" s="445"/>
      <c r="E45" s="31">
        <v>35.119999999999997</v>
      </c>
      <c r="F45" s="340">
        <v>5155</v>
      </c>
      <c r="G45" s="330">
        <f t="shared" si="57"/>
        <v>181043.59999999998</v>
      </c>
      <c r="H45" s="341" t="s">
        <v>103</v>
      </c>
      <c r="I45" s="338">
        <v>10</v>
      </c>
      <c r="J45" s="26">
        <v>3000</v>
      </c>
      <c r="K45" s="10">
        <f t="shared" si="52"/>
        <v>300</v>
      </c>
      <c r="L45" s="338">
        <v>10</v>
      </c>
      <c r="M45" s="11">
        <f>F45/V45*60</f>
        <v>2863.8888888888882</v>
      </c>
      <c r="N45" s="11">
        <f t="shared" si="59"/>
        <v>286.3888888888888</v>
      </c>
      <c r="O45" s="12">
        <f t="shared" si="60"/>
        <v>0</v>
      </c>
      <c r="P45" s="13">
        <f t="shared" si="49"/>
        <v>-13.6111111111112</v>
      </c>
      <c r="Q45" s="332">
        <f t="shared" si="50"/>
        <v>0.95462962962962938</v>
      </c>
      <c r="R45" s="457"/>
      <c r="S45" s="28">
        <v>0.29930555555555555</v>
      </c>
      <c r="T45" s="28">
        <v>0.37430555555555556</v>
      </c>
      <c r="U45" s="330">
        <f t="shared" ref="U45:U48" si="62">(S45-T44)*24*60</f>
        <v>7.9999999999999716</v>
      </c>
      <c r="V45" s="339">
        <f t="shared" si="61"/>
        <v>108.00000000000001</v>
      </c>
      <c r="W45" s="16"/>
      <c r="X45" s="16"/>
      <c r="Y45" s="447"/>
      <c r="Z45" s="448"/>
      <c r="AA45" s="12">
        <f t="shared" si="2"/>
        <v>-136.11111111111177</v>
      </c>
      <c r="AB45" s="332">
        <f t="shared" si="55"/>
        <v>0.95462962962962938</v>
      </c>
      <c r="AC45" s="457"/>
    </row>
    <row r="46" spans="1:29" ht="15.75" customHeight="1">
      <c r="A46" s="454" t="s">
        <v>246</v>
      </c>
      <c r="B46" s="31" t="s">
        <v>79</v>
      </c>
      <c r="C46" s="444" t="s">
        <v>85</v>
      </c>
      <c r="D46" s="445"/>
      <c r="E46" s="31">
        <v>35.869999999999997</v>
      </c>
      <c r="F46" s="340">
        <v>3424</v>
      </c>
      <c r="G46" s="330">
        <f t="shared" si="57"/>
        <v>122818.87999999999</v>
      </c>
      <c r="H46" s="341" t="s">
        <v>103</v>
      </c>
      <c r="I46" s="338">
        <v>10</v>
      </c>
      <c r="J46" s="26">
        <v>3000</v>
      </c>
      <c r="K46" s="10">
        <f t="shared" si="52"/>
        <v>300</v>
      </c>
      <c r="L46" s="338">
        <v>10</v>
      </c>
      <c r="M46" s="11">
        <f t="shared" ref="M46:M48" si="63">F46/V46*60</f>
        <v>2853.3333333333339</v>
      </c>
      <c r="N46" s="11">
        <f t="shared" si="59"/>
        <v>285.33333333333337</v>
      </c>
      <c r="O46" s="12">
        <f t="shared" si="60"/>
        <v>0</v>
      </c>
      <c r="P46" s="13">
        <f t="shared" si="49"/>
        <v>-14.666666666666629</v>
      </c>
      <c r="Q46" s="332">
        <f t="shared" si="50"/>
        <v>0.95111111111111124</v>
      </c>
      <c r="R46" s="457"/>
      <c r="S46" s="28">
        <v>0.37847222222222221</v>
      </c>
      <c r="T46" s="28">
        <v>0.4284722222222222</v>
      </c>
      <c r="U46" s="330">
        <f t="shared" si="62"/>
        <v>5.9999999999999787</v>
      </c>
      <c r="V46" s="339">
        <f t="shared" si="61"/>
        <v>71.999999999999986</v>
      </c>
      <c r="W46" s="16"/>
      <c r="X46" s="16"/>
      <c r="Y46" s="447"/>
      <c r="Z46" s="448"/>
      <c r="AA46" s="12">
        <f t="shared" si="2"/>
        <v>-146.66666666666606</v>
      </c>
      <c r="AB46" s="332">
        <f t="shared" si="55"/>
        <v>0.95111111111111135</v>
      </c>
      <c r="AC46" s="457"/>
    </row>
    <row r="47" spans="1:29" ht="15.75" customHeight="1">
      <c r="A47" s="454" t="s">
        <v>1613</v>
      </c>
      <c r="B47" s="31" t="s">
        <v>79</v>
      </c>
      <c r="C47" s="444" t="s">
        <v>86</v>
      </c>
      <c r="D47" s="445"/>
      <c r="E47" s="31">
        <v>36.14</v>
      </c>
      <c r="F47" s="340">
        <v>2480</v>
      </c>
      <c r="G47" s="330">
        <f t="shared" si="57"/>
        <v>89627.199999999997</v>
      </c>
      <c r="H47" s="341" t="s">
        <v>103</v>
      </c>
      <c r="I47" s="338">
        <v>8</v>
      </c>
      <c r="J47" s="26">
        <v>3000</v>
      </c>
      <c r="K47" s="10">
        <f t="shared" si="52"/>
        <v>375</v>
      </c>
      <c r="L47" s="338">
        <v>8</v>
      </c>
      <c r="M47" s="11">
        <f t="shared" si="63"/>
        <v>2861.5384615384633</v>
      </c>
      <c r="N47" s="11">
        <f t="shared" si="59"/>
        <v>357.69230769230791</v>
      </c>
      <c r="O47" s="12">
        <f t="shared" si="60"/>
        <v>0</v>
      </c>
      <c r="P47" s="13">
        <f t="shared" si="49"/>
        <v>-17.307692307692093</v>
      </c>
      <c r="Q47" s="332">
        <f>N47/K47</f>
        <v>0.95384615384615445</v>
      </c>
      <c r="R47" s="457"/>
      <c r="S47" s="28">
        <v>0.43194444444444441</v>
      </c>
      <c r="T47" s="28">
        <v>0.4680555555555555</v>
      </c>
      <c r="U47" s="330">
        <f t="shared" si="62"/>
        <v>4.9999999999999822</v>
      </c>
      <c r="V47" s="339">
        <f t="shared" si="61"/>
        <v>51.999999999999972</v>
      </c>
      <c r="W47" s="16"/>
      <c r="X47" s="16"/>
      <c r="Y47" s="447"/>
      <c r="Z47" s="448"/>
      <c r="AA47" s="12">
        <f t="shared" si="2"/>
        <v>-138.46153846153675</v>
      </c>
      <c r="AB47" s="332">
        <f t="shared" si="55"/>
        <v>0.95384615384615445</v>
      </c>
      <c r="AC47" s="457"/>
    </row>
    <row r="48" spans="1:29" ht="15.75" customHeight="1">
      <c r="A48" s="454" t="s">
        <v>1613</v>
      </c>
      <c r="B48" s="31" t="s">
        <v>79</v>
      </c>
      <c r="C48" s="444" t="s">
        <v>95</v>
      </c>
      <c r="D48" s="445"/>
      <c r="E48" s="31">
        <v>35.369999999999997</v>
      </c>
      <c r="F48" s="340">
        <v>1741</v>
      </c>
      <c r="G48" s="330">
        <f t="shared" si="57"/>
        <v>61579.17</v>
      </c>
      <c r="H48" s="341" t="s">
        <v>103</v>
      </c>
      <c r="I48" s="338">
        <v>10</v>
      </c>
      <c r="J48" s="26">
        <v>3000</v>
      </c>
      <c r="K48" s="10">
        <f t="shared" si="52"/>
        <v>300</v>
      </c>
      <c r="L48" s="338">
        <v>10</v>
      </c>
      <c r="M48" s="11">
        <f t="shared" si="63"/>
        <v>2901.6666666666642</v>
      </c>
      <c r="N48" s="11">
        <f t="shared" si="59"/>
        <v>290.1666666666664</v>
      </c>
      <c r="O48" s="12">
        <f t="shared" si="60"/>
        <v>0</v>
      </c>
      <c r="P48" s="13">
        <f t="shared" si="49"/>
        <v>-9.8333333333335986</v>
      </c>
      <c r="Q48" s="332">
        <f t="shared" ref="Q48:Q49" si="64">N48/K48</f>
        <v>0.96722222222222132</v>
      </c>
      <c r="R48" s="457"/>
      <c r="S48" s="28">
        <v>0.47361111111111104</v>
      </c>
      <c r="T48" s="28">
        <v>0.49861111111111106</v>
      </c>
      <c r="U48" s="330">
        <f t="shared" si="62"/>
        <v>7.9999999999999716</v>
      </c>
      <c r="V48" s="339">
        <f t="shared" si="61"/>
        <v>36.000000000000028</v>
      </c>
      <c r="W48" s="16"/>
      <c r="X48" s="16"/>
      <c r="Y48" s="447"/>
      <c r="Z48" s="448"/>
      <c r="AA48" s="12">
        <f t="shared" si="2"/>
        <v>-98.333333333335759</v>
      </c>
      <c r="AB48" s="332">
        <f t="shared" si="55"/>
        <v>0.96722222222222143</v>
      </c>
      <c r="AC48" s="457"/>
    </row>
    <row r="49" spans="1:29" ht="15.75" customHeight="1">
      <c r="A49" s="455" t="s">
        <v>246</v>
      </c>
      <c r="B49" s="31" t="s">
        <v>1610</v>
      </c>
      <c r="C49" s="459"/>
      <c r="D49" s="460"/>
      <c r="E49" s="337"/>
      <c r="F49" s="340"/>
      <c r="G49" s="330"/>
      <c r="H49" s="340"/>
      <c r="I49" s="19">
        <v>9.6666666666666661</v>
      </c>
      <c r="J49" s="26">
        <v>3000</v>
      </c>
      <c r="K49" s="10">
        <f>J49/I49</f>
        <v>310.34482758620692</v>
      </c>
      <c r="L49" s="19">
        <v>9.6666666666666661</v>
      </c>
      <c r="M49" s="11">
        <f>AVERAGE(M43:M48)</f>
        <v>2863.7903490844669</v>
      </c>
      <c r="N49" s="10">
        <f t="shared" si="59"/>
        <v>296.25417404322076</v>
      </c>
      <c r="O49" s="12">
        <f t="shared" si="60"/>
        <v>0</v>
      </c>
      <c r="P49" s="13">
        <f t="shared" si="49"/>
        <v>-14.090653542986161</v>
      </c>
      <c r="Q49" s="332">
        <f t="shared" si="64"/>
        <v>0.95459678302815576</v>
      </c>
      <c r="R49" s="458"/>
      <c r="S49" s="28"/>
      <c r="T49" s="28"/>
      <c r="U49" s="330"/>
      <c r="V49" s="339"/>
      <c r="W49" s="16"/>
      <c r="X49" s="16"/>
      <c r="Y49" s="447"/>
      <c r="Z49" s="448"/>
      <c r="AA49" s="12">
        <f t="shared" si="2"/>
        <v>-136.20965091553308</v>
      </c>
      <c r="AB49" s="332">
        <f t="shared" si="55"/>
        <v>0.95459678302815565</v>
      </c>
      <c r="AC49" s="458"/>
    </row>
    <row r="50" spans="1:29" ht="15.75" customHeight="1">
      <c r="A50" s="451" t="s">
        <v>247</v>
      </c>
      <c r="B50" s="31" t="s">
        <v>53</v>
      </c>
      <c r="C50" s="441" t="s">
        <v>87</v>
      </c>
      <c r="D50" s="441"/>
      <c r="E50" s="31">
        <v>46</v>
      </c>
      <c r="F50" s="35">
        <v>3509</v>
      </c>
      <c r="G50" s="330">
        <f t="shared" ref="G50:G55" si="65">E50*F50</f>
        <v>161414</v>
      </c>
      <c r="H50" s="341" t="s">
        <v>103</v>
      </c>
      <c r="I50" s="338">
        <v>17</v>
      </c>
      <c r="J50" s="26">
        <v>2000</v>
      </c>
      <c r="K50" s="10">
        <f t="shared" ref="K50:K55" si="66">J50/I50</f>
        <v>117.64705882352941</v>
      </c>
      <c r="L50" s="338">
        <v>17</v>
      </c>
      <c r="M50" s="11">
        <f t="shared" ref="M50:M55" si="67">F50/V50*60</f>
        <v>1896.7567567567567</v>
      </c>
      <c r="N50" s="11">
        <f>M50/L50</f>
        <v>111.57392686804451</v>
      </c>
      <c r="O50" s="12">
        <f>L50-I50</f>
        <v>0</v>
      </c>
      <c r="P50" s="13">
        <f>N50-K50</f>
        <v>-6.0731319554848966</v>
      </c>
      <c r="Q50" s="332">
        <f>N50/K50</f>
        <v>0.94837837837837835</v>
      </c>
      <c r="R50" s="442">
        <f>Q56</f>
        <v>0.95093532995962016</v>
      </c>
      <c r="S50" s="28">
        <v>0.29166666666666669</v>
      </c>
      <c r="T50" s="28">
        <v>0.36875000000000002</v>
      </c>
      <c r="U50" s="18"/>
      <c r="V50" s="339">
        <f t="shared" ref="V50:V55" si="68">(T50-S50)*24*60</f>
        <v>111</v>
      </c>
      <c r="W50" s="18"/>
      <c r="X50" s="18"/>
      <c r="Y50" s="443"/>
      <c r="Z50" s="443"/>
      <c r="AA50" s="12">
        <f t="shared" si="2"/>
        <v>-103.24324324324334</v>
      </c>
      <c r="AB50" s="332">
        <f t="shared" si="55"/>
        <v>0.94837837837837835</v>
      </c>
      <c r="AC50" s="442">
        <f>AB56</f>
        <v>0.95093532995962005</v>
      </c>
    </row>
    <row r="51" spans="1:29" ht="15.75" customHeight="1">
      <c r="A51" s="451" t="s">
        <v>247</v>
      </c>
      <c r="B51" s="31" t="s">
        <v>53</v>
      </c>
      <c r="C51" s="441" t="s">
        <v>88</v>
      </c>
      <c r="D51" s="441"/>
      <c r="E51" s="31">
        <v>46</v>
      </c>
      <c r="F51" s="35">
        <v>3561</v>
      </c>
      <c r="G51" s="330">
        <f t="shared" si="65"/>
        <v>163806</v>
      </c>
      <c r="H51" s="341" t="s">
        <v>103</v>
      </c>
      <c r="I51" s="338">
        <v>17</v>
      </c>
      <c r="J51" s="26">
        <v>2000</v>
      </c>
      <c r="K51" s="10">
        <f t="shared" si="66"/>
        <v>117.64705882352941</v>
      </c>
      <c r="L51" s="338">
        <v>17</v>
      </c>
      <c r="M51" s="11">
        <f t="shared" si="67"/>
        <v>1907.6785714285716</v>
      </c>
      <c r="N51" s="11">
        <f t="shared" ref="N51:N55" si="69">M51/L51</f>
        <v>112.21638655462186</v>
      </c>
      <c r="O51" s="12">
        <f t="shared" ref="O51:O55" si="70">L51-I51</f>
        <v>0</v>
      </c>
      <c r="P51" s="13">
        <f t="shared" ref="P51:P55" si="71">N51-K51</f>
        <v>-5.4306722689075428</v>
      </c>
      <c r="Q51" s="332">
        <f t="shared" ref="Q51:Q55" si="72">N51/K51</f>
        <v>0.95383928571428589</v>
      </c>
      <c r="R51" s="442"/>
      <c r="S51" s="28">
        <v>0.37291666666666667</v>
      </c>
      <c r="T51" s="28">
        <v>0.45069444444444445</v>
      </c>
      <c r="U51" s="330">
        <f>IF(S51=TIME(17,0,0),"",(S51-T50)*24*60)</f>
        <v>5.9999999999999787</v>
      </c>
      <c r="V51" s="339">
        <f t="shared" si="68"/>
        <v>112</v>
      </c>
      <c r="W51" s="16"/>
      <c r="X51" s="16"/>
      <c r="Y51" s="443"/>
      <c r="Z51" s="443"/>
      <c r="AA51" s="12">
        <f t="shared" si="2"/>
        <v>-92.321428571428442</v>
      </c>
      <c r="AB51" s="332">
        <f t="shared" si="55"/>
        <v>0.95383928571428578</v>
      </c>
      <c r="AC51" s="442"/>
    </row>
    <row r="52" spans="1:29" ht="15.75" customHeight="1">
      <c r="A52" s="451" t="s">
        <v>247</v>
      </c>
      <c r="B52" s="31" t="s">
        <v>58</v>
      </c>
      <c r="C52" s="444" t="s">
        <v>168</v>
      </c>
      <c r="D52" s="445"/>
      <c r="E52" s="31">
        <v>54.09</v>
      </c>
      <c r="F52" s="35">
        <v>1894</v>
      </c>
      <c r="G52" s="330">
        <f t="shared" si="65"/>
        <v>102446.46</v>
      </c>
      <c r="H52" s="341" t="s">
        <v>103</v>
      </c>
      <c r="I52" s="338">
        <v>16</v>
      </c>
      <c r="J52" s="26">
        <v>2000</v>
      </c>
      <c r="K52" s="10">
        <f t="shared" si="66"/>
        <v>125</v>
      </c>
      <c r="L52" s="338">
        <v>16</v>
      </c>
      <c r="M52" s="11">
        <f t="shared" si="67"/>
        <v>1893.9999999999991</v>
      </c>
      <c r="N52" s="11">
        <f t="shared" si="69"/>
        <v>118.37499999999994</v>
      </c>
      <c r="O52" s="12">
        <f t="shared" si="70"/>
        <v>0</v>
      </c>
      <c r="P52" s="13">
        <f t="shared" si="71"/>
        <v>-6.6250000000000568</v>
      </c>
      <c r="Q52" s="332">
        <f t="shared" si="72"/>
        <v>0.94699999999999951</v>
      </c>
      <c r="R52" s="442"/>
      <c r="S52" s="28">
        <v>0.45555555555555555</v>
      </c>
      <c r="T52" s="28">
        <v>0.49722222222222223</v>
      </c>
      <c r="U52" s="330">
        <f t="shared" ref="U52:U55" si="73">IF(S52=TIME(17,0,0),"",(S52-T51)*24*60)</f>
        <v>6.9999999999999751</v>
      </c>
      <c r="V52" s="339">
        <f t="shared" si="68"/>
        <v>60.000000000000028</v>
      </c>
      <c r="W52" s="16"/>
      <c r="X52" s="16"/>
      <c r="Y52" s="335"/>
      <c r="Z52" s="336"/>
      <c r="AA52" s="12">
        <f t="shared" si="2"/>
        <v>-106.00000000000091</v>
      </c>
      <c r="AB52" s="332">
        <f t="shared" si="55"/>
        <v>0.94699999999999951</v>
      </c>
      <c r="AC52" s="442"/>
    </row>
    <row r="53" spans="1:29" ht="15.75" customHeight="1">
      <c r="A53" s="451" t="s">
        <v>247</v>
      </c>
      <c r="B53" s="31" t="s">
        <v>58</v>
      </c>
      <c r="C53" s="333" t="s">
        <v>89</v>
      </c>
      <c r="D53" s="334"/>
      <c r="E53" s="31">
        <v>55.56</v>
      </c>
      <c r="F53" s="35">
        <v>2413</v>
      </c>
      <c r="G53" s="330">
        <f t="shared" si="65"/>
        <v>134066.28</v>
      </c>
      <c r="H53" s="341" t="s">
        <v>103</v>
      </c>
      <c r="I53" s="338">
        <v>17</v>
      </c>
      <c r="J53" s="26">
        <v>2000</v>
      </c>
      <c r="K53" s="10">
        <f t="shared" si="66"/>
        <v>117.64705882352941</v>
      </c>
      <c r="L53" s="338">
        <v>17</v>
      </c>
      <c r="M53" s="11">
        <f t="shared" si="67"/>
        <v>1904.9999999999984</v>
      </c>
      <c r="N53" s="11">
        <f t="shared" si="69"/>
        <v>112.05882352941167</v>
      </c>
      <c r="O53" s="12">
        <f t="shared" si="70"/>
        <v>0</v>
      </c>
      <c r="P53" s="13">
        <f t="shared" si="71"/>
        <v>-5.5882352941177373</v>
      </c>
      <c r="Q53" s="332">
        <f t="shared" si="72"/>
        <v>0.95249999999999924</v>
      </c>
      <c r="R53" s="442"/>
      <c r="S53" s="28">
        <v>0.70833333333333337</v>
      </c>
      <c r="T53" s="28">
        <v>0.76111111111111118</v>
      </c>
      <c r="U53" s="330" t="str">
        <f t="shared" si="73"/>
        <v/>
      </c>
      <c r="V53" s="339">
        <f t="shared" si="68"/>
        <v>76.000000000000057</v>
      </c>
      <c r="W53" s="16"/>
      <c r="X53" s="16"/>
      <c r="Y53" s="335"/>
      <c r="Z53" s="336"/>
      <c r="AA53" s="12">
        <f t="shared" si="2"/>
        <v>-95.000000000001592</v>
      </c>
      <c r="AB53" s="332">
        <f t="shared" si="55"/>
        <v>0.95249999999999924</v>
      </c>
      <c r="AC53" s="442"/>
    </row>
    <row r="54" spans="1:29" ht="15.75" customHeight="1">
      <c r="A54" s="451" t="s">
        <v>247</v>
      </c>
      <c r="B54" s="31" t="s">
        <v>58</v>
      </c>
      <c r="C54" s="333" t="s">
        <v>90</v>
      </c>
      <c r="D54" s="334"/>
      <c r="E54" s="31">
        <v>55.32</v>
      </c>
      <c r="F54" s="35">
        <v>1926</v>
      </c>
      <c r="G54" s="330">
        <f t="shared" si="65"/>
        <v>106546.32</v>
      </c>
      <c r="H54" s="341" t="s">
        <v>103</v>
      </c>
      <c r="I54" s="338">
        <v>15</v>
      </c>
      <c r="J54" s="26">
        <v>2000</v>
      </c>
      <c r="K54" s="10">
        <f t="shared" si="66"/>
        <v>133.33333333333334</v>
      </c>
      <c r="L54" s="338">
        <v>15</v>
      </c>
      <c r="M54" s="11">
        <f t="shared" si="67"/>
        <v>1894.4262295081985</v>
      </c>
      <c r="N54" s="11">
        <f t="shared" si="69"/>
        <v>126.29508196721324</v>
      </c>
      <c r="O54" s="12">
        <f t="shared" si="70"/>
        <v>0</v>
      </c>
      <c r="P54" s="13">
        <f t="shared" si="71"/>
        <v>-7.0382513661201074</v>
      </c>
      <c r="Q54" s="332">
        <f t="shared" si="72"/>
        <v>0.94721311475409919</v>
      </c>
      <c r="R54" s="442"/>
      <c r="S54" s="28">
        <v>0.76458333333333339</v>
      </c>
      <c r="T54" s="28">
        <v>0.80694444444444446</v>
      </c>
      <c r="U54" s="330">
        <f t="shared" si="73"/>
        <v>4.9999999999999822</v>
      </c>
      <c r="V54" s="339">
        <f t="shared" si="68"/>
        <v>60.999999999999943</v>
      </c>
      <c r="W54" s="16"/>
      <c r="X54" s="16"/>
      <c r="Y54" s="335"/>
      <c r="Z54" s="336"/>
      <c r="AA54" s="12">
        <f t="shared" si="2"/>
        <v>-105.5737704918015</v>
      </c>
      <c r="AB54" s="332">
        <f t="shared" si="55"/>
        <v>0.94721311475409931</v>
      </c>
      <c r="AC54" s="442"/>
    </row>
    <row r="55" spans="1:29" ht="15.75" customHeight="1">
      <c r="A55" s="451" t="s">
        <v>247</v>
      </c>
      <c r="B55" s="31" t="s">
        <v>58</v>
      </c>
      <c r="C55" s="444" t="s">
        <v>91</v>
      </c>
      <c r="D55" s="445"/>
      <c r="E55" s="31">
        <v>57.73</v>
      </c>
      <c r="F55" s="35">
        <v>1366</v>
      </c>
      <c r="G55" s="330">
        <f t="shared" si="65"/>
        <v>78859.179999999993</v>
      </c>
      <c r="H55" s="341" t="s">
        <v>103</v>
      </c>
      <c r="I55" s="338">
        <v>16</v>
      </c>
      <c r="J55" s="26">
        <v>1500</v>
      </c>
      <c r="K55" s="10">
        <f t="shared" si="66"/>
        <v>93.75</v>
      </c>
      <c r="L55" s="338">
        <v>16</v>
      </c>
      <c r="M55" s="11">
        <f t="shared" si="67"/>
        <v>1437.8947368421063</v>
      </c>
      <c r="N55" s="11">
        <f t="shared" si="69"/>
        <v>89.868421052631646</v>
      </c>
      <c r="O55" s="12">
        <f t="shared" si="70"/>
        <v>0</v>
      </c>
      <c r="P55" s="13">
        <f t="shared" si="71"/>
        <v>-3.8815789473683537</v>
      </c>
      <c r="Q55" s="332">
        <f t="shared" si="72"/>
        <v>0.95859649122807089</v>
      </c>
      <c r="R55" s="442"/>
      <c r="S55" s="28">
        <v>0.81041666666666667</v>
      </c>
      <c r="T55" s="28">
        <v>0.85</v>
      </c>
      <c r="U55" s="330">
        <f t="shared" si="73"/>
        <v>4.9999999999999822</v>
      </c>
      <c r="V55" s="339">
        <f t="shared" si="68"/>
        <v>56.999999999999957</v>
      </c>
      <c r="W55" s="16"/>
      <c r="X55" s="16"/>
      <c r="Y55" s="447"/>
      <c r="Z55" s="448"/>
      <c r="AA55" s="12">
        <f t="shared" si="2"/>
        <v>-62.10526315789366</v>
      </c>
      <c r="AB55" s="332">
        <f t="shared" si="55"/>
        <v>0.95859649122807089</v>
      </c>
      <c r="AC55" s="442"/>
    </row>
    <row r="56" spans="1:29">
      <c r="A56" s="452" t="s">
        <v>247</v>
      </c>
      <c r="B56" s="31" t="s">
        <v>231</v>
      </c>
      <c r="C56" s="446"/>
      <c r="D56" s="446"/>
      <c r="E56" s="331"/>
      <c r="F56" s="33"/>
      <c r="G56" s="10"/>
      <c r="H56" s="340"/>
      <c r="I56" s="19">
        <v>16.333333333333332</v>
      </c>
      <c r="J56" s="26">
        <v>1916.6666666666667</v>
      </c>
      <c r="K56" s="10">
        <f>J56/I56</f>
        <v>117.34693877551021</v>
      </c>
      <c r="L56" s="19">
        <v>16.333333333333332</v>
      </c>
      <c r="M56" s="11">
        <f>AVERAGE(M50:M55)</f>
        <v>1822.6260490892719</v>
      </c>
      <c r="N56" s="10">
        <f>M56/L56</f>
        <v>111.58934994424115</v>
      </c>
      <c r="O56" s="12">
        <f>L56-I56</f>
        <v>0</v>
      </c>
      <c r="P56" s="13">
        <f>N56-K56</f>
        <v>-5.7575888312690608</v>
      </c>
      <c r="Q56" s="332">
        <f>N56/K56</f>
        <v>0.95093532995962016</v>
      </c>
      <c r="R56" s="442"/>
      <c r="S56" s="29"/>
      <c r="T56" s="28"/>
      <c r="U56" s="10"/>
      <c r="V56" s="339"/>
      <c r="W56" s="10"/>
      <c r="X56" s="10"/>
      <c r="Y56" s="443"/>
      <c r="Z56" s="443"/>
      <c r="AA56" s="12">
        <f t="shared" si="2"/>
        <v>-94.040617577394869</v>
      </c>
      <c r="AB56" s="332">
        <f t="shared" si="55"/>
        <v>0.95093532995962005</v>
      </c>
      <c r="AC56" s="442"/>
    </row>
    <row r="57" spans="1:29" ht="15.75" customHeight="1">
      <c r="A57" s="449" t="s">
        <v>254</v>
      </c>
      <c r="B57" s="340" t="s">
        <v>79</v>
      </c>
      <c r="C57" s="441" t="s">
        <v>94</v>
      </c>
      <c r="D57" s="441"/>
      <c r="E57" s="31">
        <v>26.78</v>
      </c>
      <c r="F57" s="35">
        <v>3064</v>
      </c>
      <c r="G57" s="330">
        <f t="shared" ref="G57:G60" si="74">E57*F57</f>
        <v>82053.919999999998</v>
      </c>
      <c r="H57" s="341" t="s">
        <v>103</v>
      </c>
      <c r="I57" s="338">
        <v>10</v>
      </c>
      <c r="J57" s="26">
        <v>3000</v>
      </c>
      <c r="K57" s="10">
        <f t="shared" ref="K57:K60" si="75">J57/I57</f>
        <v>300</v>
      </c>
      <c r="L57" s="19">
        <v>10</v>
      </c>
      <c r="M57" s="11">
        <f t="shared" ref="M57:M60" si="76">F57/V57*60</f>
        <v>2872.5000000000005</v>
      </c>
      <c r="N57" s="10">
        <f>M57/L57</f>
        <v>287.25000000000006</v>
      </c>
      <c r="O57" s="12">
        <f t="shared" ref="O57:O60" si="77">L57-I57</f>
        <v>0</v>
      </c>
      <c r="P57" s="13">
        <f t="shared" ref="P57:P60" si="78">N57-K57</f>
        <v>-12.749999999999943</v>
      </c>
      <c r="Q57" s="332">
        <f>N57/K57</f>
        <v>0.95750000000000024</v>
      </c>
      <c r="R57" s="442">
        <f>Q61</f>
        <v>0.95681819166626036</v>
      </c>
      <c r="S57" s="28">
        <v>8.3333333333333329E-2</v>
      </c>
      <c r="T57" s="28">
        <v>0.12777777777777777</v>
      </c>
      <c r="U57" s="330"/>
      <c r="V57" s="339">
        <f t="shared" ref="V57:V60" si="79">(T57-S57)*24*60</f>
        <v>63.999999999999986</v>
      </c>
      <c r="W57" s="16">
        <f>T57</f>
        <v>0.12777777777777777</v>
      </c>
      <c r="X57" s="16">
        <f>S58</f>
        <v>0.1472222222222222</v>
      </c>
      <c r="Y57" s="443"/>
      <c r="Z57" s="443"/>
      <c r="AA57" s="12">
        <f t="shared" si="2"/>
        <v>-127.49999999999955</v>
      </c>
      <c r="AB57" s="332">
        <f t="shared" si="55"/>
        <v>0.95750000000000013</v>
      </c>
      <c r="AC57" s="442">
        <f>AB61</f>
        <v>0.95681819166626036</v>
      </c>
    </row>
    <row r="58" spans="1:29" ht="15.75" customHeight="1">
      <c r="A58" s="449" t="s">
        <v>254</v>
      </c>
      <c r="B58" s="340" t="s">
        <v>79</v>
      </c>
      <c r="C58" s="441" t="s">
        <v>97</v>
      </c>
      <c r="D58" s="441"/>
      <c r="E58" s="31">
        <v>35.119999999999997</v>
      </c>
      <c r="F58" s="35">
        <v>1314</v>
      </c>
      <c r="G58" s="330">
        <f t="shared" si="74"/>
        <v>46147.679999999993</v>
      </c>
      <c r="H58" s="341" t="s">
        <v>103</v>
      </c>
      <c r="I58" s="338">
        <v>13</v>
      </c>
      <c r="J58" s="26">
        <v>2000</v>
      </c>
      <c r="K58" s="10">
        <f t="shared" si="75"/>
        <v>153.84615384615384</v>
      </c>
      <c r="L58" s="19">
        <v>13</v>
      </c>
      <c r="M58" s="11">
        <f t="shared" si="76"/>
        <v>1922.9268292682921</v>
      </c>
      <c r="N58" s="10">
        <f t="shared" ref="N58:N60" si="80">M58/L58</f>
        <v>147.91744840525323</v>
      </c>
      <c r="O58" s="12">
        <f t="shared" si="77"/>
        <v>0</v>
      </c>
      <c r="P58" s="13">
        <f t="shared" si="78"/>
        <v>-5.9287054409006146</v>
      </c>
      <c r="Q58" s="332">
        <f t="shared" ref="Q58:Q60" si="81">N58/K58</f>
        <v>0.96146341463414597</v>
      </c>
      <c r="R58" s="442"/>
      <c r="S58" s="28">
        <v>0.1472222222222222</v>
      </c>
      <c r="T58" s="28">
        <v>0.17569444444444443</v>
      </c>
      <c r="U58" s="330">
        <f>(S58-T57)*24*60</f>
        <v>27.999999999999979</v>
      </c>
      <c r="V58" s="339">
        <f t="shared" si="79"/>
        <v>41.000000000000014</v>
      </c>
      <c r="W58" s="330"/>
      <c r="X58" s="330"/>
      <c r="Y58" s="443"/>
      <c r="Z58" s="443"/>
      <c r="AA58" s="12">
        <f t="shared" si="2"/>
        <v>-77.073170731707933</v>
      </c>
      <c r="AB58" s="332">
        <f t="shared" si="55"/>
        <v>0.96146341463414609</v>
      </c>
      <c r="AC58" s="442"/>
    </row>
    <row r="59" spans="1:29" ht="15.75" customHeight="1">
      <c r="A59" s="449" t="s">
        <v>254</v>
      </c>
      <c r="B59" s="340" t="s">
        <v>79</v>
      </c>
      <c r="C59" s="441" t="s">
        <v>98</v>
      </c>
      <c r="D59" s="441"/>
      <c r="E59" s="31">
        <v>35.869999999999997</v>
      </c>
      <c r="F59" s="35">
        <v>2586</v>
      </c>
      <c r="G59" s="330">
        <f t="shared" si="74"/>
        <v>92759.819999999992</v>
      </c>
      <c r="H59" s="341" t="s">
        <v>103</v>
      </c>
      <c r="I59" s="338">
        <v>10</v>
      </c>
      <c r="J59" s="26">
        <v>3000</v>
      </c>
      <c r="K59" s="10">
        <f t="shared" si="75"/>
        <v>300</v>
      </c>
      <c r="L59" s="19">
        <v>10</v>
      </c>
      <c r="M59" s="11">
        <f t="shared" si="76"/>
        <v>2873.333333333333</v>
      </c>
      <c r="N59" s="10">
        <f t="shared" si="80"/>
        <v>287.33333333333331</v>
      </c>
      <c r="O59" s="12">
        <f t="shared" si="77"/>
        <v>0</v>
      </c>
      <c r="P59" s="13">
        <f t="shared" si="78"/>
        <v>-12.666666666666686</v>
      </c>
      <c r="Q59" s="332">
        <f t="shared" si="81"/>
        <v>0.95777777777777773</v>
      </c>
      <c r="R59" s="442"/>
      <c r="S59" s="28">
        <v>0.17986111111111111</v>
      </c>
      <c r="T59" s="28">
        <v>0.21736111111111112</v>
      </c>
      <c r="U59" s="330">
        <f t="shared" ref="U59:U60" si="82">(S59-T58)*24*60</f>
        <v>6.0000000000000187</v>
      </c>
      <c r="V59" s="339">
        <f t="shared" si="79"/>
        <v>54.000000000000007</v>
      </c>
      <c r="W59" s="330"/>
      <c r="X59" s="330"/>
      <c r="Y59" s="443"/>
      <c r="Z59" s="443"/>
      <c r="AA59" s="12">
        <f t="shared" si="2"/>
        <v>-126.66666666666697</v>
      </c>
      <c r="AB59" s="332">
        <f t="shared" si="55"/>
        <v>0.95777777777777773</v>
      </c>
      <c r="AC59" s="442"/>
    </row>
    <row r="60" spans="1:29" ht="15.75" customHeight="1">
      <c r="A60" s="449" t="s">
        <v>1614</v>
      </c>
      <c r="B60" s="340" t="s">
        <v>53</v>
      </c>
      <c r="C60" s="441" t="s">
        <v>96</v>
      </c>
      <c r="D60" s="441"/>
      <c r="E60" s="31">
        <v>26.97</v>
      </c>
      <c r="F60" s="35">
        <v>3742</v>
      </c>
      <c r="G60" s="330">
        <f t="shared" si="74"/>
        <v>100921.73999999999</v>
      </c>
      <c r="H60" s="341" t="s">
        <v>103</v>
      </c>
      <c r="I60" s="338">
        <v>8</v>
      </c>
      <c r="J60" s="26">
        <v>1500</v>
      </c>
      <c r="K60" s="10">
        <f t="shared" si="75"/>
        <v>187.5</v>
      </c>
      <c r="L60" s="19">
        <v>8</v>
      </c>
      <c r="M60" s="11">
        <f t="shared" si="76"/>
        <v>1421.0126582278479</v>
      </c>
      <c r="N60" s="10">
        <f t="shared" si="80"/>
        <v>177.62658227848098</v>
      </c>
      <c r="O60" s="12">
        <f t="shared" si="77"/>
        <v>0</v>
      </c>
      <c r="P60" s="13">
        <f t="shared" si="78"/>
        <v>-9.8734177215190186</v>
      </c>
      <c r="Q60" s="332">
        <f t="shared" si="81"/>
        <v>0.94734177215189852</v>
      </c>
      <c r="R60" s="442"/>
      <c r="S60" s="28">
        <v>0.2215277777777778</v>
      </c>
      <c r="T60" s="28">
        <v>0.33125000000000004</v>
      </c>
      <c r="U60" s="330">
        <f t="shared" si="82"/>
        <v>6.0000000000000187</v>
      </c>
      <c r="V60" s="339">
        <f t="shared" si="79"/>
        <v>158.00000000000003</v>
      </c>
      <c r="W60" s="330"/>
      <c r="X60" s="330"/>
      <c r="Y60" s="443"/>
      <c r="Z60" s="443"/>
      <c r="AA60" s="12">
        <f t="shared" si="2"/>
        <v>-78.987341772152149</v>
      </c>
      <c r="AB60" s="332">
        <f t="shared" si="55"/>
        <v>0.94734177215189852</v>
      </c>
      <c r="AC60" s="442"/>
    </row>
    <row r="61" spans="1:29">
      <c r="A61" s="450" t="s">
        <v>1614</v>
      </c>
      <c r="B61" s="31" t="s">
        <v>231</v>
      </c>
      <c r="C61" s="446"/>
      <c r="D61" s="446"/>
      <c r="E61" s="331"/>
      <c r="F61" s="33"/>
      <c r="G61" s="10"/>
      <c r="H61" s="340"/>
      <c r="I61" s="19">
        <v>10.25</v>
      </c>
      <c r="J61" s="26">
        <v>2375</v>
      </c>
      <c r="K61" s="10">
        <f>J61/I61</f>
        <v>231.70731707317074</v>
      </c>
      <c r="L61" s="19">
        <v>10.25</v>
      </c>
      <c r="M61" s="11">
        <f>AVERAGE(M57:M60)</f>
        <v>2272.4432052073685</v>
      </c>
      <c r="N61" s="10">
        <f>M61/L61</f>
        <v>221.70177611779204</v>
      </c>
      <c r="O61" s="12">
        <f>L61-I61</f>
        <v>0</v>
      </c>
      <c r="P61" s="13">
        <f>N61-K61</f>
        <v>-10.005540955378706</v>
      </c>
      <c r="Q61" s="332">
        <f>N61/K61</f>
        <v>0.95681819166626036</v>
      </c>
      <c r="R61" s="442"/>
      <c r="S61" s="28"/>
      <c r="T61" s="28"/>
      <c r="U61" s="10"/>
      <c r="V61" s="339"/>
      <c r="W61" s="10"/>
      <c r="X61" s="10"/>
      <c r="Y61" s="443"/>
      <c r="Z61" s="443"/>
      <c r="AA61" s="12">
        <f t="shared" si="2"/>
        <v>-102.55679479263154</v>
      </c>
      <c r="AB61" s="332">
        <f t="shared" si="55"/>
        <v>0.95681819166626036</v>
      </c>
      <c r="AC61" s="442"/>
    </row>
    <row r="62" spans="1:29" ht="15.75" customHeight="1">
      <c r="A62" s="439" t="s">
        <v>169</v>
      </c>
      <c r="B62" s="340" t="s">
        <v>67</v>
      </c>
      <c r="C62" s="441" t="s">
        <v>99</v>
      </c>
      <c r="D62" s="441"/>
      <c r="E62" s="31">
        <v>20.2</v>
      </c>
      <c r="F62" s="340">
        <v>3017</v>
      </c>
      <c r="G62" s="330">
        <f t="shared" ref="G62:G69" si="83">E62*F62</f>
        <v>60943.4</v>
      </c>
      <c r="H62" s="341" t="s">
        <v>103</v>
      </c>
      <c r="I62" s="338">
        <v>19</v>
      </c>
      <c r="J62" s="26">
        <v>2400</v>
      </c>
      <c r="K62" s="10">
        <f t="shared" ref="K62:K64" si="84">J62/I62</f>
        <v>126.31578947368421</v>
      </c>
      <c r="L62" s="19">
        <v>19</v>
      </c>
      <c r="M62" s="11">
        <f>F62/V62*60</f>
        <v>2291.3924050632909</v>
      </c>
      <c r="N62" s="10">
        <f t="shared" ref="N62:N69" si="85">M62/L62</f>
        <v>120.59960026648899</v>
      </c>
      <c r="O62" s="12">
        <f t="shared" ref="O62:O69" si="86">L62-I62</f>
        <v>0</v>
      </c>
      <c r="P62" s="13">
        <f t="shared" ref="P62:P69" si="87">N62-K62</f>
        <v>-5.7161892071952138</v>
      </c>
      <c r="Q62" s="332">
        <f>N62/K62</f>
        <v>0.95474683544303784</v>
      </c>
      <c r="R62" s="442">
        <f>Q70</f>
        <v>0.95089024864886318</v>
      </c>
      <c r="S62" s="28">
        <v>8.3333333333333329E-2</v>
      </c>
      <c r="T62" s="28">
        <v>0.13819444444444445</v>
      </c>
      <c r="U62" s="18"/>
      <c r="V62" s="339">
        <f t="shared" ref="V62:V69" si="88">(T62-S62)*24*60</f>
        <v>79.000000000000014</v>
      </c>
      <c r="W62" s="16">
        <f>T62</f>
        <v>0.13819444444444445</v>
      </c>
      <c r="X62" s="16">
        <f>S63</f>
        <v>0.1590277777777778</v>
      </c>
      <c r="Y62" s="443"/>
      <c r="Z62" s="443"/>
      <c r="AA62" s="12">
        <f t="shared" si="2"/>
        <v>-108.60759493670912</v>
      </c>
      <c r="AB62" s="332">
        <f>M62/J62</f>
        <v>0.95474683544303784</v>
      </c>
      <c r="AC62" s="442">
        <f>AB70</f>
        <v>0.95089024864886307</v>
      </c>
    </row>
    <row r="63" spans="1:29" ht="15.75" customHeight="1">
      <c r="A63" s="439" t="s">
        <v>1615</v>
      </c>
      <c r="B63" s="340" t="s">
        <v>67</v>
      </c>
      <c r="C63" s="441" t="s">
        <v>100</v>
      </c>
      <c r="D63" s="441"/>
      <c r="E63" s="31">
        <v>19.02</v>
      </c>
      <c r="F63" s="340">
        <v>4300</v>
      </c>
      <c r="G63" s="330">
        <f t="shared" si="83"/>
        <v>81786</v>
      </c>
      <c r="H63" s="341">
        <v>2</v>
      </c>
      <c r="I63" s="338">
        <v>15</v>
      </c>
      <c r="J63" s="26">
        <v>2400</v>
      </c>
      <c r="K63" s="10">
        <f t="shared" si="84"/>
        <v>160</v>
      </c>
      <c r="L63" s="19">
        <v>15</v>
      </c>
      <c r="M63" s="11">
        <f t="shared" ref="M63:M69" si="89">F63/V63*60</f>
        <v>2283.1858407079644</v>
      </c>
      <c r="N63" s="10">
        <f t="shared" si="85"/>
        <v>152.21238938053096</v>
      </c>
      <c r="O63" s="12">
        <f t="shared" si="86"/>
        <v>0</v>
      </c>
      <c r="P63" s="13">
        <f t="shared" si="87"/>
        <v>-7.7876106194690351</v>
      </c>
      <c r="Q63" s="332">
        <f t="shared" ref="Q63:Q70" si="90">N63/K63</f>
        <v>0.95132743362831851</v>
      </c>
      <c r="R63" s="442"/>
      <c r="S63" s="28">
        <v>0.1590277777777778</v>
      </c>
      <c r="T63" s="28">
        <v>0.23750000000000002</v>
      </c>
      <c r="U63" s="330">
        <f>(S63-T62)*24*60</f>
        <v>30.000000000000014</v>
      </c>
      <c r="V63" s="339">
        <f t="shared" si="88"/>
        <v>113</v>
      </c>
      <c r="W63" s="16"/>
      <c r="X63" s="16"/>
      <c r="Y63" s="443"/>
      <c r="Z63" s="443"/>
      <c r="AA63" s="12">
        <f t="shared" si="2"/>
        <v>-116.81415929203558</v>
      </c>
      <c r="AB63" s="332">
        <f t="shared" ref="AB63:AB70" si="91">M63/J63</f>
        <v>0.95132743362831851</v>
      </c>
      <c r="AC63" s="442"/>
    </row>
    <row r="64" spans="1:29" ht="15.75" customHeight="1">
      <c r="A64" s="439" t="s">
        <v>169</v>
      </c>
      <c r="B64" s="340" t="s">
        <v>67</v>
      </c>
      <c r="C64" s="441" t="s">
        <v>70</v>
      </c>
      <c r="D64" s="441"/>
      <c r="E64" s="31">
        <v>24.25</v>
      </c>
      <c r="F64" s="340">
        <v>3913</v>
      </c>
      <c r="G64" s="330">
        <f t="shared" si="83"/>
        <v>94890.25</v>
      </c>
      <c r="H64" s="341" t="s">
        <v>103</v>
      </c>
      <c r="I64" s="338">
        <v>18</v>
      </c>
      <c r="J64" s="26">
        <v>2400</v>
      </c>
      <c r="K64" s="10">
        <f t="shared" si="84"/>
        <v>133.33333333333334</v>
      </c>
      <c r="L64" s="19">
        <v>18</v>
      </c>
      <c r="M64" s="11">
        <f t="shared" si="89"/>
        <v>2279.4174757281553</v>
      </c>
      <c r="N64" s="10">
        <f t="shared" si="85"/>
        <v>126.63430420711974</v>
      </c>
      <c r="O64" s="12">
        <f t="shared" si="86"/>
        <v>0</v>
      </c>
      <c r="P64" s="13">
        <f t="shared" si="87"/>
        <v>-6.6990291262136026</v>
      </c>
      <c r="Q64" s="332">
        <f t="shared" si="90"/>
        <v>0.949757281553398</v>
      </c>
      <c r="R64" s="442"/>
      <c r="S64" s="28">
        <v>0.24097222222222223</v>
      </c>
      <c r="T64" s="28">
        <v>0.3125</v>
      </c>
      <c r="U64" s="330">
        <f t="shared" ref="U64:U69" si="92">(S64-T63)*24*60</f>
        <v>4.9999999999999822</v>
      </c>
      <c r="V64" s="339">
        <f t="shared" si="88"/>
        <v>103</v>
      </c>
      <c r="W64" s="16"/>
      <c r="X64" s="16"/>
      <c r="Y64" s="443"/>
      <c r="Z64" s="443"/>
      <c r="AA64" s="12">
        <f t="shared" si="2"/>
        <v>-120.5825242718447</v>
      </c>
      <c r="AB64" s="332">
        <f t="shared" si="91"/>
        <v>0.949757281553398</v>
      </c>
      <c r="AC64" s="442"/>
    </row>
    <row r="65" spans="1:29" ht="15.75" customHeight="1">
      <c r="A65" s="439" t="s">
        <v>1615</v>
      </c>
      <c r="B65" s="340" t="s">
        <v>67</v>
      </c>
      <c r="C65" s="441" t="s">
        <v>102</v>
      </c>
      <c r="D65" s="441"/>
      <c r="E65" s="31">
        <v>20.52</v>
      </c>
      <c r="F65" s="340">
        <v>3200</v>
      </c>
      <c r="G65" s="330">
        <f t="shared" si="83"/>
        <v>65664</v>
      </c>
      <c r="H65" s="341">
        <v>2</v>
      </c>
      <c r="I65" s="338">
        <v>18</v>
      </c>
      <c r="J65" s="26">
        <v>2400</v>
      </c>
      <c r="K65" s="10">
        <f>J65/I65</f>
        <v>133.33333333333334</v>
      </c>
      <c r="L65" s="19">
        <v>18</v>
      </c>
      <c r="M65" s="11">
        <f t="shared" si="89"/>
        <v>2285.7142857142849</v>
      </c>
      <c r="N65" s="10">
        <f t="shared" si="85"/>
        <v>126.98412698412693</v>
      </c>
      <c r="O65" s="12">
        <f t="shared" si="86"/>
        <v>0</v>
      </c>
      <c r="P65" s="13">
        <f t="shared" si="87"/>
        <v>-6.3492063492064119</v>
      </c>
      <c r="Q65" s="332">
        <f t="shared" si="90"/>
        <v>0.95238095238095188</v>
      </c>
      <c r="R65" s="442"/>
      <c r="S65" s="28">
        <v>0.31736111111111109</v>
      </c>
      <c r="T65" s="28">
        <v>0.37569444444444444</v>
      </c>
      <c r="U65" s="330">
        <f t="shared" si="92"/>
        <v>6.9999999999999751</v>
      </c>
      <c r="V65" s="339">
        <f t="shared" si="88"/>
        <v>84.000000000000028</v>
      </c>
      <c r="W65" s="16"/>
      <c r="X65" s="16"/>
      <c r="Y65" s="443"/>
      <c r="Z65" s="443"/>
      <c r="AA65" s="12">
        <f t="shared" si="2"/>
        <v>-114.28571428571513</v>
      </c>
      <c r="AB65" s="332">
        <f t="shared" si="91"/>
        <v>0.952380952380952</v>
      </c>
      <c r="AC65" s="442"/>
    </row>
    <row r="66" spans="1:29" ht="15.75" customHeight="1">
      <c r="A66" s="439" t="s">
        <v>1615</v>
      </c>
      <c r="B66" s="340" t="s">
        <v>67</v>
      </c>
      <c r="C66" s="441" t="s">
        <v>1161</v>
      </c>
      <c r="D66" s="441"/>
      <c r="E66" s="31">
        <v>24.25</v>
      </c>
      <c r="F66" s="340">
        <v>5568</v>
      </c>
      <c r="G66" s="330">
        <f t="shared" si="83"/>
        <v>135024</v>
      </c>
      <c r="H66" s="341" t="s">
        <v>103</v>
      </c>
      <c r="I66" s="338">
        <v>17</v>
      </c>
      <c r="J66" s="26">
        <v>2400</v>
      </c>
      <c r="K66" s="10">
        <f t="shared" ref="K66:K70" si="93">J66/I66</f>
        <v>141.1764705882353</v>
      </c>
      <c r="L66" s="19">
        <v>17</v>
      </c>
      <c r="M66" s="11">
        <f t="shared" si="89"/>
        <v>2272.6530612244892</v>
      </c>
      <c r="N66" s="10">
        <f t="shared" si="85"/>
        <v>133.68547418967583</v>
      </c>
      <c r="O66" s="12">
        <f t="shared" si="86"/>
        <v>0</v>
      </c>
      <c r="P66" s="13">
        <f t="shared" si="87"/>
        <v>-7.4909963985594743</v>
      </c>
      <c r="Q66" s="332">
        <f t="shared" si="90"/>
        <v>0.94693877551020378</v>
      </c>
      <c r="R66" s="442"/>
      <c r="S66" s="28">
        <v>0.38055555555555554</v>
      </c>
      <c r="T66" s="28">
        <v>0.4826388888888889</v>
      </c>
      <c r="U66" s="330">
        <f t="shared" si="92"/>
        <v>6.9999999999999751</v>
      </c>
      <c r="V66" s="339">
        <f t="shared" si="88"/>
        <v>147.00000000000003</v>
      </c>
      <c r="W66" s="16"/>
      <c r="X66" s="16"/>
      <c r="Y66" s="443"/>
      <c r="Z66" s="443"/>
      <c r="AA66" s="12">
        <f t="shared" si="2"/>
        <v>-127.34693877551081</v>
      </c>
      <c r="AB66" s="332">
        <f t="shared" si="91"/>
        <v>0.94693877551020378</v>
      </c>
      <c r="AC66" s="442"/>
    </row>
    <row r="67" spans="1:29" ht="15.75" customHeight="1">
      <c r="A67" s="439" t="s">
        <v>1615</v>
      </c>
      <c r="B67" s="340" t="s">
        <v>67</v>
      </c>
      <c r="C67" s="441" t="s">
        <v>71</v>
      </c>
      <c r="D67" s="441"/>
      <c r="E67" s="31">
        <v>22.35</v>
      </c>
      <c r="F67" s="340">
        <v>2254</v>
      </c>
      <c r="G67" s="330">
        <f t="shared" si="83"/>
        <v>50376.9</v>
      </c>
      <c r="H67" s="341" t="s">
        <v>103</v>
      </c>
      <c r="I67" s="338">
        <v>16</v>
      </c>
      <c r="J67" s="26">
        <v>2400</v>
      </c>
      <c r="K67" s="10">
        <f t="shared" si="93"/>
        <v>150</v>
      </c>
      <c r="L67" s="19">
        <v>16</v>
      </c>
      <c r="M67" s="11">
        <f t="shared" si="89"/>
        <v>2292.2033898305071</v>
      </c>
      <c r="N67" s="10">
        <f t="shared" si="85"/>
        <v>143.2627118644067</v>
      </c>
      <c r="O67" s="12">
        <f t="shared" si="86"/>
        <v>0</v>
      </c>
      <c r="P67" s="13">
        <f t="shared" si="87"/>
        <v>-6.7372881355933032</v>
      </c>
      <c r="Q67" s="332">
        <f t="shared" si="90"/>
        <v>0.9550847457627113</v>
      </c>
      <c r="R67" s="442"/>
      <c r="S67" s="28">
        <v>0.4861111111111111</v>
      </c>
      <c r="T67" s="28">
        <v>0.52708333333333335</v>
      </c>
      <c r="U67" s="330">
        <f t="shared" si="92"/>
        <v>4.9999999999999822</v>
      </c>
      <c r="V67" s="339">
        <f t="shared" si="88"/>
        <v>59.000000000000028</v>
      </c>
      <c r="W67" s="16">
        <f>T67</f>
        <v>0.52708333333333335</v>
      </c>
      <c r="X67" s="16">
        <f>S68</f>
        <v>0.56805555555555554</v>
      </c>
      <c r="Y67" s="443"/>
      <c r="Z67" s="443"/>
      <c r="AA67" s="12">
        <f t="shared" si="2"/>
        <v>-107.79661016949285</v>
      </c>
      <c r="AB67" s="332">
        <f t="shared" si="91"/>
        <v>0.9550847457627113</v>
      </c>
      <c r="AC67" s="442"/>
    </row>
    <row r="68" spans="1:29" ht="15.75" customHeight="1">
      <c r="A68" s="439" t="s">
        <v>169</v>
      </c>
      <c r="B68" s="340" t="s">
        <v>67</v>
      </c>
      <c r="C68" s="444" t="s">
        <v>100</v>
      </c>
      <c r="D68" s="445"/>
      <c r="E68" s="31">
        <v>19.02</v>
      </c>
      <c r="F68" s="340">
        <v>7228</v>
      </c>
      <c r="G68" s="330">
        <f t="shared" si="83"/>
        <v>137476.56</v>
      </c>
      <c r="H68" s="341" t="s">
        <v>103</v>
      </c>
      <c r="I68" s="338">
        <v>15</v>
      </c>
      <c r="J68" s="26">
        <v>2400</v>
      </c>
      <c r="K68" s="10">
        <f t="shared" si="93"/>
        <v>160</v>
      </c>
      <c r="L68" s="19">
        <v>15</v>
      </c>
      <c r="M68" s="11">
        <f t="shared" si="89"/>
        <v>2282.5263157894742</v>
      </c>
      <c r="N68" s="10">
        <f t="shared" si="85"/>
        <v>152.1684210526316</v>
      </c>
      <c r="O68" s="12">
        <f t="shared" si="86"/>
        <v>0</v>
      </c>
      <c r="P68" s="13">
        <f t="shared" si="87"/>
        <v>-7.8315789473683992</v>
      </c>
      <c r="Q68" s="332">
        <f t="shared" si="90"/>
        <v>0.95105263157894748</v>
      </c>
      <c r="R68" s="442"/>
      <c r="S68" s="28">
        <v>0.56805555555555554</v>
      </c>
      <c r="T68" s="28">
        <v>0.7</v>
      </c>
      <c r="U68" s="330">
        <f t="shared" si="92"/>
        <v>58.99999999999995</v>
      </c>
      <c r="V68" s="339">
        <f t="shared" si="88"/>
        <v>189.99999999999997</v>
      </c>
      <c r="W68" s="16"/>
      <c r="X68" s="16"/>
      <c r="Y68" s="447"/>
      <c r="Z68" s="448"/>
      <c r="AA68" s="12">
        <f t="shared" si="2"/>
        <v>-117.47368421052579</v>
      </c>
      <c r="AB68" s="332">
        <f t="shared" si="91"/>
        <v>0.95105263157894759</v>
      </c>
      <c r="AC68" s="442"/>
    </row>
    <row r="69" spans="1:29" ht="15.75" customHeight="1">
      <c r="A69" s="439" t="s">
        <v>169</v>
      </c>
      <c r="B69" s="340" t="s">
        <v>67</v>
      </c>
      <c r="C69" s="444" t="s">
        <v>102</v>
      </c>
      <c r="D69" s="445"/>
      <c r="E69" s="31">
        <v>20.52</v>
      </c>
      <c r="F69" s="340">
        <v>2497</v>
      </c>
      <c r="G69" s="330">
        <f t="shared" si="83"/>
        <v>51238.44</v>
      </c>
      <c r="H69" s="341" t="s">
        <v>103</v>
      </c>
      <c r="I69" s="338">
        <v>18</v>
      </c>
      <c r="J69" s="26">
        <v>2400</v>
      </c>
      <c r="K69" s="10">
        <f t="shared" si="93"/>
        <v>133.33333333333334</v>
      </c>
      <c r="L69" s="19">
        <v>18</v>
      </c>
      <c r="M69" s="11">
        <f t="shared" si="89"/>
        <v>2270.0000000000023</v>
      </c>
      <c r="N69" s="10">
        <f t="shared" si="85"/>
        <v>126.11111111111124</v>
      </c>
      <c r="O69" s="12">
        <f t="shared" si="86"/>
        <v>0</v>
      </c>
      <c r="P69" s="13">
        <f t="shared" si="87"/>
        <v>-7.2222222222221006</v>
      </c>
      <c r="Q69" s="332">
        <f t="shared" si="90"/>
        <v>0.9458333333333343</v>
      </c>
      <c r="R69" s="442"/>
      <c r="S69" s="28">
        <v>0.70347222222222217</v>
      </c>
      <c r="T69" s="28">
        <v>0.74930555555555545</v>
      </c>
      <c r="U69" s="330">
        <f t="shared" si="92"/>
        <v>4.9999999999999822</v>
      </c>
      <c r="V69" s="339">
        <f t="shared" si="88"/>
        <v>65.999999999999929</v>
      </c>
      <c r="W69" s="16"/>
      <c r="X69" s="16"/>
      <c r="Y69" s="447"/>
      <c r="Z69" s="448"/>
      <c r="AA69" s="12">
        <f t="shared" ref="AA69:AA70" si="94">M69-J69</f>
        <v>-129.99999999999773</v>
      </c>
      <c r="AB69" s="332">
        <f t="shared" si="91"/>
        <v>0.9458333333333343</v>
      </c>
      <c r="AC69" s="442"/>
    </row>
    <row r="70" spans="1:29" ht="16.5" customHeight="1">
      <c r="A70" s="440" t="s">
        <v>169</v>
      </c>
      <c r="B70" s="31" t="s">
        <v>231</v>
      </c>
      <c r="C70" s="446"/>
      <c r="D70" s="446"/>
      <c r="E70" s="331"/>
      <c r="F70" s="33"/>
      <c r="G70" s="10"/>
      <c r="H70" s="340"/>
      <c r="I70" s="19">
        <v>17</v>
      </c>
      <c r="J70" s="26">
        <v>2400</v>
      </c>
      <c r="K70" s="10">
        <f t="shared" si="93"/>
        <v>141.1764705882353</v>
      </c>
      <c r="L70" s="19">
        <v>17</v>
      </c>
      <c r="M70" s="11">
        <f>AVERAGE(M62:M69)</f>
        <v>2282.1365967572715</v>
      </c>
      <c r="N70" s="10">
        <f>M70/L70</f>
        <v>134.24332922101598</v>
      </c>
      <c r="O70" s="12">
        <f>L70-I70</f>
        <v>0</v>
      </c>
      <c r="P70" s="13">
        <f>N70-K70</f>
        <v>-6.9331413672193207</v>
      </c>
      <c r="Q70" s="332">
        <f t="shared" si="90"/>
        <v>0.95089024864886318</v>
      </c>
      <c r="R70" s="442"/>
      <c r="S70" s="28"/>
      <c r="T70" s="28"/>
      <c r="U70" s="10"/>
      <c r="V70" s="339"/>
      <c r="W70" s="10"/>
      <c r="X70" s="10"/>
      <c r="Y70" s="443"/>
      <c r="Z70" s="443"/>
      <c r="AA70" s="12">
        <f t="shared" si="94"/>
        <v>-117.86340324272851</v>
      </c>
      <c r="AB70" s="332">
        <f t="shared" si="91"/>
        <v>0.95089024864886307</v>
      </c>
      <c r="AC70" s="442"/>
    </row>
    <row r="71" spans="1:29">
      <c r="D71" s="22"/>
      <c r="E71" s="22"/>
    </row>
  </sheetData>
  <mergeCells count="188">
    <mergeCell ref="AC50:AC56"/>
    <mergeCell ref="C51:D51"/>
    <mergeCell ref="Y51:Z51"/>
    <mergeCell ref="C52:D52"/>
    <mergeCell ref="C55:D55"/>
    <mergeCell ref="Y55:Z55"/>
    <mergeCell ref="AC57:AC61"/>
    <mergeCell ref="C58:D58"/>
    <mergeCell ref="Y58:Z58"/>
    <mergeCell ref="C59:D59"/>
    <mergeCell ref="Y59:Z59"/>
    <mergeCell ref="C60:D60"/>
    <mergeCell ref="Y60:Z60"/>
    <mergeCell ref="C61:D61"/>
    <mergeCell ref="Y61:Z61"/>
    <mergeCell ref="C56:D56"/>
    <mergeCell ref="Y56:Z56"/>
    <mergeCell ref="A62:A70"/>
    <mergeCell ref="C62:D62"/>
    <mergeCell ref="R62:R70"/>
    <mergeCell ref="Y62:Z62"/>
    <mergeCell ref="AC62:AC70"/>
    <mergeCell ref="C63:D63"/>
    <mergeCell ref="Y63:Z63"/>
    <mergeCell ref="C64:D64"/>
    <mergeCell ref="Y64:Z64"/>
    <mergeCell ref="C65:D65"/>
    <mergeCell ref="C69:D69"/>
    <mergeCell ref="Y69:Z69"/>
    <mergeCell ref="C70:D70"/>
    <mergeCell ref="Y70:Z70"/>
    <mergeCell ref="Y65:Z65"/>
    <mergeCell ref="C66:D66"/>
    <mergeCell ref="Y66:Z66"/>
    <mergeCell ref="C67:D67"/>
    <mergeCell ref="Y67:Z67"/>
    <mergeCell ref="C68:D68"/>
    <mergeCell ref="Y68:Z68"/>
    <mergeCell ref="A57:A61"/>
    <mergeCell ref="C57:D57"/>
    <mergeCell ref="R57:R61"/>
    <mergeCell ref="Y57:Z57"/>
    <mergeCell ref="A50:A56"/>
    <mergeCell ref="C50:D50"/>
    <mergeCell ref="R50:R56"/>
    <mergeCell ref="Y50:Z50"/>
    <mergeCell ref="A43:A49"/>
    <mergeCell ref="C43:D43"/>
    <mergeCell ref="R43:R49"/>
    <mergeCell ref="Y43:Z43"/>
    <mergeCell ref="AC43:AC49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Y49:Z49"/>
    <mergeCell ref="A33:A42"/>
    <mergeCell ref="C33:D33"/>
    <mergeCell ref="R33:R42"/>
    <mergeCell ref="Y33:Z33"/>
    <mergeCell ref="AC33:AC42"/>
    <mergeCell ref="C34:D34"/>
    <mergeCell ref="Y34:Z34"/>
    <mergeCell ref="C35:D35"/>
    <mergeCell ref="Y35:Z35"/>
    <mergeCell ref="C36:D36"/>
    <mergeCell ref="C40:D40"/>
    <mergeCell ref="Y40:Z40"/>
    <mergeCell ref="C41:D41"/>
    <mergeCell ref="Y41:Z41"/>
    <mergeCell ref="C42:D42"/>
    <mergeCell ref="Y42:Z42"/>
    <mergeCell ref="Y36:Z36"/>
    <mergeCell ref="C37:D37"/>
    <mergeCell ref="Y37:Z37"/>
    <mergeCell ref="C38:D38"/>
    <mergeCell ref="Y38:Z38"/>
    <mergeCell ref="C39:D39"/>
    <mergeCell ref="Y39:Z39"/>
    <mergeCell ref="A23:A32"/>
    <mergeCell ref="C23:D23"/>
    <mergeCell ref="R23:R32"/>
    <mergeCell ref="Y23:Z23"/>
    <mergeCell ref="AC23:AC32"/>
    <mergeCell ref="C24:D24"/>
    <mergeCell ref="Y24:Z24"/>
    <mergeCell ref="C25:D25"/>
    <mergeCell ref="Y25:Z25"/>
    <mergeCell ref="C26:D26"/>
    <mergeCell ref="C30:D30"/>
    <mergeCell ref="Y30:Z30"/>
    <mergeCell ref="C31:D31"/>
    <mergeCell ref="Y31:Z31"/>
    <mergeCell ref="C32:D32"/>
    <mergeCell ref="Y32:Z32"/>
    <mergeCell ref="Y26:Z26"/>
    <mergeCell ref="C27:D27"/>
    <mergeCell ref="Y27:Z27"/>
    <mergeCell ref="C28:D28"/>
    <mergeCell ref="Y28:Z28"/>
    <mergeCell ref="C29:D29"/>
    <mergeCell ref="Y29:Z29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67 O70 O5:O12 O16:O30 O32:O57">
    <cfRule type="cellIs" dxfId="1260" priority="49" operator="greaterThan">
      <formula>0</formula>
    </cfRule>
  </conditionalFormatting>
  <conditionalFormatting sqref="P5:P7 P60 AA60 P62:P67 P23:P30 P57 P9:P12 P17:P21 P50:P55 P33:P48 AA5:AA57 AA62:AA70">
    <cfRule type="cellIs" dxfId="1259" priority="53" operator="lessThan">
      <formula>0</formula>
    </cfRule>
  </conditionalFormatting>
  <conditionalFormatting sqref="AB60 Q60:Q67 Q70 Q5:Q12 Q16:Q30 Q32:Q57 AB5:AB57 AB62:AB70">
    <cfRule type="cellIs" dxfId="1258" priority="50" operator="greaterThan">
      <formula>1</formula>
    </cfRule>
    <cfRule type="cellIs" dxfId="1257" priority="51" operator="lessThan">
      <formula>0.8</formula>
    </cfRule>
  </conditionalFormatting>
  <conditionalFormatting sqref="AC11:AC12 R11:R12 AC60 R60:R67 AC16:AC30 R16:R30 R32:R40 AC32:AC40 R70 AC5:AC9 R5:R9 AC42:AC57 R42:R57">
    <cfRule type="cellIs" dxfId="1256" priority="55" operator="lessThan">
      <formula>0.8</formula>
    </cfRule>
  </conditionalFormatting>
  <conditionalFormatting sqref="AC43">
    <cfRule type="cellIs" dxfId="1255" priority="57" operator="lessThan">
      <formula>0.8</formula>
    </cfRule>
  </conditionalFormatting>
  <conditionalFormatting sqref="AC17:AC21">
    <cfRule type="cellIs" dxfId="1254" priority="54" operator="lessThan">
      <formula>0.8</formula>
    </cfRule>
  </conditionalFormatting>
  <conditionalFormatting sqref="AC23">
    <cfRule type="cellIs" dxfId="1253" priority="56" operator="lessThan">
      <formula>0.8</formula>
    </cfRule>
  </conditionalFormatting>
  <conditionalFormatting sqref="AC33:AC40">
    <cfRule type="cellIs" dxfId="1252" priority="52" operator="lessThan">
      <formula>0.8</formula>
    </cfRule>
  </conditionalFormatting>
  <conditionalFormatting sqref="AA61">
    <cfRule type="cellIs" dxfId="1251" priority="48" operator="lessThan">
      <formula>0</formula>
    </cfRule>
  </conditionalFormatting>
  <conditionalFormatting sqref="AB61">
    <cfRule type="cellIs" dxfId="1250" priority="46" operator="greaterThan">
      <formula>1</formula>
    </cfRule>
    <cfRule type="cellIs" dxfId="1249" priority="47" operator="lessThan">
      <formula>0.8</formula>
    </cfRule>
  </conditionalFormatting>
  <conditionalFormatting sqref="O13:O14">
    <cfRule type="cellIs" dxfId="1248" priority="41" operator="greaterThan">
      <formula>0</formula>
    </cfRule>
  </conditionalFormatting>
  <conditionalFormatting sqref="P13:P14">
    <cfRule type="cellIs" dxfId="1247" priority="44" operator="lessThan">
      <formula>0</formula>
    </cfRule>
  </conditionalFormatting>
  <conditionalFormatting sqref="Q13:Q14">
    <cfRule type="cellIs" dxfId="1246" priority="42" operator="greaterThan">
      <formula>1</formula>
    </cfRule>
    <cfRule type="cellIs" dxfId="1245" priority="43" operator="lessThan">
      <formula>0.8</formula>
    </cfRule>
  </conditionalFormatting>
  <conditionalFormatting sqref="R13:R14 AC13:AC14">
    <cfRule type="cellIs" dxfId="1244" priority="45" operator="lessThan">
      <formula>0.8</formula>
    </cfRule>
  </conditionalFormatting>
  <conditionalFormatting sqref="R41 AC41">
    <cfRule type="cellIs" dxfId="1243" priority="40" operator="lessThan">
      <formula>0.8</formula>
    </cfRule>
  </conditionalFormatting>
  <conditionalFormatting sqref="AC41">
    <cfRule type="cellIs" dxfId="1242" priority="39" operator="lessThan">
      <formula>0.8</formula>
    </cfRule>
  </conditionalFormatting>
  <conditionalFormatting sqref="O59">
    <cfRule type="cellIs" dxfId="1241" priority="34" operator="greaterThan">
      <formula>0</formula>
    </cfRule>
  </conditionalFormatting>
  <conditionalFormatting sqref="P59 AA59">
    <cfRule type="cellIs" dxfId="1240" priority="37" operator="lessThan">
      <formula>0</formula>
    </cfRule>
  </conditionalFormatting>
  <conditionalFormatting sqref="Q59 AB59">
    <cfRule type="cellIs" dxfId="1239" priority="35" operator="greaterThan">
      <formula>1</formula>
    </cfRule>
    <cfRule type="cellIs" dxfId="1238" priority="36" operator="lessThan">
      <formula>0.8</formula>
    </cfRule>
  </conditionalFormatting>
  <conditionalFormatting sqref="R59 AC59">
    <cfRule type="cellIs" dxfId="1237" priority="38" operator="lessThan">
      <formula>0.8</formula>
    </cfRule>
  </conditionalFormatting>
  <conditionalFormatting sqref="O31">
    <cfRule type="cellIs" dxfId="1236" priority="29" operator="greaterThan">
      <formula>0</formula>
    </cfRule>
  </conditionalFormatting>
  <conditionalFormatting sqref="P31">
    <cfRule type="cellIs" dxfId="1235" priority="32" operator="lessThan">
      <formula>0</formula>
    </cfRule>
  </conditionalFormatting>
  <conditionalFormatting sqref="Q31">
    <cfRule type="cellIs" dxfId="1234" priority="30" operator="greaterThan">
      <formula>1</formula>
    </cfRule>
    <cfRule type="cellIs" dxfId="1233" priority="31" operator="lessThan">
      <formula>0.8</formula>
    </cfRule>
  </conditionalFormatting>
  <conditionalFormatting sqref="R31 AC31">
    <cfRule type="cellIs" dxfId="1232" priority="33" operator="lessThan">
      <formula>0.8</formula>
    </cfRule>
  </conditionalFormatting>
  <conditionalFormatting sqref="O68">
    <cfRule type="cellIs" dxfId="1231" priority="24" operator="greaterThan">
      <formula>0</formula>
    </cfRule>
  </conditionalFormatting>
  <conditionalFormatting sqref="P68">
    <cfRule type="cellIs" dxfId="1230" priority="27" operator="lessThan">
      <formula>0</formula>
    </cfRule>
  </conditionalFormatting>
  <conditionalFormatting sqref="Q68">
    <cfRule type="cellIs" dxfId="1229" priority="25" operator="greaterThan">
      <formula>1</formula>
    </cfRule>
    <cfRule type="cellIs" dxfId="1228" priority="26" operator="lessThan">
      <formula>0.8</formula>
    </cfRule>
  </conditionalFormatting>
  <conditionalFormatting sqref="R68">
    <cfRule type="cellIs" dxfId="1227" priority="28" operator="lessThan">
      <formula>0.8</formula>
    </cfRule>
  </conditionalFormatting>
  <conditionalFormatting sqref="O15">
    <cfRule type="cellIs" dxfId="1226" priority="19" operator="greaterThan">
      <formula>0</formula>
    </cfRule>
  </conditionalFormatting>
  <conditionalFormatting sqref="P15">
    <cfRule type="cellIs" dxfId="1225" priority="22" operator="lessThan">
      <formula>0</formula>
    </cfRule>
  </conditionalFormatting>
  <conditionalFormatting sqref="Q15">
    <cfRule type="cellIs" dxfId="1224" priority="20" operator="greaterThan">
      <formula>1</formula>
    </cfRule>
    <cfRule type="cellIs" dxfId="1223" priority="21" operator="lessThan">
      <formula>0.8</formula>
    </cfRule>
  </conditionalFormatting>
  <conditionalFormatting sqref="R15 AC15">
    <cfRule type="cellIs" dxfId="1222" priority="23" operator="lessThan">
      <formula>0.8</formula>
    </cfRule>
  </conditionalFormatting>
  <conditionalFormatting sqref="O58">
    <cfRule type="cellIs" dxfId="1221" priority="14" operator="greaterThan">
      <formula>0</formula>
    </cfRule>
  </conditionalFormatting>
  <conditionalFormatting sqref="P58 AA58">
    <cfRule type="cellIs" dxfId="1220" priority="17" operator="lessThan">
      <formula>0</formula>
    </cfRule>
  </conditionalFormatting>
  <conditionalFormatting sqref="Q58 AB58">
    <cfRule type="cellIs" dxfId="1219" priority="15" operator="greaterThan">
      <formula>1</formula>
    </cfRule>
    <cfRule type="cellIs" dxfId="1218" priority="16" operator="lessThan">
      <formula>0.8</formula>
    </cfRule>
  </conditionalFormatting>
  <conditionalFormatting sqref="R58 AC58">
    <cfRule type="cellIs" dxfId="1217" priority="18" operator="lessThan">
      <formula>0.8</formula>
    </cfRule>
  </conditionalFormatting>
  <conditionalFormatting sqref="P8">
    <cfRule type="cellIs" dxfId="1216" priority="13" operator="lessThan">
      <formula>0</formula>
    </cfRule>
  </conditionalFormatting>
  <conditionalFormatting sqref="P16">
    <cfRule type="cellIs" dxfId="1215" priority="12" operator="lessThan">
      <formula>0</formula>
    </cfRule>
  </conditionalFormatting>
  <conditionalFormatting sqref="P22">
    <cfRule type="cellIs" dxfId="1214" priority="11" operator="lessThan">
      <formula>0</formula>
    </cfRule>
  </conditionalFormatting>
  <conditionalFormatting sqref="P32">
    <cfRule type="cellIs" dxfId="1213" priority="10" operator="lessThan">
      <formula>0</formula>
    </cfRule>
  </conditionalFormatting>
  <conditionalFormatting sqref="P49">
    <cfRule type="cellIs" dxfId="1212" priority="9" operator="lessThan">
      <formula>0</formula>
    </cfRule>
  </conditionalFormatting>
  <conditionalFormatting sqref="P56">
    <cfRule type="cellIs" dxfId="1211" priority="8" operator="lessThan">
      <formula>0</formula>
    </cfRule>
  </conditionalFormatting>
  <conditionalFormatting sqref="P61">
    <cfRule type="cellIs" dxfId="1210" priority="7" operator="lessThan">
      <formula>0</formula>
    </cfRule>
  </conditionalFormatting>
  <conditionalFormatting sqref="P70">
    <cfRule type="cellIs" dxfId="1209" priority="6" operator="lessThan">
      <formula>0</formula>
    </cfRule>
  </conditionalFormatting>
  <conditionalFormatting sqref="O69">
    <cfRule type="cellIs" dxfId="1208" priority="1" operator="greaterThan">
      <formula>0</formula>
    </cfRule>
  </conditionalFormatting>
  <conditionalFormatting sqref="P69">
    <cfRule type="cellIs" dxfId="1207" priority="4" operator="lessThan">
      <formula>0</formula>
    </cfRule>
  </conditionalFormatting>
  <conditionalFormatting sqref="Q69">
    <cfRule type="cellIs" dxfId="1206" priority="2" operator="greaterThan">
      <formula>1</formula>
    </cfRule>
    <cfRule type="cellIs" dxfId="1205" priority="3" operator="lessThan">
      <formula>0.8</formula>
    </cfRule>
  </conditionalFormatting>
  <conditionalFormatting sqref="R69">
    <cfRule type="cellIs" dxfId="1204" priority="5" operator="lessThan">
      <formula>0.8</formula>
    </cfRule>
  </conditionalFormatting>
  <dataValidations count="1">
    <dataValidation type="list" allowBlank="1" showInputMessage="1" showErrorMessage="1" sqref="Z8 Y5:Z7 Y8:Y60 Z10:Z57 Y61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108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28" t="s">
        <v>1475</v>
      </c>
      <c r="C3" s="420" t="str">
        <f>TEXT('0921 4度C'!A2,"yyyy.mm.ddaaaa")</f>
        <v>2025.09.21星期日</v>
      </c>
      <c r="D3" s="421"/>
      <c r="E3" s="328" t="s">
        <v>110</v>
      </c>
      <c r="F3" s="422">
        <f>'0921 4度C'!D1</f>
        <v>194633</v>
      </c>
      <c r="G3" s="423"/>
      <c r="H3" s="328" t="s">
        <v>1476</v>
      </c>
      <c r="I3" s="424">
        <f>'0921 4度C'!F1</f>
        <v>6327228.8799999999</v>
      </c>
      <c r="J3" s="425"/>
      <c r="K3" s="45"/>
      <c r="L3" s="46"/>
      <c r="M3" s="47"/>
      <c r="N3" s="47"/>
    </row>
    <row r="4" spans="2:17" ht="28.5" customHeight="1">
      <c r="B4" s="426" t="s">
        <v>112</v>
      </c>
      <c r="C4" s="429" t="s">
        <v>113</v>
      </c>
      <c r="D4" s="430"/>
      <c r="E4" s="431" t="s">
        <v>1477</v>
      </c>
      <c r="F4" s="432"/>
      <c r="G4" s="431" t="s">
        <v>115</v>
      </c>
      <c r="H4" s="432"/>
      <c r="I4" s="431" t="s">
        <v>1478</v>
      </c>
      <c r="J4" s="432"/>
      <c r="L4" s="47"/>
      <c r="M4" s="47"/>
      <c r="N4" s="47"/>
    </row>
    <row r="5" spans="2:17" ht="28.5" customHeight="1">
      <c r="B5" s="427"/>
      <c r="C5" s="429" t="s">
        <v>117</v>
      </c>
      <c r="D5" s="430"/>
      <c r="E5" s="429" t="s">
        <v>118</v>
      </c>
      <c r="F5" s="430"/>
      <c r="G5" s="433" t="s">
        <v>119</v>
      </c>
      <c r="H5" s="434"/>
      <c r="I5" s="435" t="s">
        <v>120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148.56456238452958</v>
      </c>
      <c r="F6" s="438">
        <f>AVERAGE(D27:O27,D13:J13)</f>
        <v>154.11758614896158</v>
      </c>
      <c r="G6" s="399">
        <f>AVERAGE(D13:J13)</f>
        <v>154.11758614896158</v>
      </c>
      <c r="H6" s="400"/>
      <c r="I6" s="399">
        <f>AVERAGE(K13:M13)</f>
        <v>135.60750693418825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141.47344415006097</v>
      </c>
      <c r="F7" s="406">
        <f>AVERAGE(D28:O28,D14:J14)</f>
        <v>146.83893776408672</v>
      </c>
      <c r="G7" s="407">
        <f>AVERAGE(D14:J14)</f>
        <v>146.83893776408672</v>
      </c>
      <c r="H7" s="408"/>
      <c r="I7" s="407">
        <f>AVERAGE(K14:M14)</f>
        <v>128.95395905066749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0.95176645930590009</v>
      </c>
      <c r="F8" s="410">
        <f>AVERAGE(D15:J15,D29:O29)</f>
        <v>0.95212365705365298</v>
      </c>
      <c r="G8" s="411">
        <f>AVERAGE(D15:J15)</f>
        <v>0.95212365705365298</v>
      </c>
      <c r="H8" s="412"/>
      <c r="I8" s="411">
        <f>AVERAGE(K15:M15)</f>
        <v>0.95093299789447661</v>
      </c>
      <c r="J8" s="412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1479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392" t="s">
        <v>128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10</v>
      </c>
      <c r="C13" s="58" t="s">
        <v>140</v>
      </c>
      <c r="D13" s="59">
        <f>SUMIFS('0921 4度C'!$K:$K,'0921 4度C'!$A:$A,"新豐6線",'0921 4度C'!$B:$B,"平均")</f>
        <v>125</v>
      </c>
      <c r="E13" s="60">
        <f>SUMIFS('0921 4度C'!$K:$K,'0921 4度C'!$A:$A,"新豐2線",'0921 4度C'!$B:$B,"平均")</f>
        <v>88.235294117647058</v>
      </c>
      <c r="F13" s="61">
        <f>SUMIFS('0921 4度C'!$K:$K,'0921 4度C'!$A:$A,"新豐5線",'0921 4度C'!$B:$B,"平均")</f>
        <v>88.541666666666671</v>
      </c>
      <c r="G13" s="61">
        <f>SUMIFS('0921 4度C'!$K:$K,'0921 4度C'!$A:$A,"新豐7線",'0921 4度C'!$B:$B,"平均")</f>
        <v>117.64705882352941</v>
      </c>
      <c r="H13" s="61">
        <f>SUMIFS('0921 4度C'!$K:$K,'0921 4度C'!$A:$A,"新豐3線",'0921 4度C'!$B:$B,"平均")</f>
        <v>310.34482758620692</v>
      </c>
      <c r="I13" s="61">
        <f>SUMIFS('0921 4度C'!$K:$K,'0921 4度C'!$A:$A,"新豐1線",'0921 4度C'!$B:$B,"平均")</f>
        <v>117.34693877551021</v>
      </c>
      <c r="J13" s="62">
        <f>SUMIFS('0921 4度C'!$K:$K,'0921 4度C'!$A:$A,"新豐10線",'0921 4度C'!$B:$B,"平均")</f>
        <v>231.70731707317074</v>
      </c>
      <c r="K13" s="63">
        <f>SUMIFS('0921 4度C'!$K:$K,'0921 4度C'!$A:$A,"新豐8線",'0921 4度C'!$B:$B,"平均")</f>
        <v>130.43478260869566</v>
      </c>
      <c r="L13" s="64">
        <f>SUMIFS('0921 4度C'!$K:$K,'0921 4度C'!$A:$A,"新豐9線",'0921 4度C'!$B:$B,"平均")</f>
        <v>135.21126760563379</v>
      </c>
      <c r="M13" s="62">
        <f>SUMIFS('0921 4度C'!$K:$K,'0921 4度C'!$A:$A,"新豐4線",'0921 4度C'!$B:$B,"平均")</f>
        <v>141.1764705882353</v>
      </c>
    </row>
    <row r="14" spans="2:17" ht="39.6" customHeight="1">
      <c r="B14" s="397"/>
      <c r="C14" s="65" t="s">
        <v>141</v>
      </c>
      <c r="D14" s="66">
        <f>SUMIFS('0921 4度C'!$N:$N,'0921 4度C'!$A:$A,"新豐6線",'0921 4度C'!$B:$B,"平均")</f>
        <v>119.44805194805183</v>
      </c>
      <c r="E14" s="67">
        <f>SUMIFS('0921 4度C'!$N:$N,'0921 4度C'!$A:$A,"新豐2線",'0921 4度C'!$B:$B,"平均")</f>
        <v>83.564321871181704</v>
      </c>
      <c r="F14" s="67">
        <f>SUMIFS('0921 4度C'!$N:$N,'0921 4度C'!$A:$A,"新豐5線",'0921 4度C'!$B:$B,"平均")</f>
        <v>84.25255397919878</v>
      </c>
      <c r="G14" s="67">
        <f>SUMIFS('0921 4度C'!$N:$N,'0921 4度C'!$A:$A,"新豐7線",'0921 4度C'!$B:$B,"平均")</f>
        <v>111.59737456531201</v>
      </c>
      <c r="H14" s="67">
        <f>SUMIFS('0921 4度C'!$N:$N,'0921 4度C'!$A:$A,"新豐3線",'0921 4度C'!$B:$B,"平均")</f>
        <v>295.04376989649842</v>
      </c>
      <c r="I14" s="67">
        <f>SUMIFS('0921 4度C'!$N:$N,'0921 4度C'!$A:$A,"新豐1線",'0921 4度C'!$B:$B,"平均")</f>
        <v>111.76007895822892</v>
      </c>
      <c r="J14" s="68">
        <f>SUMIFS('0921 4度C'!$N:$N,'0921 4度C'!$A:$A,"新豐10線",'0921 4度C'!$B:$B,"平均")</f>
        <v>222.20641313013536</v>
      </c>
      <c r="K14" s="69">
        <f>SUMIFS('0921 4度C'!$N:$N,'0921 4度C'!$A:$A,"新豐8線",'0921 4度C'!$B:$B,"平均")</f>
        <v>124.10930879258677</v>
      </c>
      <c r="L14" s="70">
        <f>SUMIFS('0921 4度C'!$N:$N,'0921 4度C'!$A:$A,"新豐9線",'0921 4度C'!$B:$B,"平均")</f>
        <v>128.4168545954241</v>
      </c>
      <c r="M14" s="68">
        <f>SUMIFS('0921 4度C'!$N:$N,'0921 4度C'!$A:$A,"新豐4線",'0921 4度C'!$B:$B,"平均")</f>
        <v>134.33571376399161</v>
      </c>
    </row>
    <row r="15" spans="2:17" ht="40.15" customHeight="1">
      <c r="B15" s="398"/>
      <c r="C15" s="71" t="s">
        <v>142</v>
      </c>
      <c r="D15" s="72">
        <f t="shared" ref="D15:M15" si="0">D14/D13</f>
        <v>0.95558441558441465</v>
      </c>
      <c r="E15" s="73">
        <f t="shared" si="0"/>
        <v>0.94706231454005929</v>
      </c>
      <c r="F15" s="73">
        <f t="shared" si="0"/>
        <v>0.95155825670624494</v>
      </c>
      <c r="G15" s="73">
        <f t="shared" si="0"/>
        <v>0.94857768380515217</v>
      </c>
      <c r="H15" s="73">
        <f t="shared" si="0"/>
        <v>0.95069659188871702</v>
      </c>
      <c r="I15" s="73">
        <f t="shared" si="0"/>
        <v>0.95239023807882028</v>
      </c>
      <c r="J15" s="74">
        <f t="shared" si="0"/>
        <v>0.95899609877216307</v>
      </c>
      <c r="K15" s="72">
        <f t="shared" si="0"/>
        <v>0.95150470074316529</v>
      </c>
      <c r="L15" s="73">
        <f t="shared" si="0"/>
        <v>0.9497496537786575</v>
      </c>
      <c r="M15" s="74">
        <f t="shared" si="0"/>
        <v>0.95154463916160714</v>
      </c>
    </row>
    <row r="16" spans="2:17" ht="17.25" customHeight="1">
      <c r="B16" s="401" t="s">
        <v>1480</v>
      </c>
      <c r="C16" s="329" t="s">
        <v>144</v>
      </c>
      <c r="D16" s="76">
        <f>VLOOKUP("新豐6線",'0921 4度C'!$A:$T,19,0)</f>
        <v>0.70833333333333337</v>
      </c>
      <c r="E16" s="28">
        <f>VLOOKUP("新豐2線",'0921 4度C'!$A:$T,19,0)</f>
        <v>0.20833333333333334</v>
      </c>
      <c r="F16" s="28">
        <f>VLOOKUP("新豐5線",'0921 4度C'!$A:$T,19,0)</f>
        <v>8.3333333333333329E-2</v>
      </c>
      <c r="G16" s="28">
        <f>VLOOKUP("新豐7線",'0921 4度C'!$A:$T,19,0)</f>
        <v>0.20833333333333334</v>
      </c>
      <c r="H16" s="28">
        <f>VLOOKUP("新豐3線",'0921 4度C'!$A:$T,19,0)</f>
        <v>8.3333333333333329E-2</v>
      </c>
      <c r="I16" s="28">
        <f>VLOOKUP("新豐1線",'0921 4度C'!$A:$T,19,0)</f>
        <v>0.29166666666666669</v>
      </c>
      <c r="J16" s="77">
        <f>VLOOKUP("新豐10線",'0921 4度C'!$A:$T,19,0)</f>
        <v>8.3333333333333329E-2</v>
      </c>
      <c r="K16" s="78">
        <f>VLOOKUP("新豐8線",'0921 4度C'!$A:$T,19,0)</f>
        <v>8.3333333333333329E-2</v>
      </c>
      <c r="L16" s="79">
        <f>VLOOKUP("新豐9線",'0921 4度C'!$A:$T,19,0)</f>
        <v>8.3333333333333329E-2</v>
      </c>
      <c r="M16" s="80">
        <f>VLOOKUP("新豐4線",'0921 4度C'!$A:$T,19,0)</f>
        <v>8.3333333333333329E-2</v>
      </c>
    </row>
    <row r="17" spans="2:13" ht="17.25" customHeight="1">
      <c r="B17" s="402"/>
      <c r="C17" s="329" t="s">
        <v>145</v>
      </c>
      <c r="D17" s="78">
        <f>LOOKUP(2,1/(('0921 4度C'!$A:$A="新豐6線")*('0921 4度C'!$T:$T&lt;&gt;"")),'0921 4度C'!$T:$T)</f>
        <v>0.83888888888888902</v>
      </c>
      <c r="E17" s="28">
        <f>LOOKUP(2,1/(('0921 4度C'!$A:$A="新豐2線")*('0921 4度C'!$T:$T&lt;&gt;"")),'0921 4度C'!$T:$T)</f>
        <v>0.44236111111111109</v>
      </c>
      <c r="F17" s="28">
        <f>LOOKUP(2,1/(('0921 4度C'!$A:$A="新豐5線")*('0921 4度C'!$T:$T&lt;&gt;"")),'0921 4度C'!$T:$T)</f>
        <v>0.84583333333333333</v>
      </c>
      <c r="G17" s="28">
        <f>LOOKUP(2,1/(('0921 4度C'!$A:$A="新豐7線")*('0921 4度C'!$T:$T&lt;&gt;"")),'0921 4度C'!$T:$T)</f>
        <v>0.78194444444444444</v>
      </c>
      <c r="H17" s="28">
        <f>LOOKUP(2,1/(('0921 4度C'!$A:$A="新豐3線")*('0921 4度C'!$T:$T&lt;&gt;"")),'0921 4度C'!$T:$T)</f>
        <v>0.49583333333333329</v>
      </c>
      <c r="I17" s="28">
        <f>LOOKUP(2,1/(('0921 4度C'!$A:$A="新豐1線")*('0921 4度C'!$T:$T&lt;&gt;"")),'0921 4度C'!$T:$T)</f>
        <v>0.85416666666666663</v>
      </c>
      <c r="J17" s="77">
        <f>LOOKUP(2,1/(('0921 4度C'!$A:$A="新豐10線")*('0921 4度C'!$T:$T&lt;&gt;"")),'0921 4度C'!$T:$T)</f>
        <v>0.33402777777777781</v>
      </c>
      <c r="K17" s="76">
        <f>LOOKUP(2,1/(('0921 4度C'!$A:$A="新豐8線")*('0921 4度C'!$T:$T&lt;&gt;"")),'0921 4度C'!$T:$T)</f>
        <v>0.78888888888888864</v>
      </c>
      <c r="L17" s="28">
        <f>LOOKUP(2,1/(('0921 4度C'!$A:$A="新豐9線")*('0921 4度C'!$T:$T&lt;&gt;"")),'0921 4度C'!$T:$T)</f>
        <v>0.75208333333333333</v>
      </c>
      <c r="M17" s="77">
        <f>LOOKUP(2,1/(('0921 4度C'!$A:$A="新豐4線")*('0921 4度C'!$T:$T&lt;&gt;"")),'0921 4度C'!$T:$T)</f>
        <v>0.78194444444444444</v>
      </c>
    </row>
    <row r="18" spans="2:13" ht="17.25" customHeight="1">
      <c r="B18" s="383" t="s">
        <v>146</v>
      </c>
      <c r="C18" s="384"/>
      <c r="D18" s="81">
        <f>SUMIFS('0921 4度C'!$I:$I,'0921 4度C'!$A:$A,"新豐6線",'0921 4度C'!$B:$B,"平均")</f>
        <v>16</v>
      </c>
      <c r="E18" s="82">
        <f>SUMIFS('0921 4度C'!$I:$I,'0921 4度C'!$A:$A,"新豐2線",'0921 4度C'!$B:$B,"平均")</f>
        <v>17</v>
      </c>
      <c r="F18" s="82">
        <f>SUMIFS('0921 4度C'!$I:$I,'0921 4度C'!$A:$A,"新豐5線",'0921 4度C'!$B:$B,"平均")</f>
        <v>19.2</v>
      </c>
      <c r="G18" s="82">
        <f>SUMIFS('0921 4度C'!$I:$I,'0921 4度C'!$A:$A,"新豐7線",'0921 4度C'!$B:$B,"平均")</f>
        <v>17</v>
      </c>
      <c r="H18" s="82">
        <f>SUMIFS('0921 4度C'!$I:$I,'0921 4度C'!$A:$A,"新豐3線",'0921 4度C'!$B:$B,"平均")</f>
        <v>9.6666666666666661</v>
      </c>
      <c r="I18" s="82">
        <f>SUMIFS('0921 4度C'!$I:$I,'0921 4度C'!$A:$A,"新豐1線",'0921 4度C'!$B:$B,"平均")</f>
        <v>16.333333333333332</v>
      </c>
      <c r="J18" s="83">
        <f>SUMIFS('0921 4度C'!$I:$I,'0921 4度C'!$A:$A,"新豐10線",'0921 4度C'!$B:$B,"平均")</f>
        <v>10.25</v>
      </c>
      <c r="K18" s="81">
        <f>SUMIFS('0921 4度C'!$I:$I,'0921 4度C'!$A:$A,"新豐8線",'0921 4度C'!$B:$B,"平均")</f>
        <v>18.399999999999999</v>
      </c>
      <c r="L18" s="82">
        <f>SUMIFS('0921 4度C'!$I:$I,'0921 4度C'!$A:$A,"新豐9線",'0921 4度C'!$B:$B,"平均")</f>
        <v>17.75</v>
      </c>
      <c r="M18" s="83">
        <f>SUMIFS('0921 4度C'!$I:$I,'0921 4度C'!$A:$A,"新豐4線",'0921 4度C'!$B:$B,"平均")</f>
        <v>17</v>
      </c>
    </row>
    <row r="19" spans="2:13" ht="17.25" customHeight="1">
      <c r="B19" s="383" t="s">
        <v>147</v>
      </c>
      <c r="C19" s="384"/>
      <c r="D19" s="84" t="s">
        <v>148</v>
      </c>
      <c r="E19" s="85" t="s">
        <v>149</v>
      </c>
      <c r="F19" s="85" t="s">
        <v>150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152</v>
      </c>
      <c r="L19" s="85" t="s">
        <v>152</v>
      </c>
      <c r="M19" s="86" t="s">
        <v>152</v>
      </c>
    </row>
    <row r="20" spans="2:13" ht="17.25" customHeight="1">
      <c r="B20" s="383" t="s">
        <v>153</v>
      </c>
      <c r="C20" s="384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155</v>
      </c>
      <c r="C21" s="386"/>
      <c r="D21" s="87"/>
      <c r="E21" s="88" t="s">
        <v>156</v>
      </c>
      <c r="F21" s="387" t="s">
        <v>1481</v>
      </c>
      <c r="G21" s="388"/>
      <c r="H21" s="88" t="s">
        <v>158</v>
      </c>
      <c r="I21" s="88" t="s">
        <v>159</v>
      </c>
      <c r="J21" s="89" t="s">
        <v>1482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20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pageSetUpPr fitToPage="1"/>
  </sheetPr>
  <dimension ref="A1:AC72"/>
  <sheetViews>
    <sheetView zoomScale="80" zoomScaleNormal="80" workbookViewId="0">
      <pane ySplit="4" topLeftCell="A59" activePane="bottomLeft" state="frozen"/>
      <selection activeCell="G5" sqref="G5:H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1483</v>
      </c>
      <c r="B1" s="1"/>
      <c r="C1" s="2" t="s">
        <v>1484</v>
      </c>
      <c r="D1" s="3">
        <f>SUM(F5:F71)</f>
        <v>194633</v>
      </c>
      <c r="E1" s="316" t="s">
        <v>1485</v>
      </c>
      <c r="F1" s="1">
        <f>SUM(G5:G71)</f>
        <v>6327228.8799999999</v>
      </c>
      <c r="G1" s="1" t="s">
        <v>1486</v>
      </c>
      <c r="H1" s="38">
        <f>L8+L16+L56+L61+L22+L73+L42+L49+L33+L10+L71</f>
        <v>158.6</v>
      </c>
      <c r="I1" s="482" t="s">
        <v>1487</v>
      </c>
      <c r="J1" s="482"/>
      <c r="K1" s="482"/>
      <c r="L1" s="482" t="s">
        <v>5</v>
      </c>
      <c r="M1" s="482"/>
      <c r="N1" s="482"/>
      <c r="O1" s="482" t="s">
        <v>1488</v>
      </c>
      <c r="P1" s="482"/>
      <c r="Q1" s="482"/>
      <c r="R1" s="482"/>
      <c r="S1" s="482" t="s">
        <v>7</v>
      </c>
      <c r="T1" s="482"/>
      <c r="U1" s="482"/>
      <c r="V1" s="482"/>
      <c r="W1" s="482"/>
      <c r="X1" s="482"/>
      <c r="Y1" s="482" t="s">
        <v>8</v>
      </c>
      <c r="Z1" s="482"/>
      <c r="AA1" s="482" t="s">
        <v>9</v>
      </c>
      <c r="AB1" s="483"/>
      <c r="AC1" s="483"/>
    </row>
    <row r="2" spans="1:29" ht="26.25" customHeight="1">
      <c r="A2" s="24">
        <v>45921</v>
      </c>
      <c r="B2" s="25" t="s">
        <v>541</v>
      </c>
      <c r="C2" s="2" t="s">
        <v>1489</v>
      </c>
      <c r="D2" s="6">
        <f>AVERAGE(N8,N10,N49,N56,N16,N61,N22,N33,N42,N71)</f>
        <v>141.47344415006097</v>
      </c>
      <c r="E2" s="7" t="s">
        <v>11</v>
      </c>
      <c r="F2" s="8">
        <f>F1/D1</f>
        <v>32.508510273180804</v>
      </c>
      <c r="G2" s="1" t="s">
        <v>12</v>
      </c>
      <c r="H2" s="344">
        <f>COUNT(H5:H71)</f>
        <v>10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13</v>
      </c>
      <c r="B3" s="443" t="s">
        <v>14</v>
      </c>
      <c r="C3" s="443" t="s">
        <v>1490</v>
      </c>
      <c r="D3" s="443"/>
      <c r="E3" s="484" t="s">
        <v>16</v>
      </c>
      <c r="F3" s="443" t="s">
        <v>1491</v>
      </c>
      <c r="G3" s="484" t="s">
        <v>18</v>
      </c>
      <c r="H3" s="476" t="s">
        <v>19</v>
      </c>
      <c r="I3" s="474" t="s">
        <v>20</v>
      </c>
      <c r="J3" s="479" t="s">
        <v>1492</v>
      </c>
      <c r="K3" s="481" t="s">
        <v>10</v>
      </c>
      <c r="L3" s="474" t="s">
        <v>20</v>
      </c>
      <c r="M3" s="479" t="s">
        <v>1492</v>
      </c>
      <c r="N3" s="481" t="s">
        <v>10</v>
      </c>
      <c r="O3" s="474" t="s">
        <v>20</v>
      </c>
      <c r="P3" s="481" t="s">
        <v>1489</v>
      </c>
      <c r="Q3" s="480" t="s">
        <v>1493</v>
      </c>
      <c r="R3" s="451" t="s">
        <v>24</v>
      </c>
      <c r="S3" s="443" t="s">
        <v>25</v>
      </c>
      <c r="T3" s="443"/>
      <c r="U3" s="476" t="s">
        <v>26</v>
      </c>
      <c r="V3" s="476" t="s">
        <v>27</v>
      </c>
      <c r="W3" s="443" t="s">
        <v>28</v>
      </c>
      <c r="X3" s="443"/>
      <c r="Y3" s="477" t="s">
        <v>29</v>
      </c>
      <c r="Z3" s="478"/>
      <c r="AA3" s="479" t="s">
        <v>1492</v>
      </c>
      <c r="AB3" s="480" t="s">
        <v>23</v>
      </c>
      <c r="AC3" s="451" t="s">
        <v>1494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16" t="s">
        <v>31</v>
      </c>
      <c r="T4" s="316" t="s">
        <v>32</v>
      </c>
      <c r="U4" s="476"/>
      <c r="V4" s="476"/>
      <c r="W4" s="316" t="s">
        <v>33</v>
      </c>
      <c r="X4" s="316" t="s">
        <v>1495</v>
      </c>
      <c r="Y4" s="478"/>
      <c r="Z4" s="478"/>
      <c r="AA4" s="479"/>
      <c r="AB4" s="480"/>
      <c r="AC4" s="451"/>
    </row>
    <row r="5" spans="1:29">
      <c r="A5" s="473" t="s">
        <v>1496</v>
      </c>
      <c r="B5" s="31" t="s">
        <v>58</v>
      </c>
      <c r="C5" s="475" t="s">
        <v>104</v>
      </c>
      <c r="D5" s="475"/>
      <c r="E5" s="31">
        <v>46.93</v>
      </c>
      <c r="F5" s="326">
        <v>1055</v>
      </c>
      <c r="G5" s="316">
        <f>E5*F5</f>
        <v>49511.15</v>
      </c>
      <c r="H5" s="327" t="s">
        <v>103</v>
      </c>
      <c r="I5" s="324">
        <v>16</v>
      </c>
      <c r="J5" s="26">
        <v>2000</v>
      </c>
      <c r="K5" s="10">
        <f>J5/I5</f>
        <v>125</v>
      </c>
      <c r="L5" s="324">
        <v>16</v>
      </c>
      <c r="M5" s="11">
        <f>F5/V5*60</f>
        <v>1918.1818181818157</v>
      </c>
      <c r="N5" s="10">
        <f>M5/L5</f>
        <v>119.88636363636348</v>
      </c>
      <c r="O5" s="12">
        <f t="shared" ref="O5:O7" si="0">L5-I5</f>
        <v>0</v>
      </c>
      <c r="P5" s="13">
        <f t="shared" ref="P5:P7" si="1">N5-K5</f>
        <v>-5.1136363636365161</v>
      </c>
      <c r="Q5" s="318">
        <f>N5/K5</f>
        <v>0.95909090909090788</v>
      </c>
      <c r="R5" s="442">
        <f>Q8</f>
        <v>0.95558441558441465</v>
      </c>
      <c r="S5" s="28">
        <v>0.70833333333333337</v>
      </c>
      <c r="T5" s="28">
        <v>0.73125000000000007</v>
      </c>
      <c r="U5" s="316"/>
      <c r="V5" s="325">
        <f>(T5-S5)*24*60</f>
        <v>33.000000000000043</v>
      </c>
      <c r="W5" s="16"/>
      <c r="X5" s="17"/>
      <c r="Y5" s="443"/>
      <c r="Z5" s="443"/>
      <c r="AA5" s="12">
        <f t="shared" ref="AA5:AA68" si="2">M5-J5</f>
        <v>-81.818181818184257</v>
      </c>
      <c r="AB5" s="318">
        <f t="shared" ref="AB5:AB7" si="3">M5/J5</f>
        <v>0.95909090909090788</v>
      </c>
      <c r="AC5" s="442">
        <f>AB8</f>
        <v>0.95558441558441465</v>
      </c>
    </row>
    <row r="6" spans="1:29">
      <c r="A6" s="474" t="s">
        <v>35</v>
      </c>
      <c r="B6" s="31" t="s">
        <v>58</v>
      </c>
      <c r="C6" s="475" t="s">
        <v>105</v>
      </c>
      <c r="D6" s="475"/>
      <c r="E6" s="31">
        <v>50.49</v>
      </c>
      <c r="F6" s="326">
        <v>2451</v>
      </c>
      <c r="G6" s="316">
        <f t="shared" ref="G6:G7" si="4">E6*F6</f>
        <v>123750.99</v>
      </c>
      <c r="H6" s="327" t="s">
        <v>103</v>
      </c>
      <c r="I6" s="324">
        <v>15</v>
      </c>
      <c r="J6" s="26">
        <v>2000</v>
      </c>
      <c r="K6" s="10">
        <f t="shared" ref="K6:K7" si="5">J6/I6</f>
        <v>133.33333333333334</v>
      </c>
      <c r="L6" s="324">
        <v>15</v>
      </c>
      <c r="M6" s="11">
        <f>F6/V6*60</f>
        <v>1909.8701298701287</v>
      </c>
      <c r="N6" s="10">
        <f t="shared" ref="N6:N7" si="6">M6/L6</f>
        <v>127.32467532467525</v>
      </c>
      <c r="O6" s="12">
        <f t="shared" si="0"/>
        <v>0</v>
      </c>
      <c r="P6" s="13">
        <f t="shared" si="1"/>
        <v>-6.0086580086580881</v>
      </c>
      <c r="Q6" s="318">
        <f t="shared" ref="Q6:Q7" si="7">N6/K6</f>
        <v>0.9549350649350643</v>
      </c>
      <c r="R6" s="442"/>
      <c r="S6" s="28">
        <v>0.73541666666666672</v>
      </c>
      <c r="T6" s="28">
        <v>0.78888888888888897</v>
      </c>
      <c r="U6" s="316">
        <f>(S6-T5)*24*60</f>
        <v>5.9999999999999787</v>
      </c>
      <c r="V6" s="325">
        <f>(T6-S6)*24*60</f>
        <v>77.000000000000043</v>
      </c>
      <c r="W6" s="16"/>
      <c r="X6" s="16"/>
      <c r="Y6" s="443"/>
      <c r="Z6" s="443"/>
      <c r="AA6" s="12">
        <f t="shared" si="2"/>
        <v>-90.129870129871279</v>
      </c>
      <c r="AB6" s="318">
        <f t="shared" si="3"/>
        <v>0.95493506493506441</v>
      </c>
      <c r="AC6" s="442"/>
    </row>
    <row r="7" spans="1:29">
      <c r="A7" s="474" t="s">
        <v>35</v>
      </c>
      <c r="B7" s="31" t="s">
        <v>58</v>
      </c>
      <c r="C7" s="471" t="s">
        <v>106</v>
      </c>
      <c r="D7" s="472"/>
      <c r="E7" s="31">
        <v>50.67</v>
      </c>
      <c r="F7" s="326">
        <v>2096</v>
      </c>
      <c r="G7" s="316">
        <f t="shared" si="4"/>
        <v>106204.32</v>
      </c>
      <c r="H7" s="327" t="s">
        <v>103</v>
      </c>
      <c r="I7" s="324">
        <v>17</v>
      </c>
      <c r="J7" s="26">
        <v>2000</v>
      </c>
      <c r="K7" s="10">
        <f t="shared" si="5"/>
        <v>117.64705882352941</v>
      </c>
      <c r="L7" s="324">
        <v>17</v>
      </c>
      <c r="M7" s="11">
        <f t="shared" ref="M7" si="8">F7/V7*60</f>
        <v>1905.454545454543</v>
      </c>
      <c r="N7" s="10">
        <f t="shared" si="6"/>
        <v>112.08556149732605</v>
      </c>
      <c r="O7" s="12">
        <f t="shared" si="0"/>
        <v>0</v>
      </c>
      <c r="P7" s="13">
        <f t="shared" si="1"/>
        <v>-5.5614973262033516</v>
      </c>
      <c r="Q7" s="318">
        <f t="shared" si="7"/>
        <v>0.95272727272727153</v>
      </c>
      <c r="R7" s="442"/>
      <c r="S7" s="28">
        <v>0.79305555555555562</v>
      </c>
      <c r="T7" s="28">
        <v>0.83888888888888902</v>
      </c>
      <c r="U7" s="316">
        <f t="shared" ref="U7" si="9">(S7-T6)*24*60</f>
        <v>5.9999999999999787</v>
      </c>
      <c r="V7" s="325">
        <f t="shared" ref="V7" si="10">(T7-S7)*24*60</f>
        <v>66.000000000000085</v>
      </c>
      <c r="W7" s="16"/>
      <c r="X7" s="16"/>
      <c r="Y7" s="447"/>
      <c r="Z7" s="448"/>
      <c r="AA7" s="12">
        <f t="shared" si="2"/>
        <v>-94.545454545457005</v>
      </c>
      <c r="AB7" s="318">
        <f t="shared" si="3"/>
        <v>0.95272727272727153</v>
      </c>
      <c r="AC7" s="442"/>
    </row>
    <row r="8" spans="1:29">
      <c r="A8" s="474" t="s">
        <v>35</v>
      </c>
      <c r="B8" s="31" t="s">
        <v>36</v>
      </c>
      <c r="C8" s="446"/>
      <c r="D8" s="446"/>
      <c r="E8" s="317"/>
      <c r="F8" s="33"/>
      <c r="G8" s="10"/>
      <c r="H8" s="326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1911.1688311688292</v>
      </c>
      <c r="N8" s="10">
        <f>M8/L8</f>
        <v>119.44805194805183</v>
      </c>
      <c r="O8" s="12">
        <f>L8-I8</f>
        <v>0</v>
      </c>
      <c r="P8" s="13">
        <f>N8-K8</f>
        <v>-5.5519480519481732</v>
      </c>
      <c r="Q8" s="318">
        <f>N8/K8</f>
        <v>0.95558441558441465</v>
      </c>
      <c r="R8" s="442"/>
      <c r="S8" s="28"/>
      <c r="T8" s="28"/>
      <c r="U8" s="316"/>
      <c r="V8" s="325"/>
      <c r="W8" s="10"/>
      <c r="X8" s="10"/>
      <c r="Y8" s="443"/>
      <c r="Z8" s="443"/>
      <c r="AA8" s="12">
        <f t="shared" si="2"/>
        <v>-88.831168831170771</v>
      </c>
      <c r="AB8" s="318">
        <f>M8/J8</f>
        <v>0.95558441558441465</v>
      </c>
      <c r="AC8" s="442"/>
    </row>
    <row r="9" spans="1:29" ht="15.75" customHeight="1">
      <c r="A9" s="439" t="s">
        <v>37</v>
      </c>
      <c r="B9" s="31" t="s">
        <v>53</v>
      </c>
      <c r="C9" s="471" t="s">
        <v>54</v>
      </c>
      <c r="D9" s="472"/>
      <c r="E9" s="31">
        <v>39.799999999999997</v>
      </c>
      <c r="F9" s="326">
        <v>7979</v>
      </c>
      <c r="G9" s="316">
        <f t="shared" ref="G9" si="11">E9*F9</f>
        <v>317564.19999999995</v>
      </c>
      <c r="H9" s="327" t="s">
        <v>103</v>
      </c>
      <c r="I9" s="324">
        <v>17</v>
      </c>
      <c r="J9" s="26">
        <v>1500</v>
      </c>
      <c r="K9" s="10">
        <f t="shared" ref="K9" si="12">J9/I9</f>
        <v>88.235294117647058</v>
      </c>
      <c r="L9" s="324">
        <v>17</v>
      </c>
      <c r="M9" s="11">
        <f t="shared" ref="M9" si="13">F9/V9*60</f>
        <v>1420.5934718100889</v>
      </c>
      <c r="N9" s="10">
        <f t="shared" ref="N9" si="14">M9/L9</f>
        <v>83.564321871181704</v>
      </c>
      <c r="O9" s="12">
        <f t="shared" ref="O9" si="15">L9-I9</f>
        <v>0</v>
      </c>
      <c r="P9" s="13">
        <f>N9-K9</f>
        <v>-4.6709722464653538</v>
      </c>
      <c r="Q9" s="318">
        <f>N9/K9</f>
        <v>0.94706231454005929</v>
      </c>
      <c r="R9" s="442">
        <f>Q10</f>
        <v>0.94706231454005929</v>
      </c>
      <c r="S9" s="28">
        <v>0.20833333333333334</v>
      </c>
      <c r="T9" s="28">
        <v>0.44236111111111109</v>
      </c>
      <c r="U9" s="316"/>
      <c r="V9" s="325">
        <f t="shared" ref="V9" si="16">(T9-S9)*24*60</f>
        <v>337</v>
      </c>
      <c r="W9" s="16"/>
      <c r="X9" s="16"/>
      <c r="Y9" s="443"/>
      <c r="Z9" s="443"/>
      <c r="AA9" s="12">
        <f t="shared" si="2"/>
        <v>-79.406528189911114</v>
      </c>
      <c r="AB9" s="318">
        <f>M9/J9</f>
        <v>0.94706231454005929</v>
      </c>
      <c r="AC9" s="442">
        <f>AB10</f>
        <v>0.94706231454005929</v>
      </c>
    </row>
    <row r="10" spans="1:29" ht="16.5" customHeight="1">
      <c r="A10" s="439" t="s">
        <v>37</v>
      </c>
      <c r="B10" s="31" t="s">
        <v>36</v>
      </c>
      <c r="C10" s="446"/>
      <c r="D10" s="446"/>
      <c r="E10" s="317"/>
      <c r="F10" s="26"/>
      <c r="G10" s="11"/>
      <c r="H10" s="326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1420.5934718100889</v>
      </c>
      <c r="N10" s="10">
        <f>M10/L10</f>
        <v>83.564321871181704</v>
      </c>
      <c r="O10" s="12">
        <f>L10-I10</f>
        <v>0</v>
      </c>
      <c r="P10" s="13">
        <f>N10-K10</f>
        <v>-4.6709722464653538</v>
      </c>
      <c r="Q10" s="318">
        <f>N10/K10</f>
        <v>0.94706231454005929</v>
      </c>
      <c r="R10" s="442"/>
      <c r="S10" s="28"/>
      <c r="T10" s="28"/>
      <c r="U10" s="10"/>
      <c r="V10" s="325"/>
      <c r="W10" s="10"/>
      <c r="X10" s="10"/>
      <c r="Y10" s="443"/>
      <c r="Z10" s="443"/>
      <c r="AA10" s="12">
        <f t="shared" si="2"/>
        <v>-79.406528189911114</v>
      </c>
      <c r="AB10" s="318">
        <f t="shared" ref="AB10:AB22" si="17">M10/J10</f>
        <v>0.94706231454005929</v>
      </c>
      <c r="AC10" s="442"/>
    </row>
    <row r="11" spans="1:29" ht="16.5" customHeight="1">
      <c r="A11" s="469" t="s">
        <v>40</v>
      </c>
      <c r="B11" s="326" t="s">
        <v>56</v>
      </c>
      <c r="C11" s="464" t="s">
        <v>57</v>
      </c>
      <c r="D11" s="464"/>
      <c r="E11" s="31">
        <v>41</v>
      </c>
      <c r="F11" s="326">
        <v>2198</v>
      </c>
      <c r="G11" s="316">
        <f t="shared" ref="G11:G15" si="18">E11*F11</f>
        <v>90118</v>
      </c>
      <c r="H11" s="327" t="s">
        <v>103</v>
      </c>
      <c r="I11" s="324">
        <v>26</v>
      </c>
      <c r="J11" s="26">
        <v>1500</v>
      </c>
      <c r="K11" s="10">
        <f>J11/I11</f>
        <v>57.692307692307693</v>
      </c>
      <c r="L11" s="324">
        <v>26</v>
      </c>
      <c r="M11" s="11">
        <f>F11/V11*60</f>
        <v>1433.478260869565</v>
      </c>
      <c r="N11" s="10">
        <f t="shared" ref="N11:N21" si="19">M11/L11</f>
        <v>55.133779264214041</v>
      </c>
      <c r="O11" s="12">
        <f t="shared" ref="O11" si="20">L11-I11</f>
        <v>0</v>
      </c>
      <c r="P11" s="13">
        <f t="shared" ref="P11" si="21">N11-K11</f>
        <v>-2.558528428093652</v>
      </c>
      <c r="Q11" s="318">
        <f>N11/K11</f>
        <v>0.95565217391304336</v>
      </c>
      <c r="R11" s="442">
        <f>Q16</f>
        <v>0.95155825670624494</v>
      </c>
      <c r="S11" s="28">
        <v>8.3333333333333329E-2</v>
      </c>
      <c r="T11" s="28">
        <v>0.14722222222222223</v>
      </c>
      <c r="U11" s="316"/>
      <c r="V11" s="325">
        <f>(T11-S11)*24*60</f>
        <v>92.000000000000014</v>
      </c>
      <c r="W11" s="16">
        <f>T11</f>
        <v>0.14722222222222223</v>
      </c>
      <c r="X11" s="16">
        <f>S12</f>
        <v>0.16736111111111113</v>
      </c>
      <c r="Y11" s="443"/>
      <c r="Z11" s="443"/>
      <c r="AA11" s="12">
        <f t="shared" si="2"/>
        <v>-66.52173913043498</v>
      </c>
      <c r="AB11" s="318">
        <f t="shared" si="17"/>
        <v>0.95565217391304336</v>
      </c>
      <c r="AC11" s="442">
        <f>AB16</f>
        <v>0.95155825670624505</v>
      </c>
    </row>
    <row r="12" spans="1:29" ht="16.5" customHeight="1">
      <c r="A12" s="470" t="s">
        <v>1497</v>
      </c>
      <c r="B12" s="326" t="s">
        <v>53</v>
      </c>
      <c r="C12" s="464" t="s">
        <v>107</v>
      </c>
      <c r="D12" s="464"/>
      <c r="E12" s="31">
        <v>39.619999999999997</v>
      </c>
      <c r="F12" s="326">
        <v>5387</v>
      </c>
      <c r="G12" s="316">
        <f t="shared" si="18"/>
        <v>213432.93999999997</v>
      </c>
      <c r="H12" s="327" t="s">
        <v>103</v>
      </c>
      <c r="I12" s="324">
        <v>19</v>
      </c>
      <c r="J12" s="26">
        <v>1500</v>
      </c>
      <c r="K12" s="10">
        <f>J12/I12</f>
        <v>78.94736842105263</v>
      </c>
      <c r="L12" s="324">
        <v>19</v>
      </c>
      <c r="M12" s="11">
        <f>F12/V12*60</f>
        <v>1423.8766519823789</v>
      </c>
      <c r="N12" s="10">
        <f t="shared" si="19"/>
        <v>74.940876420125207</v>
      </c>
      <c r="O12" s="12">
        <f>L12-I12</f>
        <v>0</v>
      </c>
      <c r="P12" s="13">
        <f>N12-K12</f>
        <v>-4.0064920009274232</v>
      </c>
      <c r="Q12" s="318">
        <f>N12/K12</f>
        <v>0.94925110132158597</v>
      </c>
      <c r="R12" s="442"/>
      <c r="S12" s="28">
        <v>0.16736111111111113</v>
      </c>
      <c r="T12" s="28">
        <v>0.32500000000000001</v>
      </c>
      <c r="U12" s="316">
        <f>IF(S12=TIME(17,0,0),"",(S12-T11)*24*60)</f>
        <v>29.000000000000018</v>
      </c>
      <c r="V12" s="325">
        <f>(T12-S12)*24*60</f>
        <v>227</v>
      </c>
      <c r="W12" s="16"/>
      <c r="X12" s="16"/>
      <c r="Y12" s="443"/>
      <c r="Z12" s="443"/>
      <c r="AA12" s="12">
        <f t="shared" si="2"/>
        <v>-76.123348017621083</v>
      </c>
      <c r="AB12" s="318">
        <f t="shared" si="17"/>
        <v>0.94925110132158597</v>
      </c>
      <c r="AC12" s="442"/>
    </row>
    <row r="13" spans="1:29" ht="16.5" customHeight="1">
      <c r="A13" s="470" t="s">
        <v>1498</v>
      </c>
      <c r="B13" s="326" t="s">
        <v>53</v>
      </c>
      <c r="C13" s="464" t="s">
        <v>163</v>
      </c>
      <c r="D13" s="464"/>
      <c r="E13" s="31">
        <v>39.36</v>
      </c>
      <c r="F13" s="326">
        <v>4634</v>
      </c>
      <c r="G13" s="316">
        <f t="shared" si="18"/>
        <v>182394.23999999999</v>
      </c>
      <c r="H13" s="327" t="s">
        <v>103</v>
      </c>
      <c r="I13" s="324">
        <v>20</v>
      </c>
      <c r="J13" s="26">
        <v>1500</v>
      </c>
      <c r="K13" s="10">
        <f t="shared" ref="K13:K15" si="22">J13/I13</f>
        <v>75</v>
      </c>
      <c r="L13" s="324">
        <v>20</v>
      </c>
      <c r="M13" s="11">
        <f t="shared" ref="M13:M15" si="23">F13/V13*60</f>
        <v>1418.5714285714284</v>
      </c>
      <c r="N13" s="10">
        <f t="shared" si="19"/>
        <v>70.928571428571416</v>
      </c>
      <c r="O13" s="12">
        <f t="shared" ref="O13:O15" si="24">L13-I13</f>
        <v>0</v>
      </c>
      <c r="P13" s="13">
        <f t="shared" ref="P13:P15" si="25">N13-K13</f>
        <v>-4.0714285714285836</v>
      </c>
      <c r="Q13" s="318">
        <f t="shared" ref="Q13:Q21" si="26">N13/K13</f>
        <v>0.94571428571428551</v>
      </c>
      <c r="R13" s="442"/>
      <c r="S13" s="28">
        <v>0.3298611111111111</v>
      </c>
      <c r="T13" s="28">
        <v>0.46597222222222223</v>
      </c>
      <c r="U13" s="316">
        <f t="shared" ref="U13:U15" si="27">IF(S13=TIME(17,0,0),"",(S13-T12)*24*60)</f>
        <v>6.9999999999999751</v>
      </c>
      <c r="V13" s="325">
        <f t="shared" ref="V13:V15" si="28">(T13-S13)*24*60</f>
        <v>196.00000000000003</v>
      </c>
      <c r="W13" s="16"/>
      <c r="X13" s="16"/>
      <c r="Y13" s="443"/>
      <c r="Z13" s="443"/>
      <c r="AA13" s="12">
        <f t="shared" si="2"/>
        <v>-81.428571428571558</v>
      </c>
      <c r="AB13" s="318">
        <f t="shared" si="17"/>
        <v>0.94571428571428562</v>
      </c>
      <c r="AC13" s="442"/>
    </row>
    <row r="14" spans="1:29" ht="16.5" customHeight="1">
      <c r="A14" s="470" t="s">
        <v>40</v>
      </c>
      <c r="B14" s="326" t="s">
        <v>58</v>
      </c>
      <c r="C14" s="464" t="s">
        <v>59</v>
      </c>
      <c r="D14" s="464"/>
      <c r="E14" s="31">
        <v>50.98</v>
      </c>
      <c r="F14" s="326">
        <v>2922</v>
      </c>
      <c r="G14" s="316">
        <f t="shared" si="18"/>
        <v>148963.56</v>
      </c>
      <c r="H14" s="327" t="s">
        <v>103</v>
      </c>
      <c r="I14" s="324">
        <v>16</v>
      </c>
      <c r="J14" s="26">
        <v>2000</v>
      </c>
      <c r="K14" s="10">
        <f t="shared" si="22"/>
        <v>125</v>
      </c>
      <c r="L14" s="324">
        <v>16</v>
      </c>
      <c r="M14" s="11">
        <f t="shared" si="23"/>
        <v>1905.6521739130435</v>
      </c>
      <c r="N14" s="10">
        <f t="shared" si="19"/>
        <v>119.10326086956522</v>
      </c>
      <c r="O14" s="12">
        <f t="shared" si="24"/>
        <v>0</v>
      </c>
      <c r="P14" s="13">
        <f t="shared" si="25"/>
        <v>-5.8967391304347814</v>
      </c>
      <c r="Q14" s="318">
        <f t="shared" si="26"/>
        <v>0.95282608695652171</v>
      </c>
      <c r="R14" s="442"/>
      <c r="S14" s="28">
        <v>0.70833333333333337</v>
      </c>
      <c r="T14" s="28">
        <v>0.77222222222222225</v>
      </c>
      <c r="U14" s="316" t="str">
        <f t="shared" si="27"/>
        <v/>
      </c>
      <c r="V14" s="325">
        <f t="shared" si="28"/>
        <v>92</v>
      </c>
      <c r="W14" s="16"/>
      <c r="X14" s="16"/>
      <c r="Y14" s="443"/>
      <c r="Z14" s="443"/>
      <c r="AA14" s="12">
        <f t="shared" si="2"/>
        <v>-94.347826086956502</v>
      </c>
      <c r="AB14" s="318">
        <f t="shared" si="17"/>
        <v>0.95282608695652171</v>
      </c>
      <c r="AC14" s="442"/>
    </row>
    <row r="15" spans="1:29" ht="16.5" customHeight="1">
      <c r="A15" s="470" t="s">
        <v>1497</v>
      </c>
      <c r="B15" s="326" t="s">
        <v>58</v>
      </c>
      <c r="C15" s="464" t="s">
        <v>60</v>
      </c>
      <c r="D15" s="464"/>
      <c r="E15" s="31">
        <v>50.92</v>
      </c>
      <c r="F15" s="326">
        <v>3146</v>
      </c>
      <c r="G15" s="316">
        <f t="shared" si="18"/>
        <v>160194.32</v>
      </c>
      <c r="H15" s="327" t="s">
        <v>103</v>
      </c>
      <c r="I15" s="324">
        <v>15</v>
      </c>
      <c r="J15" s="26">
        <v>2000</v>
      </c>
      <c r="K15" s="10">
        <f t="shared" si="22"/>
        <v>133.33333333333334</v>
      </c>
      <c r="L15" s="324">
        <v>15</v>
      </c>
      <c r="M15" s="11">
        <f t="shared" si="23"/>
        <v>1906.6666666666672</v>
      </c>
      <c r="N15" s="10">
        <f t="shared" si="19"/>
        <v>127.11111111111114</v>
      </c>
      <c r="O15" s="12">
        <f t="shared" si="24"/>
        <v>0</v>
      </c>
      <c r="P15" s="13">
        <f t="shared" si="25"/>
        <v>-6.2222222222222001</v>
      </c>
      <c r="Q15" s="318">
        <f t="shared" si="26"/>
        <v>0.95333333333333348</v>
      </c>
      <c r="R15" s="442"/>
      <c r="S15" s="28">
        <v>0.77708333333333335</v>
      </c>
      <c r="T15" s="28">
        <v>0.84583333333333333</v>
      </c>
      <c r="U15" s="316">
        <f t="shared" si="27"/>
        <v>6.9999999999999751</v>
      </c>
      <c r="V15" s="325">
        <f t="shared" si="28"/>
        <v>98.999999999999972</v>
      </c>
      <c r="W15" s="16"/>
      <c r="X15" s="16"/>
      <c r="Y15" s="443"/>
      <c r="Z15" s="443"/>
      <c r="AA15" s="12">
        <f t="shared" si="2"/>
        <v>-93.333333333332803</v>
      </c>
      <c r="AB15" s="318">
        <f t="shared" si="17"/>
        <v>0.95333333333333359</v>
      </c>
      <c r="AC15" s="442"/>
    </row>
    <row r="16" spans="1:29" ht="16.5" customHeight="1">
      <c r="A16" s="470" t="s">
        <v>1498</v>
      </c>
      <c r="B16" s="31" t="s">
        <v>36</v>
      </c>
      <c r="C16" s="446"/>
      <c r="D16" s="446"/>
      <c r="E16" s="317"/>
      <c r="F16" s="33"/>
      <c r="G16" s="10"/>
      <c r="H16" s="326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1617.6490364006165</v>
      </c>
      <c r="N16" s="10">
        <f t="shared" si="19"/>
        <v>84.25255397919878</v>
      </c>
      <c r="O16" s="12">
        <f>L16-I16</f>
        <v>0</v>
      </c>
      <c r="P16" s="13">
        <f>N16-K16</f>
        <v>-4.2891126874678918</v>
      </c>
      <c r="Q16" s="318">
        <f t="shared" si="26"/>
        <v>0.95155825670624494</v>
      </c>
      <c r="R16" s="442"/>
      <c r="S16" s="28"/>
      <c r="T16" s="28"/>
      <c r="U16" s="316"/>
      <c r="V16" s="325"/>
      <c r="W16" s="10"/>
      <c r="X16" s="10"/>
      <c r="Y16" s="443"/>
      <c r="Z16" s="443"/>
      <c r="AA16" s="12">
        <f t="shared" si="2"/>
        <v>-82.350963599383476</v>
      </c>
      <c r="AB16" s="318">
        <f t="shared" si="17"/>
        <v>0.95155825670624505</v>
      </c>
      <c r="AC16" s="442"/>
    </row>
    <row r="17" spans="1:29" ht="15.75" customHeight="1">
      <c r="A17" s="467" t="s">
        <v>41</v>
      </c>
      <c r="B17" s="31" t="s">
        <v>56</v>
      </c>
      <c r="C17" s="464" t="s">
        <v>1617</v>
      </c>
      <c r="D17" s="464"/>
      <c r="E17" s="31">
        <v>43.14</v>
      </c>
      <c r="F17" s="326">
        <v>1363</v>
      </c>
      <c r="G17" s="316">
        <f t="shared" ref="G17:G21" si="29">E17*F17</f>
        <v>58799.82</v>
      </c>
      <c r="H17" s="327" t="s">
        <v>103</v>
      </c>
      <c r="I17" s="324">
        <v>17</v>
      </c>
      <c r="J17" s="26">
        <v>2000</v>
      </c>
      <c r="K17" s="10">
        <f t="shared" ref="K17:K22" si="30">J17/I17</f>
        <v>117.64705882352941</v>
      </c>
      <c r="L17" s="324">
        <v>17</v>
      </c>
      <c r="M17" s="11">
        <f t="shared" ref="M17:M21" si="31">F17/V17*60</f>
        <v>1901.8604651162786</v>
      </c>
      <c r="N17" s="10">
        <f t="shared" si="19"/>
        <v>111.87414500683992</v>
      </c>
      <c r="O17" s="12">
        <f t="shared" ref="O17:O21" si="32">L17-I17</f>
        <v>0</v>
      </c>
      <c r="P17" s="13">
        <f t="shared" ref="P17:P21" si="33">N17-K17</f>
        <v>-5.7729138166894813</v>
      </c>
      <c r="Q17" s="318">
        <f t="shared" si="26"/>
        <v>0.95093023255813935</v>
      </c>
      <c r="R17" s="442">
        <f>Q22</f>
        <v>0.94857768380515217</v>
      </c>
      <c r="S17" s="28">
        <v>0.20833333333333334</v>
      </c>
      <c r="T17" s="28">
        <v>0.23819444444444446</v>
      </c>
      <c r="U17" s="316"/>
      <c r="V17" s="325">
        <f>(T17-S17)*24*60</f>
        <v>43.000000000000007</v>
      </c>
      <c r="W17" s="18"/>
      <c r="X17" s="18"/>
      <c r="Y17" s="443"/>
      <c r="Z17" s="443"/>
      <c r="AA17" s="12">
        <f t="shared" si="2"/>
        <v>-98.139534883721353</v>
      </c>
      <c r="AB17" s="318">
        <f t="shared" si="17"/>
        <v>0.95093023255813935</v>
      </c>
      <c r="AC17" s="442">
        <f>AB22</f>
        <v>0.94857768380515206</v>
      </c>
    </row>
    <row r="18" spans="1:29" ht="15.75" customHeight="1">
      <c r="A18" s="468" t="s">
        <v>41</v>
      </c>
      <c r="B18" s="31" t="s">
        <v>58</v>
      </c>
      <c r="C18" s="464" t="s">
        <v>62</v>
      </c>
      <c r="D18" s="464"/>
      <c r="E18" s="31">
        <v>57.73</v>
      </c>
      <c r="F18" s="326">
        <v>2880</v>
      </c>
      <c r="G18" s="316">
        <f t="shared" si="29"/>
        <v>166262.39999999999</v>
      </c>
      <c r="H18" s="327" t="s">
        <v>103</v>
      </c>
      <c r="I18" s="324">
        <v>15</v>
      </c>
      <c r="J18" s="26">
        <v>2000</v>
      </c>
      <c r="K18" s="10">
        <f t="shared" si="30"/>
        <v>133.33333333333334</v>
      </c>
      <c r="L18" s="324">
        <v>15</v>
      </c>
      <c r="M18" s="11">
        <f t="shared" si="31"/>
        <v>1898.901098901099</v>
      </c>
      <c r="N18" s="10">
        <f t="shared" si="19"/>
        <v>126.5934065934066</v>
      </c>
      <c r="O18" s="12">
        <f t="shared" si="32"/>
        <v>0</v>
      </c>
      <c r="P18" s="13">
        <f t="shared" si="33"/>
        <v>-6.7399267399267444</v>
      </c>
      <c r="Q18" s="318">
        <f t="shared" si="26"/>
        <v>0.94945054945054941</v>
      </c>
      <c r="R18" s="442"/>
      <c r="S18" s="28">
        <v>0.24375000000000002</v>
      </c>
      <c r="T18" s="28">
        <v>0.30694444444444446</v>
      </c>
      <c r="U18" s="316">
        <f>IF(S18=TIME(17,0,0),"",(S18-T17)*24*60)</f>
        <v>8.0000000000000107</v>
      </c>
      <c r="V18" s="325">
        <f t="shared" ref="V18:V21" si="34">(T18-S18)*24*60</f>
        <v>91</v>
      </c>
      <c r="W18" s="16"/>
      <c r="X18" s="316"/>
      <c r="Y18" s="443"/>
      <c r="Z18" s="443"/>
      <c r="AA18" s="12">
        <f t="shared" si="2"/>
        <v>-101.09890109890102</v>
      </c>
      <c r="AB18" s="318">
        <f t="shared" si="17"/>
        <v>0.94945054945054952</v>
      </c>
      <c r="AC18" s="442"/>
    </row>
    <row r="19" spans="1:29" ht="15.75" customHeight="1">
      <c r="A19" s="468" t="s">
        <v>41</v>
      </c>
      <c r="B19" s="31" t="s">
        <v>58</v>
      </c>
      <c r="C19" s="464" t="s">
        <v>63</v>
      </c>
      <c r="D19" s="464"/>
      <c r="E19" s="31">
        <v>53.68</v>
      </c>
      <c r="F19" s="326">
        <v>1994</v>
      </c>
      <c r="G19" s="316">
        <f t="shared" si="29"/>
        <v>107037.92</v>
      </c>
      <c r="H19" s="327" t="s">
        <v>103</v>
      </c>
      <c r="I19" s="324">
        <v>16</v>
      </c>
      <c r="J19" s="26">
        <v>2000</v>
      </c>
      <c r="K19" s="10">
        <f t="shared" si="30"/>
        <v>125</v>
      </c>
      <c r="L19" s="324">
        <v>16</v>
      </c>
      <c r="M19" s="11">
        <f t="shared" si="31"/>
        <v>1899.0476190476188</v>
      </c>
      <c r="N19" s="10">
        <f t="shared" si="19"/>
        <v>118.69047619047618</v>
      </c>
      <c r="O19" s="12">
        <f t="shared" si="32"/>
        <v>0</v>
      </c>
      <c r="P19" s="13">
        <f t="shared" si="33"/>
        <v>-6.3095238095238244</v>
      </c>
      <c r="Q19" s="318">
        <f t="shared" si="26"/>
        <v>0.94952380952380944</v>
      </c>
      <c r="R19" s="442"/>
      <c r="S19" s="28">
        <v>0.3125</v>
      </c>
      <c r="T19" s="28">
        <v>0.35625000000000001</v>
      </c>
      <c r="U19" s="316">
        <f t="shared" ref="U19:U21" si="35">IF(S19=TIME(17,0,0),"",(S19-T18)*24*60)</f>
        <v>7.9999999999999716</v>
      </c>
      <c r="V19" s="325">
        <f t="shared" si="34"/>
        <v>63.000000000000014</v>
      </c>
      <c r="W19" s="16"/>
      <c r="X19" s="316"/>
      <c r="Y19" s="443"/>
      <c r="Z19" s="443"/>
      <c r="AA19" s="12">
        <f t="shared" si="2"/>
        <v>-100.95238095238119</v>
      </c>
      <c r="AB19" s="318">
        <f t="shared" si="17"/>
        <v>0.94952380952380944</v>
      </c>
      <c r="AC19" s="442"/>
    </row>
    <row r="20" spans="1:29" ht="15.75" customHeight="1">
      <c r="A20" s="468" t="s">
        <v>1499</v>
      </c>
      <c r="B20" s="31" t="s">
        <v>58</v>
      </c>
      <c r="C20" s="464" t="s">
        <v>1170</v>
      </c>
      <c r="D20" s="464"/>
      <c r="E20" s="31">
        <v>53.27</v>
      </c>
      <c r="F20" s="326">
        <v>2208</v>
      </c>
      <c r="G20" s="316">
        <f t="shared" si="29"/>
        <v>117620.16</v>
      </c>
      <c r="H20" s="327" t="s">
        <v>103</v>
      </c>
      <c r="I20" s="324">
        <v>17</v>
      </c>
      <c r="J20" s="26">
        <v>2000</v>
      </c>
      <c r="K20" s="10">
        <f t="shared" si="30"/>
        <v>117.64705882352941</v>
      </c>
      <c r="L20" s="324">
        <v>17</v>
      </c>
      <c r="M20" s="11">
        <f t="shared" si="31"/>
        <v>1892.5714285714289</v>
      </c>
      <c r="N20" s="10">
        <f t="shared" si="19"/>
        <v>111.32773109243699</v>
      </c>
      <c r="O20" s="12">
        <f t="shared" si="32"/>
        <v>0</v>
      </c>
      <c r="P20" s="13">
        <f t="shared" si="33"/>
        <v>-6.3193277310924145</v>
      </c>
      <c r="Q20" s="318">
        <f t="shared" si="26"/>
        <v>0.94628571428571451</v>
      </c>
      <c r="R20" s="442"/>
      <c r="S20" s="28">
        <v>0.35972222222222222</v>
      </c>
      <c r="T20" s="28">
        <v>0.40833333333333333</v>
      </c>
      <c r="U20" s="316">
        <f t="shared" si="35"/>
        <v>4.9999999999999822</v>
      </c>
      <c r="V20" s="325">
        <f t="shared" si="34"/>
        <v>69.999999999999986</v>
      </c>
      <c r="W20" s="16"/>
      <c r="X20" s="316"/>
      <c r="Y20" s="443"/>
      <c r="Z20" s="443"/>
      <c r="AA20" s="12">
        <f t="shared" si="2"/>
        <v>-107.4285714285711</v>
      </c>
      <c r="AB20" s="318">
        <f t="shared" si="17"/>
        <v>0.9462857142857144</v>
      </c>
      <c r="AC20" s="442"/>
    </row>
    <row r="21" spans="1:29" ht="15.75" customHeight="1">
      <c r="A21" s="468" t="s">
        <v>41</v>
      </c>
      <c r="B21" s="31" t="s">
        <v>58</v>
      </c>
      <c r="C21" s="464" t="s">
        <v>65</v>
      </c>
      <c r="D21" s="464"/>
      <c r="E21" s="31">
        <v>54.09</v>
      </c>
      <c r="F21" s="326">
        <v>3345</v>
      </c>
      <c r="G21" s="316">
        <f t="shared" si="29"/>
        <v>180931.05000000002</v>
      </c>
      <c r="H21" s="327" t="s">
        <v>103</v>
      </c>
      <c r="I21" s="324">
        <v>19</v>
      </c>
      <c r="J21" s="26">
        <v>2000</v>
      </c>
      <c r="K21" s="10">
        <f t="shared" si="30"/>
        <v>105.26315789473684</v>
      </c>
      <c r="L21" s="324">
        <v>19</v>
      </c>
      <c r="M21" s="11">
        <f t="shared" si="31"/>
        <v>1893.3962264150953</v>
      </c>
      <c r="N21" s="10">
        <f t="shared" si="19"/>
        <v>99.652432969215539</v>
      </c>
      <c r="O21" s="12">
        <f t="shared" si="32"/>
        <v>0</v>
      </c>
      <c r="P21" s="13">
        <f t="shared" si="33"/>
        <v>-5.6107249255212963</v>
      </c>
      <c r="Q21" s="318">
        <f t="shared" si="26"/>
        <v>0.94669811320754771</v>
      </c>
      <c r="R21" s="442"/>
      <c r="S21" s="28">
        <v>0.70833333333333337</v>
      </c>
      <c r="T21" s="28">
        <v>0.78194444444444444</v>
      </c>
      <c r="U21" s="316" t="str">
        <f t="shared" si="35"/>
        <v/>
      </c>
      <c r="V21" s="325">
        <f t="shared" si="34"/>
        <v>105.99999999999994</v>
      </c>
      <c r="W21" s="16"/>
      <c r="X21" s="316"/>
      <c r="Y21" s="443"/>
      <c r="Z21" s="443"/>
      <c r="AA21" s="12">
        <f t="shared" si="2"/>
        <v>-106.60377358490473</v>
      </c>
      <c r="AB21" s="318">
        <f t="shared" si="17"/>
        <v>0.9466981132075476</v>
      </c>
      <c r="AC21" s="442"/>
    </row>
    <row r="22" spans="1:29" ht="15.75" customHeight="1">
      <c r="A22" s="468" t="s">
        <v>1499</v>
      </c>
      <c r="B22" s="31" t="s">
        <v>36</v>
      </c>
      <c r="C22" s="446"/>
      <c r="D22" s="446"/>
      <c r="E22" s="317"/>
      <c r="F22" s="326"/>
      <c r="G22" s="316"/>
      <c r="H22" s="326"/>
      <c r="I22" s="19">
        <v>17</v>
      </c>
      <c r="J22" s="26">
        <v>2000</v>
      </c>
      <c r="K22" s="10">
        <f t="shared" si="30"/>
        <v>117.64705882352941</v>
      </c>
      <c r="L22" s="19">
        <v>17</v>
      </c>
      <c r="M22" s="11">
        <f>AVERAGE(M17:M21)</f>
        <v>1897.1553676103042</v>
      </c>
      <c r="N22" s="10">
        <f>M22/L22</f>
        <v>111.59737456531201</v>
      </c>
      <c r="O22" s="12">
        <f>L22-I22</f>
        <v>0</v>
      </c>
      <c r="P22" s="13">
        <f>N22-K22</f>
        <v>-6.0496842582173969</v>
      </c>
      <c r="Q22" s="318">
        <f>N22/K22</f>
        <v>0.94857768380515217</v>
      </c>
      <c r="R22" s="442"/>
      <c r="S22" s="28"/>
      <c r="T22" s="28"/>
      <c r="U22" s="10"/>
      <c r="V22" s="325"/>
      <c r="W22" s="10"/>
      <c r="X22" s="10"/>
      <c r="Y22" s="443"/>
      <c r="Z22" s="443"/>
      <c r="AA22" s="12">
        <f t="shared" si="2"/>
        <v>-102.84463238969579</v>
      </c>
      <c r="AB22" s="318">
        <f t="shared" si="17"/>
        <v>0.94857768380515206</v>
      </c>
      <c r="AC22" s="442"/>
    </row>
    <row r="23" spans="1:29" ht="15.75" customHeight="1">
      <c r="A23" s="463" t="s">
        <v>43</v>
      </c>
      <c r="B23" s="31" t="s">
        <v>67</v>
      </c>
      <c r="C23" s="464" t="s">
        <v>68</v>
      </c>
      <c r="D23" s="464"/>
      <c r="E23" s="31">
        <v>26.2</v>
      </c>
      <c r="F23" s="326">
        <v>3000</v>
      </c>
      <c r="G23" s="316">
        <f t="shared" ref="G23:G32" si="36">E23*F23</f>
        <v>78600</v>
      </c>
      <c r="H23" s="327">
        <v>2</v>
      </c>
      <c r="I23" s="324">
        <v>20</v>
      </c>
      <c r="J23" s="26">
        <v>2400</v>
      </c>
      <c r="K23" s="10">
        <f>J23/I23</f>
        <v>120</v>
      </c>
      <c r="L23" s="324">
        <v>20</v>
      </c>
      <c r="M23" s="11">
        <f t="shared" ref="M23:M32" si="37">F23/V23*60</f>
        <v>2278.4810126582274</v>
      </c>
      <c r="N23" s="10">
        <f t="shared" ref="N23:N32" si="38">M23/L23</f>
        <v>113.92405063291137</v>
      </c>
      <c r="O23" s="12">
        <f t="shared" ref="O23:O32" si="39">L23-I23</f>
        <v>0</v>
      </c>
      <c r="P23" s="13">
        <f t="shared" ref="P23:P32" si="40">N23-K23</f>
        <v>-6.0759493670886258</v>
      </c>
      <c r="Q23" s="318">
        <f t="shared" ref="Q23:Q28" si="41">N23/K23</f>
        <v>0.94936708860759478</v>
      </c>
      <c r="R23" s="442">
        <f>Q33</f>
        <v>0.95150470074316529</v>
      </c>
      <c r="S23" s="28">
        <v>8.3333333333333329E-2</v>
      </c>
      <c r="T23" s="28">
        <v>0.13819444444444445</v>
      </c>
      <c r="U23" s="316"/>
      <c r="V23" s="325">
        <f t="shared" ref="V23:V32" si="42">(T23-S23)*24*60</f>
        <v>79.000000000000014</v>
      </c>
      <c r="W23" s="16">
        <f>T23</f>
        <v>0.13819444444444445</v>
      </c>
      <c r="X23" s="16">
        <f>S24</f>
        <v>0.15694444444444444</v>
      </c>
      <c r="Y23" s="443"/>
      <c r="Z23" s="443"/>
      <c r="AA23" s="12">
        <f t="shared" si="2"/>
        <v>-121.51898734177257</v>
      </c>
      <c r="AB23" s="318">
        <f>M23/J23</f>
        <v>0.94936708860759478</v>
      </c>
      <c r="AC23" s="442">
        <f>AB33</f>
        <v>0.95150470074316518</v>
      </c>
    </row>
    <row r="24" spans="1:29" ht="15.75" customHeight="1">
      <c r="A24" s="463" t="s">
        <v>1500</v>
      </c>
      <c r="B24" s="31" t="s">
        <v>67</v>
      </c>
      <c r="C24" s="464" t="s">
        <v>69</v>
      </c>
      <c r="D24" s="464"/>
      <c r="E24" s="31">
        <v>31.29</v>
      </c>
      <c r="F24" s="326">
        <v>4300</v>
      </c>
      <c r="G24" s="316">
        <f t="shared" si="36"/>
        <v>134547</v>
      </c>
      <c r="H24" s="327">
        <v>2</v>
      </c>
      <c r="I24" s="324">
        <v>18</v>
      </c>
      <c r="J24" s="26">
        <v>2400</v>
      </c>
      <c r="K24" s="10">
        <f t="shared" ref="K24:K33" si="43">J24/I24</f>
        <v>133.33333333333334</v>
      </c>
      <c r="L24" s="324">
        <v>18</v>
      </c>
      <c r="M24" s="11">
        <f t="shared" si="37"/>
        <v>2283.1858407079644</v>
      </c>
      <c r="N24" s="10">
        <f t="shared" si="38"/>
        <v>126.84365781710913</v>
      </c>
      <c r="O24" s="12">
        <f t="shared" si="39"/>
        <v>0</v>
      </c>
      <c r="P24" s="13">
        <f t="shared" si="40"/>
        <v>-6.4896755162242101</v>
      </c>
      <c r="Q24" s="318">
        <f t="shared" si="41"/>
        <v>0.9513274336283184</v>
      </c>
      <c r="R24" s="442"/>
      <c r="S24" s="28">
        <v>0.15694444444444444</v>
      </c>
      <c r="T24" s="28">
        <v>0.23541666666666666</v>
      </c>
      <c r="U24" s="316">
        <f>(S24-T23)*24*60</f>
        <v>26.999999999999986</v>
      </c>
      <c r="V24" s="325">
        <f t="shared" si="42"/>
        <v>113</v>
      </c>
      <c r="W24" s="16"/>
      <c r="X24" s="16"/>
      <c r="Y24" s="443"/>
      <c r="Z24" s="443"/>
      <c r="AA24" s="12">
        <f t="shared" si="2"/>
        <v>-116.81415929203558</v>
      </c>
      <c r="AB24" s="318">
        <f t="shared" ref="AB24:AB32" si="44">M24/J24</f>
        <v>0.95132743362831851</v>
      </c>
      <c r="AC24" s="442"/>
    </row>
    <row r="25" spans="1:29" ht="15.75" customHeight="1">
      <c r="A25" s="463" t="s">
        <v>1500</v>
      </c>
      <c r="B25" s="31" t="s">
        <v>67</v>
      </c>
      <c r="C25" s="464" t="s">
        <v>101</v>
      </c>
      <c r="D25" s="464"/>
      <c r="E25" s="31">
        <v>25</v>
      </c>
      <c r="F25" s="326">
        <v>4803</v>
      </c>
      <c r="G25" s="316">
        <f t="shared" si="36"/>
        <v>120075</v>
      </c>
      <c r="H25" s="327" t="s">
        <v>103</v>
      </c>
      <c r="I25" s="324">
        <v>15</v>
      </c>
      <c r="J25" s="26">
        <v>2400</v>
      </c>
      <c r="K25" s="10">
        <f t="shared" si="43"/>
        <v>160</v>
      </c>
      <c r="L25" s="324">
        <v>15</v>
      </c>
      <c r="M25" s="11">
        <f t="shared" si="37"/>
        <v>2287.1428571428578</v>
      </c>
      <c r="N25" s="10">
        <f t="shared" si="38"/>
        <v>152.47619047619051</v>
      </c>
      <c r="O25" s="12">
        <f t="shared" si="39"/>
        <v>0</v>
      </c>
      <c r="P25" s="13">
        <f t="shared" si="40"/>
        <v>-7.52380952380949</v>
      </c>
      <c r="Q25" s="318">
        <f t="shared" si="41"/>
        <v>0.95297619047619064</v>
      </c>
      <c r="R25" s="442"/>
      <c r="S25" s="28">
        <v>0.24027777777777778</v>
      </c>
      <c r="T25" s="28">
        <v>0.32777777777777778</v>
      </c>
      <c r="U25" s="316">
        <f t="shared" ref="U25:U32" si="45">(S25-T24)*24*60</f>
        <v>7.0000000000000151</v>
      </c>
      <c r="V25" s="325">
        <f t="shared" si="42"/>
        <v>125.99999999999997</v>
      </c>
      <c r="W25" s="16"/>
      <c r="X25" s="16"/>
      <c r="Y25" s="443"/>
      <c r="Z25" s="443"/>
      <c r="AA25" s="12">
        <f t="shared" si="2"/>
        <v>-112.85714285714221</v>
      </c>
      <c r="AB25" s="318">
        <f t="shared" si="44"/>
        <v>0.95297619047619075</v>
      </c>
      <c r="AC25" s="442"/>
    </row>
    <row r="26" spans="1:29" ht="15.75" customHeight="1">
      <c r="A26" s="463" t="s">
        <v>1501</v>
      </c>
      <c r="B26" s="31" t="s">
        <v>67</v>
      </c>
      <c r="C26" s="464" t="s">
        <v>165</v>
      </c>
      <c r="D26" s="464"/>
      <c r="E26" s="31">
        <v>26.18</v>
      </c>
      <c r="F26" s="326">
        <v>3200</v>
      </c>
      <c r="G26" s="316">
        <f t="shared" si="36"/>
        <v>83776</v>
      </c>
      <c r="H26" s="327">
        <v>2</v>
      </c>
      <c r="I26" s="324">
        <v>19</v>
      </c>
      <c r="J26" s="26">
        <v>2400</v>
      </c>
      <c r="K26" s="10">
        <f t="shared" si="43"/>
        <v>126.31578947368421</v>
      </c>
      <c r="L26" s="324">
        <v>19</v>
      </c>
      <c r="M26" s="11">
        <f t="shared" si="37"/>
        <v>2285.7142857142849</v>
      </c>
      <c r="N26" s="10">
        <f t="shared" si="38"/>
        <v>120.30075187969921</v>
      </c>
      <c r="O26" s="12">
        <f t="shared" si="39"/>
        <v>0</v>
      </c>
      <c r="P26" s="13">
        <f t="shared" si="40"/>
        <v>-6.0150375939849994</v>
      </c>
      <c r="Q26" s="318">
        <f t="shared" si="41"/>
        <v>0.95238095238095211</v>
      </c>
      <c r="R26" s="442"/>
      <c r="S26" s="28">
        <v>0.33124999999999999</v>
      </c>
      <c r="T26" s="28">
        <v>0.38958333333333334</v>
      </c>
      <c r="U26" s="316">
        <f t="shared" si="45"/>
        <v>4.9999999999999822</v>
      </c>
      <c r="V26" s="325">
        <f t="shared" si="42"/>
        <v>84.000000000000028</v>
      </c>
      <c r="W26" s="16"/>
      <c r="X26" s="16"/>
      <c r="Y26" s="443"/>
      <c r="Z26" s="443"/>
      <c r="AA26" s="12">
        <f t="shared" si="2"/>
        <v>-114.28571428571513</v>
      </c>
      <c r="AB26" s="318">
        <f t="shared" si="44"/>
        <v>0.952380952380952</v>
      </c>
      <c r="AC26" s="442"/>
    </row>
    <row r="27" spans="1:29" ht="15.75" customHeight="1">
      <c r="A27" s="463" t="s">
        <v>43</v>
      </c>
      <c r="B27" s="31" t="s">
        <v>67</v>
      </c>
      <c r="C27" s="464" t="s">
        <v>77</v>
      </c>
      <c r="D27" s="464"/>
      <c r="E27" s="31">
        <v>26.2</v>
      </c>
      <c r="F27" s="326">
        <v>3000</v>
      </c>
      <c r="G27" s="316">
        <f t="shared" si="36"/>
        <v>78600</v>
      </c>
      <c r="H27" s="327">
        <v>2</v>
      </c>
      <c r="I27" s="324">
        <v>19</v>
      </c>
      <c r="J27" s="26">
        <v>2400</v>
      </c>
      <c r="K27" s="10">
        <f t="shared" si="43"/>
        <v>126.31578947368421</v>
      </c>
      <c r="L27" s="324">
        <v>19</v>
      </c>
      <c r="M27" s="11">
        <f t="shared" si="37"/>
        <v>2278.4810126582288</v>
      </c>
      <c r="N27" s="10">
        <f t="shared" si="38"/>
        <v>119.92005329780152</v>
      </c>
      <c r="O27" s="12">
        <f t="shared" si="39"/>
        <v>0</v>
      </c>
      <c r="P27" s="13">
        <f t="shared" si="40"/>
        <v>-6.3957361758826892</v>
      </c>
      <c r="Q27" s="318">
        <f t="shared" si="41"/>
        <v>0.94936708860759533</v>
      </c>
      <c r="R27" s="442"/>
      <c r="S27" s="28">
        <v>0.39305555555555555</v>
      </c>
      <c r="T27" s="28">
        <v>0.44791666666666663</v>
      </c>
      <c r="U27" s="316">
        <f t="shared" si="45"/>
        <v>4.9999999999999822</v>
      </c>
      <c r="V27" s="325">
        <f t="shared" si="42"/>
        <v>78.999999999999957</v>
      </c>
      <c r="W27" s="16"/>
      <c r="X27" s="16"/>
      <c r="Y27" s="443"/>
      <c r="Z27" s="443"/>
      <c r="AA27" s="12">
        <f t="shared" si="2"/>
        <v>-121.51898734177121</v>
      </c>
      <c r="AB27" s="318">
        <f t="shared" si="44"/>
        <v>0.94936708860759533</v>
      </c>
      <c r="AC27" s="442"/>
    </row>
    <row r="28" spans="1:29" ht="15.75" customHeight="1">
      <c r="A28" s="463" t="s">
        <v>43</v>
      </c>
      <c r="B28" s="31" t="s">
        <v>67</v>
      </c>
      <c r="C28" s="464" t="s">
        <v>78</v>
      </c>
      <c r="D28" s="464"/>
      <c r="E28" s="31">
        <v>25.98</v>
      </c>
      <c r="F28" s="326">
        <v>3075</v>
      </c>
      <c r="G28" s="316">
        <f t="shared" si="36"/>
        <v>79888.5</v>
      </c>
      <c r="H28" s="327" t="s">
        <v>103</v>
      </c>
      <c r="I28" s="324">
        <v>17</v>
      </c>
      <c r="J28" s="26">
        <v>2400</v>
      </c>
      <c r="K28" s="10">
        <f t="shared" si="43"/>
        <v>141.1764705882353</v>
      </c>
      <c r="L28" s="324">
        <v>17</v>
      </c>
      <c r="M28" s="11">
        <f t="shared" si="37"/>
        <v>2277.7777777777769</v>
      </c>
      <c r="N28" s="10">
        <f t="shared" si="38"/>
        <v>133.9869281045751</v>
      </c>
      <c r="O28" s="12">
        <f t="shared" si="39"/>
        <v>0</v>
      </c>
      <c r="P28" s="13">
        <f t="shared" si="40"/>
        <v>-7.1895424836602047</v>
      </c>
      <c r="Q28" s="318">
        <f t="shared" si="41"/>
        <v>0.94907407407407351</v>
      </c>
      <c r="R28" s="442"/>
      <c r="S28" s="28">
        <v>0.45208333333333328</v>
      </c>
      <c r="T28" s="28">
        <v>0.5083333333333333</v>
      </c>
      <c r="U28" s="316">
        <f t="shared" si="45"/>
        <v>5.9999999999999787</v>
      </c>
      <c r="V28" s="325">
        <f t="shared" si="42"/>
        <v>81.000000000000028</v>
      </c>
      <c r="W28" s="16">
        <f>T28</f>
        <v>0.5083333333333333</v>
      </c>
      <c r="X28" s="16">
        <f>S29</f>
        <v>0.54861111111111105</v>
      </c>
      <c r="Y28" s="443"/>
      <c r="Z28" s="443"/>
      <c r="AA28" s="12">
        <f t="shared" si="2"/>
        <v>-122.22222222222308</v>
      </c>
      <c r="AB28" s="318">
        <f t="shared" si="44"/>
        <v>0.94907407407407374</v>
      </c>
      <c r="AC28" s="442"/>
    </row>
    <row r="29" spans="1:29" ht="15.75" customHeight="1">
      <c r="A29" s="463" t="s">
        <v>43</v>
      </c>
      <c r="B29" s="31" t="s">
        <v>67</v>
      </c>
      <c r="C29" s="464" t="s">
        <v>69</v>
      </c>
      <c r="D29" s="464"/>
      <c r="E29" s="31">
        <v>31.29</v>
      </c>
      <c r="F29" s="326">
        <v>5974</v>
      </c>
      <c r="G29" s="316">
        <f t="shared" si="36"/>
        <v>186926.46</v>
      </c>
      <c r="H29" s="327" t="s">
        <v>103</v>
      </c>
      <c r="I29" s="324">
        <v>18</v>
      </c>
      <c r="J29" s="26">
        <v>2400</v>
      </c>
      <c r="K29" s="10">
        <f t="shared" si="43"/>
        <v>133.33333333333334</v>
      </c>
      <c r="L29" s="324">
        <v>18</v>
      </c>
      <c r="M29" s="11">
        <f t="shared" si="37"/>
        <v>2268.60759493671</v>
      </c>
      <c r="N29" s="10">
        <f t="shared" si="38"/>
        <v>126.03375527426167</v>
      </c>
      <c r="O29" s="12">
        <f t="shared" si="39"/>
        <v>0</v>
      </c>
      <c r="P29" s="13">
        <f t="shared" si="40"/>
        <v>-7.2995780590716777</v>
      </c>
      <c r="Q29" s="318">
        <f>N29/K29</f>
        <v>0.9452531645569624</v>
      </c>
      <c r="R29" s="442"/>
      <c r="S29" s="28">
        <v>0.54861111111111105</v>
      </c>
      <c r="T29" s="28">
        <v>0.65833333333333321</v>
      </c>
      <c r="U29" s="316">
        <f t="shared" si="45"/>
        <v>57.999999999999957</v>
      </c>
      <c r="V29" s="325">
        <f t="shared" si="42"/>
        <v>157.99999999999991</v>
      </c>
      <c r="W29" s="16"/>
      <c r="X29" s="16"/>
      <c r="Y29" s="443"/>
      <c r="Z29" s="443"/>
      <c r="AA29" s="12">
        <f t="shared" si="2"/>
        <v>-131.39240506328997</v>
      </c>
      <c r="AB29" s="318">
        <f t="shared" si="44"/>
        <v>0.94525316455696251</v>
      </c>
      <c r="AC29" s="442"/>
    </row>
    <row r="30" spans="1:29" ht="15.75" customHeight="1">
      <c r="A30" s="463" t="s">
        <v>1502</v>
      </c>
      <c r="B30" s="31" t="s">
        <v>67</v>
      </c>
      <c r="C30" s="464" t="s">
        <v>165</v>
      </c>
      <c r="D30" s="464"/>
      <c r="E30" s="31">
        <v>26.18</v>
      </c>
      <c r="F30" s="326">
        <v>2341</v>
      </c>
      <c r="G30" s="316">
        <f t="shared" si="36"/>
        <v>61287.38</v>
      </c>
      <c r="H30" s="327" t="s">
        <v>103</v>
      </c>
      <c r="I30" s="324">
        <v>19</v>
      </c>
      <c r="J30" s="26">
        <v>2400</v>
      </c>
      <c r="K30" s="10">
        <f t="shared" si="43"/>
        <v>126.31578947368421</v>
      </c>
      <c r="L30" s="324">
        <v>19</v>
      </c>
      <c r="M30" s="11">
        <f t="shared" si="37"/>
        <v>2302.6229508196739</v>
      </c>
      <c r="N30" s="10">
        <f t="shared" si="38"/>
        <v>121.19068162208809</v>
      </c>
      <c r="O30" s="12">
        <f t="shared" si="39"/>
        <v>0</v>
      </c>
      <c r="P30" s="13">
        <f t="shared" si="40"/>
        <v>-5.1251078515961126</v>
      </c>
      <c r="Q30" s="318">
        <f>N30/K30</f>
        <v>0.95942622950819745</v>
      </c>
      <c r="R30" s="442"/>
      <c r="S30" s="28">
        <v>0.66249999999999987</v>
      </c>
      <c r="T30" s="28">
        <v>0.70486111111111094</v>
      </c>
      <c r="U30" s="316">
        <f t="shared" si="45"/>
        <v>5.9999999999999787</v>
      </c>
      <c r="V30" s="325">
        <f t="shared" si="42"/>
        <v>60.999999999999943</v>
      </c>
      <c r="W30" s="16"/>
      <c r="X30" s="16"/>
      <c r="Y30" s="443"/>
      <c r="Z30" s="443"/>
      <c r="AA30" s="12">
        <f t="shared" si="2"/>
        <v>-97.377049180326139</v>
      </c>
      <c r="AB30" s="318">
        <f t="shared" si="44"/>
        <v>0.95942622950819745</v>
      </c>
      <c r="AC30" s="442"/>
    </row>
    <row r="31" spans="1:29" ht="15.75" customHeight="1">
      <c r="A31" s="463" t="s">
        <v>43</v>
      </c>
      <c r="B31" s="31" t="s">
        <v>67</v>
      </c>
      <c r="C31" s="465" t="s">
        <v>68</v>
      </c>
      <c r="D31" s="466"/>
      <c r="E31" s="31">
        <v>26.2</v>
      </c>
      <c r="F31" s="326">
        <v>2105</v>
      </c>
      <c r="G31" s="316">
        <f t="shared" si="36"/>
        <v>55151</v>
      </c>
      <c r="H31" s="327" t="s">
        <v>103</v>
      </c>
      <c r="I31" s="324">
        <v>20</v>
      </c>
      <c r="J31" s="26">
        <v>2400</v>
      </c>
      <c r="K31" s="10">
        <f t="shared" si="43"/>
        <v>120</v>
      </c>
      <c r="L31" s="324">
        <v>20</v>
      </c>
      <c r="M31" s="11">
        <f t="shared" si="37"/>
        <v>2296.3636363636379</v>
      </c>
      <c r="N31" s="10">
        <f t="shared" si="38"/>
        <v>114.8181818181819</v>
      </c>
      <c r="O31" s="12">
        <f t="shared" si="39"/>
        <v>0</v>
      </c>
      <c r="P31" s="13">
        <f t="shared" si="40"/>
        <v>-5.1818181818181017</v>
      </c>
      <c r="Q31" s="318">
        <f t="shared" ref="Q31" si="46">N31/K31</f>
        <v>0.95681818181818246</v>
      </c>
      <c r="R31" s="442"/>
      <c r="S31" s="28">
        <v>0.70972222222222203</v>
      </c>
      <c r="T31" s="28">
        <v>0.74791666666666645</v>
      </c>
      <c r="U31" s="316">
        <f t="shared" si="45"/>
        <v>6.9999999999999751</v>
      </c>
      <c r="V31" s="325">
        <f t="shared" si="42"/>
        <v>54.999999999999964</v>
      </c>
      <c r="W31" s="16"/>
      <c r="X31" s="16"/>
      <c r="Y31" s="447"/>
      <c r="Z31" s="448"/>
      <c r="AA31" s="12">
        <f t="shared" si="2"/>
        <v>-103.63636363636215</v>
      </c>
      <c r="AB31" s="318">
        <f t="shared" si="44"/>
        <v>0.95681818181818246</v>
      </c>
      <c r="AC31" s="442"/>
    </row>
    <row r="32" spans="1:29" ht="15.75" customHeight="1">
      <c r="A32" s="463" t="s">
        <v>43</v>
      </c>
      <c r="B32" s="31" t="s">
        <v>67</v>
      </c>
      <c r="C32" s="465" t="s">
        <v>77</v>
      </c>
      <c r="D32" s="466"/>
      <c r="E32" s="31">
        <v>26.2</v>
      </c>
      <c r="F32" s="326">
        <v>2012</v>
      </c>
      <c r="G32" s="316">
        <f t="shared" si="36"/>
        <v>52714.400000000001</v>
      </c>
      <c r="H32" s="327" t="s">
        <v>103</v>
      </c>
      <c r="I32" s="324">
        <v>19</v>
      </c>
      <c r="J32" s="26">
        <v>2400</v>
      </c>
      <c r="K32" s="10">
        <f t="shared" si="43"/>
        <v>126.31578947368421</v>
      </c>
      <c r="L32" s="324">
        <v>19</v>
      </c>
      <c r="M32" s="11">
        <f t="shared" si="37"/>
        <v>2277.7358490566053</v>
      </c>
      <c r="N32" s="10">
        <f t="shared" si="38"/>
        <v>119.88083416087396</v>
      </c>
      <c r="O32" s="12">
        <f t="shared" si="39"/>
        <v>0</v>
      </c>
      <c r="P32" s="13">
        <f t="shared" si="40"/>
        <v>-6.4349553128102457</v>
      </c>
      <c r="Q32" s="318">
        <f>N32/K32</f>
        <v>0.94905660377358558</v>
      </c>
      <c r="R32" s="442"/>
      <c r="S32" s="28">
        <v>0.7520833333333331</v>
      </c>
      <c r="T32" s="28">
        <v>0.78888888888888864</v>
      </c>
      <c r="U32" s="316">
        <f t="shared" si="45"/>
        <v>5.9999999999999787</v>
      </c>
      <c r="V32" s="325">
        <f t="shared" si="42"/>
        <v>52.999999999999972</v>
      </c>
      <c r="W32" s="16"/>
      <c r="X32" s="16"/>
      <c r="Y32" s="447"/>
      <c r="Z32" s="448"/>
      <c r="AA32" s="12">
        <f t="shared" si="2"/>
        <v>-122.26415094339472</v>
      </c>
      <c r="AB32" s="318">
        <f t="shared" si="44"/>
        <v>0.94905660377358558</v>
      </c>
      <c r="AC32" s="442"/>
    </row>
    <row r="33" spans="1:29" ht="15.75" customHeight="1">
      <c r="A33" s="463" t="s">
        <v>1500</v>
      </c>
      <c r="B33" s="31" t="s">
        <v>36</v>
      </c>
      <c r="C33" s="446"/>
      <c r="D33" s="446"/>
      <c r="E33" s="317"/>
      <c r="F33" s="326"/>
      <c r="G33" s="316"/>
      <c r="H33" s="326"/>
      <c r="I33" s="19">
        <v>18.399999999999999</v>
      </c>
      <c r="J33" s="26">
        <v>2400</v>
      </c>
      <c r="K33" s="10">
        <f t="shared" si="43"/>
        <v>130.43478260869566</v>
      </c>
      <c r="L33" s="19">
        <v>18.399999999999999</v>
      </c>
      <c r="M33" s="11">
        <f>AVERAGE(M23:M32)</f>
        <v>2283.6112817835965</v>
      </c>
      <c r="N33" s="10">
        <f>M33/L33</f>
        <v>124.10930879258677</v>
      </c>
      <c r="O33" s="12">
        <f>L33-I33</f>
        <v>0</v>
      </c>
      <c r="P33" s="13">
        <f>N33-K33</f>
        <v>-6.3254738161088824</v>
      </c>
      <c r="Q33" s="318">
        <f>N33/K33</f>
        <v>0.95150470074316529</v>
      </c>
      <c r="R33" s="442"/>
      <c r="S33" s="28"/>
      <c r="T33" s="28"/>
      <c r="U33" s="316"/>
      <c r="V33" s="325"/>
      <c r="W33" s="316"/>
      <c r="X33" s="316"/>
      <c r="Y33" s="443"/>
      <c r="Z33" s="443"/>
      <c r="AA33" s="12">
        <f t="shared" si="2"/>
        <v>-116.3887182164035</v>
      </c>
      <c r="AB33" s="318">
        <f>M33/J33</f>
        <v>0.95150470074316518</v>
      </c>
      <c r="AC33" s="442"/>
    </row>
    <row r="34" spans="1:29" ht="15.75" customHeight="1">
      <c r="A34" s="461" t="s">
        <v>1503</v>
      </c>
      <c r="B34" s="31" t="s">
        <v>67</v>
      </c>
      <c r="C34" s="441" t="s">
        <v>73</v>
      </c>
      <c r="D34" s="441"/>
      <c r="E34" s="31">
        <v>26.2</v>
      </c>
      <c r="F34" s="326">
        <v>4500</v>
      </c>
      <c r="G34" s="316">
        <f t="shared" ref="G34:G41" si="47">E34*F34</f>
        <v>117900</v>
      </c>
      <c r="H34" s="327">
        <v>2</v>
      </c>
      <c r="I34" s="324">
        <v>18</v>
      </c>
      <c r="J34" s="26">
        <v>2400</v>
      </c>
      <c r="K34" s="10">
        <f>J34/I34</f>
        <v>133.33333333333334</v>
      </c>
      <c r="L34" s="324">
        <v>18</v>
      </c>
      <c r="M34" s="11">
        <f>F34/V34*60</f>
        <v>2288.1355932203392</v>
      </c>
      <c r="N34" s="10">
        <f>M34/L34</f>
        <v>127.11864406779662</v>
      </c>
      <c r="O34" s="12">
        <f t="shared" ref="O34:O41" si="48">L34-I34</f>
        <v>0</v>
      </c>
      <c r="P34" s="13">
        <f t="shared" ref="P34:P49" si="49">N34-K34</f>
        <v>-6.2146892655367196</v>
      </c>
      <c r="Q34" s="318">
        <f t="shared" ref="Q34:Q46" si="50">N34/K34</f>
        <v>0.95338983050847459</v>
      </c>
      <c r="R34" s="442">
        <f>Q42</f>
        <v>0.9497496537786575</v>
      </c>
      <c r="S34" s="28">
        <v>8.3333333333333329E-2</v>
      </c>
      <c r="T34" s="28">
        <v>0.16527777777777777</v>
      </c>
      <c r="U34" s="316"/>
      <c r="V34" s="325">
        <f t="shared" ref="V34:V41" si="51">(T34-S34)*24*60</f>
        <v>118</v>
      </c>
      <c r="W34" s="18">
        <f>T34</f>
        <v>0.16527777777777777</v>
      </c>
      <c r="X34" s="18">
        <f>S35</f>
        <v>0.18541666666666667</v>
      </c>
      <c r="Y34" s="443"/>
      <c r="Z34" s="443"/>
      <c r="AA34" s="12">
        <f t="shared" si="2"/>
        <v>-111.86440677966084</v>
      </c>
      <c r="AB34" s="318">
        <f>M34/J34</f>
        <v>0.9533898305084747</v>
      </c>
      <c r="AC34" s="442">
        <f>AB42</f>
        <v>0.94974965377865739</v>
      </c>
    </row>
    <row r="35" spans="1:29" ht="15.75" customHeight="1">
      <c r="A35" s="461" t="s">
        <v>1503</v>
      </c>
      <c r="B35" s="31" t="s">
        <v>67</v>
      </c>
      <c r="C35" s="441" t="s">
        <v>74</v>
      </c>
      <c r="D35" s="441"/>
      <c r="E35" s="31">
        <v>24.45</v>
      </c>
      <c r="F35" s="326">
        <v>2736</v>
      </c>
      <c r="G35" s="316">
        <f t="shared" si="47"/>
        <v>66895.199999999997</v>
      </c>
      <c r="H35" s="327" t="s">
        <v>103</v>
      </c>
      <c r="I35" s="324">
        <v>20</v>
      </c>
      <c r="J35" s="26">
        <v>2400</v>
      </c>
      <c r="K35" s="10">
        <f t="shared" ref="K35:K48" si="52">J35/I35</f>
        <v>120</v>
      </c>
      <c r="L35" s="324">
        <v>20</v>
      </c>
      <c r="M35" s="11">
        <f t="shared" ref="M35:M41" si="53">F35/V35*60</f>
        <v>2280.0000000000005</v>
      </c>
      <c r="N35" s="10">
        <f t="shared" ref="N35:N41" si="54">M35/L35</f>
        <v>114.00000000000003</v>
      </c>
      <c r="O35" s="12">
        <f t="shared" si="48"/>
        <v>0</v>
      </c>
      <c r="P35" s="13">
        <f t="shared" si="49"/>
        <v>-5.9999999999999716</v>
      </c>
      <c r="Q35" s="318">
        <f t="shared" si="50"/>
        <v>0.95000000000000029</v>
      </c>
      <c r="R35" s="442"/>
      <c r="S35" s="28">
        <v>0.18541666666666667</v>
      </c>
      <c r="T35" s="28">
        <v>0.23541666666666666</v>
      </c>
      <c r="U35" s="316">
        <f>(S35-T34)*24*60</f>
        <v>29.000000000000018</v>
      </c>
      <c r="V35" s="325">
        <f t="shared" si="51"/>
        <v>71.999999999999986</v>
      </c>
      <c r="W35" s="316"/>
      <c r="X35" s="316"/>
      <c r="Y35" s="443"/>
      <c r="Z35" s="443"/>
      <c r="AA35" s="12">
        <f t="shared" si="2"/>
        <v>-119.99999999999955</v>
      </c>
      <c r="AB35" s="318">
        <f t="shared" ref="AB35:AB61" si="55">M35/J35</f>
        <v>0.95000000000000018</v>
      </c>
      <c r="AC35" s="442"/>
    </row>
    <row r="36" spans="1:29">
      <c r="A36" s="462" t="s">
        <v>44</v>
      </c>
      <c r="B36" s="31" t="s">
        <v>67</v>
      </c>
      <c r="C36" s="441" t="s">
        <v>75</v>
      </c>
      <c r="D36" s="441"/>
      <c r="E36" s="31">
        <v>26.39</v>
      </c>
      <c r="F36" s="326">
        <v>4300</v>
      </c>
      <c r="G36" s="316">
        <f t="shared" si="47"/>
        <v>113477</v>
      </c>
      <c r="H36" s="327">
        <v>2</v>
      </c>
      <c r="I36" s="324">
        <v>19</v>
      </c>
      <c r="J36" s="26">
        <v>2400</v>
      </c>
      <c r="K36" s="10">
        <f t="shared" si="52"/>
        <v>126.31578947368421</v>
      </c>
      <c r="L36" s="324">
        <v>19</v>
      </c>
      <c r="M36" s="11">
        <f t="shared" si="53"/>
        <v>2283.1858407079653</v>
      </c>
      <c r="N36" s="10">
        <f t="shared" si="54"/>
        <v>120.16767582673502</v>
      </c>
      <c r="O36" s="12">
        <f t="shared" si="48"/>
        <v>0</v>
      </c>
      <c r="P36" s="13">
        <f t="shared" si="49"/>
        <v>-6.1481136469491844</v>
      </c>
      <c r="Q36" s="318">
        <f t="shared" si="50"/>
        <v>0.95132743362831895</v>
      </c>
      <c r="R36" s="442"/>
      <c r="S36" s="28">
        <v>0.23958333333333334</v>
      </c>
      <c r="T36" s="28">
        <v>0.31805555555555554</v>
      </c>
      <c r="U36" s="316">
        <f t="shared" ref="U36:U41" si="56">(S36-T35)*24*60</f>
        <v>6.0000000000000187</v>
      </c>
      <c r="V36" s="325">
        <f t="shared" si="51"/>
        <v>112.99999999999996</v>
      </c>
      <c r="W36" s="316"/>
      <c r="X36" s="316"/>
      <c r="Y36" s="443"/>
      <c r="Z36" s="443"/>
      <c r="AA36" s="12">
        <f t="shared" si="2"/>
        <v>-116.81415929203467</v>
      </c>
      <c r="AB36" s="318">
        <f t="shared" si="55"/>
        <v>0.95132743362831884</v>
      </c>
      <c r="AC36" s="442"/>
    </row>
    <row r="37" spans="1:29">
      <c r="A37" s="462" t="s">
        <v>44</v>
      </c>
      <c r="B37" s="31" t="s">
        <v>67</v>
      </c>
      <c r="C37" s="441" t="s">
        <v>76</v>
      </c>
      <c r="D37" s="441"/>
      <c r="E37" s="31">
        <v>20.52</v>
      </c>
      <c r="F37" s="326">
        <v>4005</v>
      </c>
      <c r="G37" s="316">
        <f t="shared" si="47"/>
        <v>82182.599999999991</v>
      </c>
      <c r="H37" s="327" t="s">
        <v>103</v>
      </c>
      <c r="I37" s="324">
        <v>18</v>
      </c>
      <c r="J37" s="26">
        <v>2400</v>
      </c>
      <c r="K37" s="10">
        <f t="shared" si="52"/>
        <v>133.33333333333334</v>
      </c>
      <c r="L37" s="324">
        <v>18</v>
      </c>
      <c r="M37" s="11">
        <f t="shared" si="53"/>
        <v>2288.571428571428</v>
      </c>
      <c r="N37" s="10">
        <f t="shared" si="54"/>
        <v>127.14285714285711</v>
      </c>
      <c r="O37" s="12">
        <f t="shared" si="48"/>
        <v>0</v>
      </c>
      <c r="P37" s="13">
        <f t="shared" si="49"/>
        <v>-6.1904761904762324</v>
      </c>
      <c r="Q37" s="318">
        <f t="shared" si="50"/>
        <v>0.95357142857142829</v>
      </c>
      <c r="R37" s="442"/>
      <c r="S37" s="28">
        <v>0.32361111111111107</v>
      </c>
      <c r="T37" s="28">
        <v>0.39652777777777776</v>
      </c>
      <c r="U37" s="316">
        <f t="shared" si="56"/>
        <v>7.9999999999999716</v>
      </c>
      <c r="V37" s="325">
        <f t="shared" si="51"/>
        <v>105.00000000000003</v>
      </c>
      <c r="W37" s="16"/>
      <c r="X37" s="16"/>
      <c r="Y37" s="443"/>
      <c r="Z37" s="443"/>
      <c r="AA37" s="12">
        <f t="shared" si="2"/>
        <v>-111.42857142857201</v>
      </c>
      <c r="AB37" s="318">
        <f t="shared" si="55"/>
        <v>0.95357142857142829</v>
      </c>
      <c r="AC37" s="442"/>
    </row>
    <row r="38" spans="1:29">
      <c r="A38" s="462" t="s">
        <v>1503</v>
      </c>
      <c r="B38" s="31" t="s">
        <v>67</v>
      </c>
      <c r="C38" s="441" t="s">
        <v>1167</v>
      </c>
      <c r="D38" s="441"/>
      <c r="E38" s="31">
        <v>24.43</v>
      </c>
      <c r="F38" s="326">
        <v>4200</v>
      </c>
      <c r="G38" s="316">
        <f t="shared" si="47"/>
        <v>102606</v>
      </c>
      <c r="H38" s="327">
        <v>2</v>
      </c>
      <c r="I38" s="324">
        <v>15</v>
      </c>
      <c r="J38" s="26">
        <v>2400</v>
      </c>
      <c r="K38" s="10">
        <f t="shared" si="52"/>
        <v>160</v>
      </c>
      <c r="L38" s="324">
        <v>15</v>
      </c>
      <c r="M38" s="11">
        <f t="shared" si="53"/>
        <v>2270.2702702702704</v>
      </c>
      <c r="N38" s="10">
        <f t="shared" si="54"/>
        <v>151.35135135135135</v>
      </c>
      <c r="O38" s="12">
        <f t="shared" si="48"/>
        <v>0</v>
      </c>
      <c r="P38" s="13">
        <f t="shared" si="49"/>
        <v>-8.6486486486486456</v>
      </c>
      <c r="Q38" s="318">
        <f t="shared" si="50"/>
        <v>0.94594594594594594</v>
      </c>
      <c r="R38" s="442"/>
      <c r="S38" s="28">
        <v>0.40208333333333329</v>
      </c>
      <c r="T38" s="28">
        <v>0.47916666666666663</v>
      </c>
      <c r="U38" s="316">
        <f t="shared" si="56"/>
        <v>7.9999999999999716</v>
      </c>
      <c r="V38" s="325">
        <f t="shared" si="51"/>
        <v>111</v>
      </c>
      <c r="W38" s="16">
        <f>T38</f>
        <v>0.47916666666666663</v>
      </c>
      <c r="X38" s="16">
        <f>S39</f>
        <v>0.51805555555555549</v>
      </c>
      <c r="Y38" s="443"/>
      <c r="Z38" s="443"/>
      <c r="AA38" s="12">
        <f t="shared" si="2"/>
        <v>-129.72972972972957</v>
      </c>
      <c r="AB38" s="318">
        <f t="shared" si="55"/>
        <v>0.94594594594594605</v>
      </c>
      <c r="AC38" s="442"/>
    </row>
    <row r="39" spans="1:29">
      <c r="A39" s="462" t="s">
        <v>44</v>
      </c>
      <c r="B39" s="31" t="s">
        <v>67</v>
      </c>
      <c r="C39" s="441" t="s">
        <v>1167</v>
      </c>
      <c r="D39" s="441"/>
      <c r="E39" s="31">
        <v>24.43</v>
      </c>
      <c r="F39" s="326">
        <v>5923</v>
      </c>
      <c r="G39" s="316">
        <f t="shared" si="47"/>
        <v>144698.88999999998</v>
      </c>
      <c r="H39" s="327" t="s">
        <v>103</v>
      </c>
      <c r="I39" s="324">
        <v>15</v>
      </c>
      <c r="J39" s="26">
        <v>2400</v>
      </c>
      <c r="K39" s="10">
        <f t="shared" si="52"/>
        <v>160</v>
      </c>
      <c r="L39" s="324">
        <v>15</v>
      </c>
      <c r="M39" s="11">
        <f t="shared" si="53"/>
        <v>2278.0769230769215</v>
      </c>
      <c r="N39" s="10">
        <f t="shared" si="54"/>
        <v>151.87179487179478</v>
      </c>
      <c r="O39" s="12">
        <f t="shared" si="48"/>
        <v>0</v>
      </c>
      <c r="P39" s="13">
        <f t="shared" si="49"/>
        <v>-8.1282051282052237</v>
      </c>
      <c r="Q39" s="318">
        <f t="shared" si="50"/>
        <v>0.94919871794871735</v>
      </c>
      <c r="R39" s="442"/>
      <c r="S39" s="28">
        <v>0.51805555555555549</v>
      </c>
      <c r="T39" s="28">
        <v>0.62638888888888888</v>
      </c>
      <c r="U39" s="316">
        <f t="shared" si="56"/>
        <v>55.999999999999957</v>
      </c>
      <c r="V39" s="325">
        <f t="shared" si="51"/>
        <v>156.00000000000009</v>
      </c>
      <c r="W39" s="16"/>
      <c r="X39" s="16"/>
      <c r="Y39" s="443"/>
      <c r="Z39" s="443"/>
      <c r="AA39" s="12">
        <f t="shared" si="2"/>
        <v>-121.9230769230785</v>
      </c>
      <c r="AB39" s="318">
        <f t="shared" si="55"/>
        <v>0.94919871794871724</v>
      </c>
      <c r="AC39" s="442"/>
    </row>
    <row r="40" spans="1:29">
      <c r="A40" s="462" t="s">
        <v>1503</v>
      </c>
      <c r="B40" s="31" t="s">
        <v>67</v>
      </c>
      <c r="C40" s="441" t="s">
        <v>73</v>
      </c>
      <c r="D40" s="441"/>
      <c r="E40" s="31">
        <v>26.2</v>
      </c>
      <c r="F40" s="326">
        <v>3453</v>
      </c>
      <c r="G40" s="316">
        <f t="shared" si="47"/>
        <v>90468.599999999991</v>
      </c>
      <c r="H40" s="327" t="s">
        <v>103</v>
      </c>
      <c r="I40" s="324">
        <v>18</v>
      </c>
      <c r="J40" s="26">
        <v>2400</v>
      </c>
      <c r="K40" s="10">
        <f t="shared" si="52"/>
        <v>133.33333333333334</v>
      </c>
      <c r="L40" s="324">
        <v>18</v>
      </c>
      <c r="M40" s="11">
        <f t="shared" si="53"/>
        <v>2276.7032967032965</v>
      </c>
      <c r="N40" s="10">
        <f t="shared" si="54"/>
        <v>126.48351648351647</v>
      </c>
      <c r="O40" s="12">
        <f t="shared" si="48"/>
        <v>0</v>
      </c>
      <c r="P40" s="13">
        <f t="shared" si="49"/>
        <v>-6.8498168498168752</v>
      </c>
      <c r="Q40" s="318">
        <f t="shared" si="50"/>
        <v>0.94862637362637348</v>
      </c>
      <c r="R40" s="442"/>
      <c r="S40" s="28">
        <v>0.62986111111111109</v>
      </c>
      <c r="T40" s="28">
        <v>0.69305555555555554</v>
      </c>
      <c r="U40" s="316">
        <f t="shared" si="56"/>
        <v>4.9999999999999822</v>
      </c>
      <c r="V40" s="325">
        <f t="shared" si="51"/>
        <v>91</v>
      </c>
      <c r="W40" s="16"/>
      <c r="X40" s="16"/>
      <c r="Y40" s="447"/>
      <c r="Z40" s="448"/>
      <c r="AA40" s="12">
        <f t="shared" si="2"/>
        <v>-123.29670329670353</v>
      </c>
      <c r="AB40" s="318">
        <f t="shared" si="55"/>
        <v>0.94862637362637348</v>
      </c>
      <c r="AC40" s="442"/>
    </row>
    <row r="41" spans="1:29">
      <c r="A41" s="462" t="s">
        <v>1504</v>
      </c>
      <c r="B41" s="31" t="s">
        <v>67</v>
      </c>
      <c r="C41" s="441" t="s">
        <v>75</v>
      </c>
      <c r="D41" s="441"/>
      <c r="E41" s="31">
        <v>26.39</v>
      </c>
      <c r="F41" s="326">
        <v>3027</v>
      </c>
      <c r="G41" s="316">
        <f t="shared" si="47"/>
        <v>79882.53</v>
      </c>
      <c r="H41" s="327" t="s">
        <v>103</v>
      </c>
      <c r="I41" s="324">
        <v>19</v>
      </c>
      <c r="J41" s="26">
        <v>2400</v>
      </c>
      <c r="K41" s="10">
        <f t="shared" si="52"/>
        <v>126.31578947368421</v>
      </c>
      <c r="L41" s="324">
        <v>19</v>
      </c>
      <c r="M41" s="11">
        <f t="shared" si="53"/>
        <v>2270.2499999999991</v>
      </c>
      <c r="N41" s="10">
        <f t="shared" si="54"/>
        <v>119.48684210526311</v>
      </c>
      <c r="O41" s="12">
        <f t="shared" si="48"/>
        <v>0</v>
      </c>
      <c r="P41" s="13">
        <f t="shared" si="49"/>
        <v>-6.8289473684210975</v>
      </c>
      <c r="Q41" s="318">
        <f t="shared" si="50"/>
        <v>0.94593749999999965</v>
      </c>
      <c r="R41" s="442"/>
      <c r="S41" s="28">
        <v>0.69652777777777775</v>
      </c>
      <c r="T41" s="28">
        <v>0.75208333333333333</v>
      </c>
      <c r="U41" s="316">
        <f t="shared" si="56"/>
        <v>4.9999999999999822</v>
      </c>
      <c r="V41" s="325">
        <f t="shared" si="51"/>
        <v>80.000000000000028</v>
      </c>
      <c r="W41" s="16"/>
      <c r="X41" s="16"/>
      <c r="Y41" s="447"/>
      <c r="Z41" s="448"/>
      <c r="AA41" s="12">
        <f t="shared" si="2"/>
        <v>-129.75000000000091</v>
      </c>
      <c r="AB41" s="318">
        <f t="shared" si="55"/>
        <v>0.94593749999999965</v>
      </c>
      <c r="AC41" s="442"/>
    </row>
    <row r="42" spans="1:29">
      <c r="A42" s="462" t="s">
        <v>44</v>
      </c>
      <c r="B42" s="33" t="s">
        <v>36</v>
      </c>
      <c r="C42" s="446"/>
      <c r="D42" s="446"/>
      <c r="E42" s="317"/>
      <c r="F42" s="33"/>
      <c r="G42" s="10"/>
      <c r="H42" s="326"/>
      <c r="I42" s="19">
        <v>17.75</v>
      </c>
      <c r="J42" s="26">
        <v>2400</v>
      </c>
      <c r="K42" s="10">
        <f t="shared" si="52"/>
        <v>135.21126760563379</v>
      </c>
      <c r="L42" s="19">
        <v>17.75</v>
      </c>
      <c r="M42" s="11">
        <f>AVERAGE(M34:M41)</f>
        <v>2279.3991690687776</v>
      </c>
      <c r="N42" s="10">
        <f>M42/L42</f>
        <v>128.4168545954241</v>
      </c>
      <c r="O42" s="12">
        <f>L42-I42</f>
        <v>0</v>
      </c>
      <c r="P42" s="13">
        <f t="shared" si="49"/>
        <v>-6.7944130102096949</v>
      </c>
      <c r="Q42" s="318">
        <f t="shared" si="50"/>
        <v>0.9497496537786575</v>
      </c>
      <c r="R42" s="442"/>
      <c r="S42" s="28"/>
      <c r="T42" s="28"/>
      <c r="U42" s="10"/>
      <c r="V42" s="325"/>
      <c r="W42" s="10"/>
      <c r="X42" s="10"/>
      <c r="Y42" s="443"/>
      <c r="Z42" s="443"/>
      <c r="AA42" s="12">
        <f t="shared" si="2"/>
        <v>-120.60083093122239</v>
      </c>
      <c r="AB42" s="318">
        <f t="shared" si="55"/>
        <v>0.94974965377865739</v>
      </c>
      <c r="AC42" s="442"/>
    </row>
    <row r="43" spans="1:29" ht="15.75" customHeight="1">
      <c r="A43" s="453" t="s">
        <v>46</v>
      </c>
      <c r="B43" s="31" t="s">
        <v>79</v>
      </c>
      <c r="C43" s="444" t="s">
        <v>80</v>
      </c>
      <c r="D43" s="445"/>
      <c r="E43" s="31">
        <v>21.13</v>
      </c>
      <c r="F43" s="326">
        <v>5875</v>
      </c>
      <c r="G43" s="316">
        <f t="shared" ref="G43:G48" si="57">E43*F43</f>
        <v>124138.75</v>
      </c>
      <c r="H43" s="327" t="s">
        <v>103</v>
      </c>
      <c r="I43" s="324">
        <v>10</v>
      </c>
      <c r="J43" s="26">
        <v>3000</v>
      </c>
      <c r="K43" s="10">
        <f t="shared" si="52"/>
        <v>300</v>
      </c>
      <c r="L43" s="324">
        <v>10</v>
      </c>
      <c r="M43" s="11">
        <f t="shared" ref="M43:M44" si="58">F43/V43*60</f>
        <v>2842.7419354838707</v>
      </c>
      <c r="N43" s="11">
        <f t="shared" ref="N43:N49" si="59">M43/L43</f>
        <v>284.27419354838707</v>
      </c>
      <c r="O43" s="12">
        <f t="shared" ref="O43:O49" si="60">L43-I43</f>
        <v>0</v>
      </c>
      <c r="P43" s="13">
        <f t="shared" si="49"/>
        <v>-15.725806451612925</v>
      </c>
      <c r="Q43" s="318">
        <f t="shared" si="50"/>
        <v>0.94758064516129026</v>
      </c>
      <c r="R43" s="456">
        <f>Q49</f>
        <v>0.95069659188871702</v>
      </c>
      <c r="S43" s="28">
        <v>8.3333333333333329E-2</v>
      </c>
      <c r="T43" s="28">
        <v>0.16944444444444445</v>
      </c>
      <c r="U43" s="18"/>
      <c r="V43" s="325">
        <f t="shared" ref="V43:V48" si="61">(T43-S43)*24*60</f>
        <v>124.00000000000001</v>
      </c>
      <c r="W43" s="16">
        <f>T43</f>
        <v>0.16944444444444445</v>
      </c>
      <c r="X43" s="16">
        <f>S44</f>
        <v>0.18819444444444444</v>
      </c>
      <c r="Y43" s="447"/>
      <c r="Z43" s="448"/>
      <c r="AA43" s="12">
        <f t="shared" si="2"/>
        <v>-157.25806451612925</v>
      </c>
      <c r="AB43" s="318">
        <f t="shared" si="55"/>
        <v>0.94758064516129026</v>
      </c>
      <c r="AC43" s="456">
        <f>AB49</f>
        <v>0.95069659188871702</v>
      </c>
    </row>
    <row r="44" spans="1:29" ht="15.75" customHeight="1">
      <c r="A44" s="454" t="s">
        <v>46</v>
      </c>
      <c r="B44" s="31" t="s">
        <v>79</v>
      </c>
      <c r="C44" s="444" t="s">
        <v>81</v>
      </c>
      <c r="D44" s="445"/>
      <c r="E44" s="31">
        <v>27.17</v>
      </c>
      <c r="F44" s="326">
        <v>7343</v>
      </c>
      <c r="G44" s="316">
        <f t="shared" si="57"/>
        <v>199509.31000000003</v>
      </c>
      <c r="H44" s="327" t="s">
        <v>103</v>
      </c>
      <c r="I44" s="324">
        <v>10</v>
      </c>
      <c r="J44" s="26">
        <v>3000</v>
      </c>
      <c r="K44" s="10">
        <f t="shared" si="52"/>
        <v>300</v>
      </c>
      <c r="L44" s="324">
        <v>10</v>
      </c>
      <c r="M44" s="11">
        <f t="shared" si="58"/>
        <v>2842.4516129032259</v>
      </c>
      <c r="N44" s="11">
        <f t="shared" si="59"/>
        <v>284.24516129032259</v>
      </c>
      <c r="O44" s="12">
        <f t="shared" si="60"/>
        <v>0</v>
      </c>
      <c r="P44" s="13">
        <f t="shared" si="49"/>
        <v>-15.754838709677415</v>
      </c>
      <c r="Q44" s="318">
        <f t="shared" si="50"/>
        <v>0.947483870967742</v>
      </c>
      <c r="R44" s="457"/>
      <c r="S44" s="28">
        <v>0.18819444444444444</v>
      </c>
      <c r="T44" s="28">
        <v>0.29583333333333334</v>
      </c>
      <c r="U44" s="316">
        <f>(S44-T43)*24*60</f>
        <v>26.999999999999986</v>
      </c>
      <c r="V44" s="325">
        <f t="shared" si="61"/>
        <v>155</v>
      </c>
      <c r="W44" s="16"/>
      <c r="X44" s="16"/>
      <c r="Y44" s="447"/>
      <c r="Z44" s="448"/>
      <c r="AA44" s="12">
        <f t="shared" si="2"/>
        <v>-157.54838709677415</v>
      </c>
      <c r="AB44" s="318">
        <f t="shared" si="55"/>
        <v>0.947483870967742</v>
      </c>
      <c r="AC44" s="457"/>
    </row>
    <row r="45" spans="1:29" ht="15.75" customHeight="1">
      <c r="A45" s="454" t="s">
        <v>46</v>
      </c>
      <c r="B45" s="31" t="s">
        <v>79</v>
      </c>
      <c r="C45" s="444" t="s">
        <v>82</v>
      </c>
      <c r="D45" s="445"/>
      <c r="E45" s="31">
        <v>35.119999999999997</v>
      </c>
      <c r="F45" s="326">
        <v>4953</v>
      </c>
      <c r="G45" s="316">
        <f t="shared" si="57"/>
        <v>173949.36</v>
      </c>
      <c r="H45" s="327" t="s">
        <v>103</v>
      </c>
      <c r="I45" s="324">
        <v>10</v>
      </c>
      <c r="J45" s="26">
        <v>3000</v>
      </c>
      <c r="K45" s="10">
        <f t="shared" si="52"/>
        <v>300</v>
      </c>
      <c r="L45" s="324">
        <v>10</v>
      </c>
      <c r="M45" s="11">
        <f>F45/V45*60</f>
        <v>2857.4999999999991</v>
      </c>
      <c r="N45" s="11">
        <f t="shared" si="59"/>
        <v>285.74999999999989</v>
      </c>
      <c r="O45" s="12">
        <f t="shared" si="60"/>
        <v>0</v>
      </c>
      <c r="P45" s="13">
        <f t="shared" si="49"/>
        <v>-14.250000000000114</v>
      </c>
      <c r="Q45" s="318">
        <f t="shared" si="50"/>
        <v>0.95249999999999957</v>
      </c>
      <c r="R45" s="457"/>
      <c r="S45" s="28">
        <v>0.30069444444444443</v>
      </c>
      <c r="T45" s="28">
        <v>0.37291666666666667</v>
      </c>
      <c r="U45" s="316">
        <f t="shared" ref="U45:U48" si="62">(S45-T44)*24*60</f>
        <v>6.9999999999999751</v>
      </c>
      <c r="V45" s="325">
        <f t="shared" si="61"/>
        <v>104.00000000000003</v>
      </c>
      <c r="W45" s="16"/>
      <c r="X45" s="16"/>
      <c r="Y45" s="447"/>
      <c r="Z45" s="448"/>
      <c r="AA45" s="12">
        <f t="shared" si="2"/>
        <v>-142.50000000000091</v>
      </c>
      <c r="AB45" s="318">
        <f t="shared" si="55"/>
        <v>0.95249999999999968</v>
      </c>
      <c r="AC45" s="457"/>
    </row>
    <row r="46" spans="1:29" ht="15.75" customHeight="1">
      <c r="A46" s="454" t="s">
        <v>46</v>
      </c>
      <c r="B46" s="31" t="s">
        <v>79</v>
      </c>
      <c r="C46" s="444" t="s">
        <v>85</v>
      </c>
      <c r="D46" s="445"/>
      <c r="E46" s="31">
        <v>35.869999999999997</v>
      </c>
      <c r="F46" s="326">
        <v>3322</v>
      </c>
      <c r="G46" s="316">
        <f t="shared" si="57"/>
        <v>119160.13999999998</v>
      </c>
      <c r="H46" s="327" t="s">
        <v>103</v>
      </c>
      <c r="I46" s="324">
        <v>10</v>
      </c>
      <c r="J46" s="26">
        <v>3000</v>
      </c>
      <c r="K46" s="10">
        <f t="shared" si="52"/>
        <v>300</v>
      </c>
      <c r="L46" s="324">
        <v>10</v>
      </c>
      <c r="M46" s="11">
        <f t="shared" ref="M46:M48" si="63">F46/V46*60</f>
        <v>2847.428571428572</v>
      </c>
      <c r="N46" s="11">
        <f t="shared" si="59"/>
        <v>284.74285714285719</v>
      </c>
      <c r="O46" s="12">
        <f t="shared" si="60"/>
        <v>0</v>
      </c>
      <c r="P46" s="13">
        <f t="shared" si="49"/>
        <v>-15.25714285714281</v>
      </c>
      <c r="Q46" s="318">
        <f t="shared" si="50"/>
        <v>0.94914285714285729</v>
      </c>
      <c r="R46" s="457"/>
      <c r="S46" s="28">
        <v>0.37777777777777777</v>
      </c>
      <c r="T46" s="28">
        <v>0.42638888888888887</v>
      </c>
      <c r="U46" s="316">
        <f t="shared" si="62"/>
        <v>6.9999999999999751</v>
      </c>
      <c r="V46" s="325">
        <f t="shared" si="61"/>
        <v>69.999999999999986</v>
      </c>
      <c r="W46" s="16"/>
      <c r="X46" s="16"/>
      <c r="Y46" s="447"/>
      <c r="Z46" s="448"/>
      <c r="AA46" s="12">
        <f t="shared" si="2"/>
        <v>-152.57142857142799</v>
      </c>
      <c r="AB46" s="318">
        <f t="shared" si="55"/>
        <v>0.94914285714285729</v>
      </c>
      <c r="AC46" s="457"/>
    </row>
    <row r="47" spans="1:29" ht="15.75" customHeight="1">
      <c r="A47" s="454" t="s">
        <v>46</v>
      </c>
      <c r="B47" s="31" t="s">
        <v>79</v>
      </c>
      <c r="C47" s="444" t="s">
        <v>86</v>
      </c>
      <c r="D47" s="445"/>
      <c r="E47" s="31">
        <v>36.14</v>
      </c>
      <c r="F47" s="326">
        <v>2445</v>
      </c>
      <c r="G47" s="316">
        <f t="shared" si="57"/>
        <v>88362.3</v>
      </c>
      <c r="H47" s="327" t="s">
        <v>103</v>
      </c>
      <c r="I47" s="324">
        <v>8</v>
      </c>
      <c r="J47" s="26">
        <v>3000</v>
      </c>
      <c r="K47" s="10">
        <f t="shared" si="52"/>
        <v>375</v>
      </c>
      <c r="L47" s="324">
        <v>8</v>
      </c>
      <c r="M47" s="11">
        <f t="shared" si="63"/>
        <v>2876.4705882352951</v>
      </c>
      <c r="N47" s="11">
        <f t="shared" si="59"/>
        <v>359.55882352941188</v>
      </c>
      <c r="O47" s="12">
        <f t="shared" si="60"/>
        <v>0</v>
      </c>
      <c r="P47" s="13">
        <f t="shared" si="49"/>
        <v>-15.441176470588118</v>
      </c>
      <c r="Q47" s="318">
        <f>N47/K47</f>
        <v>0.95882352941176496</v>
      </c>
      <c r="R47" s="457"/>
      <c r="S47" s="28">
        <v>0.43055555555555552</v>
      </c>
      <c r="T47" s="28">
        <v>0.46597222222222218</v>
      </c>
      <c r="U47" s="316">
        <f t="shared" si="62"/>
        <v>5.9999999999999787</v>
      </c>
      <c r="V47" s="325">
        <f t="shared" si="61"/>
        <v>50.999999999999979</v>
      </c>
      <c r="W47" s="16"/>
      <c r="X47" s="16"/>
      <c r="Y47" s="447"/>
      <c r="Z47" s="448"/>
      <c r="AA47" s="12">
        <f t="shared" si="2"/>
        <v>-123.52941176470495</v>
      </c>
      <c r="AB47" s="318">
        <f t="shared" si="55"/>
        <v>0.95882352941176496</v>
      </c>
      <c r="AC47" s="457"/>
    </row>
    <row r="48" spans="1:29" ht="15.75" customHeight="1">
      <c r="A48" s="454" t="s">
        <v>46</v>
      </c>
      <c r="B48" s="31" t="s">
        <v>79</v>
      </c>
      <c r="C48" s="444" t="s">
        <v>95</v>
      </c>
      <c r="D48" s="445"/>
      <c r="E48" s="31">
        <v>35.369999999999997</v>
      </c>
      <c r="F48" s="326">
        <v>1755</v>
      </c>
      <c r="G48" s="316">
        <f t="shared" si="57"/>
        <v>62074.35</v>
      </c>
      <c r="H48" s="327" t="s">
        <v>103</v>
      </c>
      <c r="I48" s="324">
        <v>10</v>
      </c>
      <c r="J48" s="26">
        <v>3000</v>
      </c>
      <c r="K48" s="10">
        <f t="shared" si="52"/>
        <v>300</v>
      </c>
      <c r="L48" s="324">
        <v>10</v>
      </c>
      <c r="M48" s="11">
        <f t="shared" si="63"/>
        <v>2845.9459459459435</v>
      </c>
      <c r="N48" s="11">
        <f t="shared" si="59"/>
        <v>284.59459459459435</v>
      </c>
      <c r="O48" s="12">
        <f t="shared" si="60"/>
        <v>0</v>
      </c>
      <c r="P48" s="13">
        <f t="shared" si="49"/>
        <v>-15.405405405405645</v>
      </c>
      <c r="Q48" s="318">
        <f t="shared" ref="Q48:Q49" si="64">N48/K48</f>
        <v>0.94864864864864784</v>
      </c>
      <c r="R48" s="457"/>
      <c r="S48" s="28">
        <v>0.47013888888888883</v>
      </c>
      <c r="T48" s="28">
        <v>0.49583333333333329</v>
      </c>
      <c r="U48" s="316">
        <f t="shared" si="62"/>
        <v>5.9999999999999787</v>
      </c>
      <c r="V48" s="325">
        <f t="shared" si="61"/>
        <v>37.000000000000028</v>
      </c>
      <c r="W48" s="16"/>
      <c r="X48" s="16"/>
      <c r="Y48" s="447"/>
      <c r="Z48" s="448"/>
      <c r="AA48" s="12">
        <f t="shared" si="2"/>
        <v>-154.05405405405645</v>
      </c>
      <c r="AB48" s="318">
        <f t="shared" si="55"/>
        <v>0.94864864864864784</v>
      </c>
      <c r="AC48" s="457"/>
    </row>
    <row r="49" spans="1:29" ht="15.75" customHeight="1">
      <c r="A49" s="455" t="s">
        <v>46</v>
      </c>
      <c r="B49" s="31" t="s">
        <v>36</v>
      </c>
      <c r="C49" s="459"/>
      <c r="D49" s="460"/>
      <c r="E49" s="323"/>
      <c r="F49" s="326"/>
      <c r="G49" s="316"/>
      <c r="H49" s="326"/>
      <c r="I49" s="19">
        <v>9.6666666666666661</v>
      </c>
      <c r="J49" s="26">
        <v>3000</v>
      </c>
      <c r="K49" s="10">
        <f>J49/I49</f>
        <v>310.34482758620692</v>
      </c>
      <c r="L49" s="19">
        <v>9.6666666666666661</v>
      </c>
      <c r="M49" s="11">
        <f>AVERAGE(M43:M48)</f>
        <v>2852.0897756661511</v>
      </c>
      <c r="N49" s="10">
        <f t="shared" si="59"/>
        <v>295.04376989649842</v>
      </c>
      <c r="O49" s="12">
        <f t="shared" si="60"/>
        <v>0</v>
      </c>
      <c r="P49" s="13">
        <f t="shared" si="49"/>
        <v>-15.3010576897085</v>
      </c>
      <c r="Q49" s="318">
        <f t="shared" si="64"/>
        <v>0.95069659188871702</v>
      </c>
      <c r="R49" s="458"/>
      <c r="S49" s="28"/>
      <c r="T49" s="28"/>
      <c r="U49" s="316"/>
      <c r="V49" s="325"/>
      <c r="W49" s="16"/>
      <c r="X49" s="16"/>
      <c r="Y49" s="447"/>
      <c r="Z49" s="448"/>
      <c r="AA49" s="12">
        <f t="shared" si="2"/>
        <v>-147.91022433384887</v>
      </c>
      <c r="AB49" s="318">
        <f t="shared" si="55"/>
        <v>0.95069659188871702</v>
      </c>
      <c r="AC49" s="458"/>
    </row>
    <row r="50" spans="1:29" ht="15.75" customHeight="1">
      <c r="A50" s="451" t="s">
        <v>48</v>
      </c>
      <c r="B50" s="31" t="s">
        <v>53</v>
      </c>
      <c r="C50" s="441" t="s">
        <v>87</v>
      </c>
      <c r="D50" s="441"/>
      <c r="E50" s="31">
        <v>46</v>
      </c>
      <c r="F50" s="35">
        <v>3735</v>
      </c>
      <c r="G50" s="316">
        <f t="shared" ref="G50:G55" si="65">E50*F50</f>
        <v>171810</v>
      </c>
      <c r="H50" s="327" t="s">
        <v>103</v>
      </c>
      <c r="I50" s="324">
        <v>17</v>
      </c>
      <c r="J50" s="26">
        <v>2000</v>
      </c>
      <c r="K50" s="10">
        <f t="shared" ref="K50:K55" si="66">J50/I50</f>
        <v>117.64705882352941</v>
      </c>
      <c r="L50" s="324">
        <v>17</v>
      </c>
      <c r="M50" s="11">
        <f t="shared" ref="M50:M55" si="67">F50/V50*60</f>
        <v>1899.1525423728815</v>
      </c>
      <c r="N50" s="11">
        <f>M50/L50</f>
        <v>111.71485543369892</v>
      </c>
      <c r="O50" s="12">
        <f>L50-I50</f>
        <v>0</v>
      </c>
      <c r="P50" s="13">
        <f>N50-K50</f>
        <v>-5.9322033898304909</v>
      </c>
      <c r="Q50" s="318">
        <f>N50/K50</f>
        <v>0.94957627118644083</v>
      </c>
      <c r="R50" s="442">
        <f>Q56</f>
        <v>0.95239023807882028</v>
      </c>
      <c r="S50" s="28">
        <v>0.29166666666666669</v>
      </c>
      <c r="T50" s="28">
        <v>0.37361111111111112</v>
      </c>
      <c r="U50" s="18"/>
      <c r="V50" s="325">
        <f t="shared" ref="V50:V55" si="68">(T50-S50)*24*60</f>
        <v>117.99999999999999</v>
      </c>
      <c r="W50" s="18"/>
      <c r="X50" s="18"/>
      <c r="Y50" s="443"/>
      <c r="Z50" s="443"/>
      <c r="AA50" s="12">
        <f t="shared" si="2"/>
        <v>-100.8474576271185</v>
      </c>
      <c r="AB50" s="318">
        <f t="shared" si="55"/>
        <v>0.94957627118644072</v>
      </c>
      <c r="AC50" s="442">
        <f>AB56</f>
        <v>0.95239023807882017</v>
      </c>
    </row>
    <row r="51" spans="1:29" ht="15.75" customHeight="1">
      <c r="A51" s="451" t="s">
        <v>48</v>
      </c>
      <c r="B51" s="31" t="s">
        <v>53</v>
      </c>
      <c r="C51" s="441" t="s">
        <v>88</v>
      </c>
      <c r="D51" s="441"/>
      <c r="E51" s="31">
        <v>46</v>
      </c>
      <c r="F51" s="35">
        <v>3636</v>
      </c>
      <c r="G51" s="316">
        <f t="shared" si="65"/>
        <v>167256</v>
      </c>
      <c r="H51" s="327" t="s">
        <v>103</v>
      </c>
      <c r="I51" s="324">
        <v>17</v>
      </c>
      <c r="J51" s="26">
        <v>2000</v>
      </c>
      <c r="K51" s="10">
        <f t="shared" si="66"/>
        <v>117.64705882352941</v>
      </c>
      <c r="L51" s="324">
        <v>17</v>
      </c>
      <c r="M51" s="11">
        <f t="shared" si="67"/>
        <v>1897.0434782608697</v>
      </c>
      <c r="N51" s="11">
        <f t="shared" ref="N51:N55" si="69">M51/L51</f>
        <v>111.59079283887469</v>
      </c>
      <c r="O51" s="12">
        <f t="shared" ref="O51:O55" si="70">L51-I51</f>
        <v>0</v>
      </c>
      <c r="P51" s="13">
        <f t="shared" ref="P51:P55" si="71">N51-K51</f>
        <v>-6.0562659846547149</v>
      </c>
      <c r="Q51" s="318">
        <f t="shared" ref="Q51:Q55" si="72">N51/K51</f>
        <v>0.94852173913043492</v>
      </c>
      <c r="R51" s="442"/>
      <c r="S51" s="28">
        <v>0.37847222222222221</v>
      </c>
      <c r="T51" s="28">
        <v>0.45833333333333331</v>
      </c>
      <c r="U51" s="316">
        <f>IF(S51=TIME(17,0,0),"",(S51-T50)*24*60)</f>
        <v>6.9999999999999751</v>
      </c>
      <c r="V51" s="325">
        <f t="shared" si="68"/>
        <v>114.99999999999999</v>
      </c>
      <c r="W51" s="16"/>
      <c r="X51" s="16"/>
      <c r="Y51" s="443"/>
      <c r="Z51" s="443"/>
      <c r="AA51" s="12">
        <f t="shared" si="2"/>
        <v>-102.95652173913027</v>
      </c>
      <c r="AB51" s="318">
        <f t="shared" si="55"/>
        <v>0.94852173913043492</v>
      </c>
      <c r="AC51" s="442"/>
    </row>
    <row r="52" spans="1:29" ht="15.75" customHeight="1">
      <c r="A52" s="451" t="s">
        <v>48</v>
      </c>
      <c r="B52" s="31" t="s">
        <v>58</v>
      </c>
      <c r="C52" s="444" t="s">
        <v>168</v>
      </c>
      <c r="D52" s="445"/>
      <c r="E52" s="31">
        <v>54.09</v>
      </c>
      <c r="F52" s="35">
        <v>1979</v>
      </c>
      <c r="G52" s="316">
        <f t="shared" si="65"/>
        <v>107044.11</v>
      </c>
      <c r="H52" s="327" t="s">
        <v>103</v>
      </c>
      <c r="I52" s="324">
        <v>16</v>
      </c>
      <c r="J52" s="26">
        <v>2000</v>
      </c>
      <c r="K52" s="10">
        <f t="shared" si="66"/>
        <v>125</v>
      </c>
      <c r="L52" s="324">
        <v>16</v>
      </c>
      <c r="M52" s="11">
        <f t="shared" si="67"/>
        <v>1915.16129032258</v>
      </c>
      <c r="N52" s="11">
        <f t="shared" si="69"/>
        <v>119.69758064516125</v>
      </c>
      <c r="O52" s="12">
        <f t="shared" si="70"/>
        <v>0</v>
      </c>
      <c r="P52" s="13">
        <f t="shared" si="71"/>
        <v>-5.3024193548387473</v>
      </c>
      <c r="Q52" s="318">
        <f t="shared" si="72"/>
        <v>0.95758064516129004</v>
      </c>
      <c r="R52" s="442"/>
      <c r="S52" s="28">
        <v>0.46319444444444441</v>
      </c>
      <c r="T52" s="28">
        <v>0.50624999999999998</v>
      </c>
      <c r="U52" s="316">
        <f t="shared" ref="U52:U55" si="73">IF(S52=TIME(17,0,0),"",(S52-T51)*24*60)</f>
        <v>6.9999999999999751</v>
      </c>
      <c r="V52" s="325">
        <f t="shared" si="68"/>
        <v>62.000000000000021</v>
      </c>
      <c r="W52" s="16"/>
      <c r="X52" s="16"/>
      <c r="Y52" s="321"/>
      <c r="Z52" s="322"/>
      <c r="AA52" s="12">
        <f t="shared" si="2"/>
        <v>-84.838709677419956</v>
      </c>
      <c r="AB52" s="318">
        <f t="shared" si="55"/>
        <v>0.95758064516129004</v>
      </c>
      <c r="AC52" s="442"/>
    </row>
    <row r="53" spans="1:29" ht="15.75" customHeight="1">
      <c r="A53" s="451" t="s">
        <v>48</v>
      </c>
      <c r="B53" s="31" t="s">
        <v>58</v>
      </c>
      <c r="C53" s="319" t="s">
        <v>89</v>
      </c>
      <c r="D53" s="320"/>
      <c r="E53" s="31">
        <v>55.56</v>
      </c>
      <c r="F53" s="35">
        <v>2491</v>
      </c>
      <c r="G53" s="316">
        <f t="shared" si="65"/>
        <v>138399.96</v>
      </c>
      <c r="H53" s="327" t="s">
        <v>103</v>
      </c>
      <c r="I53" s="324">
        <v>17</v>
      </c>
      <c r="J53" s="26">
        <v>2000</v>
      </c>
      <c r="K53" s="10">
        <f t="shared" si="66"/>
        <v>117.64705882352941</v>
      </c>
      <c r="L53" s="324">
        <v>17</v>
      </c>
      <c r="M53" s="11">
        <f t="shared" si="67"/>
        <v>1916.1538461538453</v>
      </c>
      <c r="N53" s="11">
        <f t="shared" si="69"/>
        <v>112.71493212669678</v>
      </c>
      <c r="O53" s="12">
        <f t="shared" si="70"/>
        <v>0</v>
      </c>
      <c r="P53" s="13">
        <f t="shared" si="71"/>
        <v>-4.9321266968326256</v>
      </c>
      <c r="Q53" s="318">
        <f t="shared" si="72"/>
        <v>0.95807692307692272</v>
      </c>
      <c r="R53" s="442"/>
      <c r="S53" s="28">
        <v>0.70833333333333337</v>
      </c>
      <c r="T53" s="28">
        <v>0.76250000000000007</v>
      </c>
      <c r="U53" s="316" t="str">
        <f t="shared" si="73"/>
        <v/>
      </c>
      <c r="V53" s="325">
        <f t="shared" si="68"/>
        <v>78.000000000000043</v>
      </c>
      <c r="W53" s="16"/>
      <c r="X53" s="16"/>
      <c r="Y53" s="321"/>
      <c r="Z53" s="322"/>
      <c r="AA53" s="12">
        <f t="shared" si="2"/>
        <v>-83.846153846154721</v>
      </c>
      <c r="AB53" s="318">
        <f t="shared" si="55"/>
        <v>0.9580769230769226</v>
      </c>
      <c r="AC53" s="442"/>
    </row>
    <row r="54" spans="1:29" ht="15.75" customHeight="1">
      <c r="A54" s="451" t="s">
        <v>48</v>
      </c>
      <c r="B54" s="31" t="s">
        <v>58</v>
      </c>
      <c r="C54" s="319" t="s">
        <v>90</v>
      </c>
      <c r="D54" s="320"/>
      <c r="E54" s="31">
        <v>55.32</v>
      </c>
      <c r="F54" s="35">
        <v>1936</v>
      </c>
      <c r="G54" s="316">
        <f t="shared" si="65"/>
        <v>107099.52</v>
      </c>
      <c r="H54" s="327" t="s">
        <v>103</v>
      </c>
      <c r="I54" s="324">
        <v>15</v>
      </c>
      <c r="J54" s="26">
        <v>2000</v>
      </c>
      <c r="K54" s="10">
        <f t="shared" si="66"/>
        <v>133.33333333333334</v>
      </c>
      <c r="L54" s="324">
        <v>15</v>
      </c>
      <c r="M54" s="11">
        <f t="shared" si="67"/>
        <v>1904.2622950819689</v>
      </c>
      <c r="N54" s="11">
        <f t="shared" si="69"/>
        <v>126.95081967213126</v>
      </c>
      <c r="O54" s="12">
        <f t="shared" si="70"/>
        <v>0</v>
      </c>
      <c r="P54" s="13">
        <f t="shared" si="71"/>
        <v>-6.3825136612020827</v>
      </c>
      <c r="Q54" s="318">
        <f t="shared" si="72"/>
        <v>0.95213114754098438</v>
      </c>
      <c r="R54" s="442"/>
      <c r="S54" s="28">
        <v>0.76736111111111116</v>
      </c>
      <c r="T54" s="28">
        <v>0.80972222222222223</v>
      </c>
      <c r="U54" s="316">
        <f t="shared" si="73"/>
        <v>6.9999999999999751</v>
      </c>
      <c r="V54" s="325">
        <f t="shared" si="68"/>
        <v>60.999999999999943</v>
      </c>
      <c r="W54" s="16"/>
      <c r="X54" s="16"/>
      <c r="Y54" s="321"/>
      <c r="Z54" s="322"/>
      <c r="AA54" s="12">
        <f t="shared" si="2"/>
        <v>-95.737704918031113</v>
      </c>
      <c r="AB54" s="318">
        <f t="shared" si="55"/>
        <v>0.95213114754098449</v>
      </c>
      <c r="AC54" s="442"/>
    </row>
    <row r="55" spans="1:29" ht="15.75" customHeight="1">
      <c r="A55" s="451" t="s">
        <v>48</v>
      </c>
      <c r="B55" s="31" t="s">
        <v>58</v>
      </c>
      <c r="C55" s="444" t="s">
        <v>91</v>
      </c>
      <c r="D55" s="445"/>
      <c r="E55" s="31">
        <v>57.73</v>
      </c>
      <c r="F55" s="35">
        <v>1326</v>
      </c>
      <c r="G55" s="316">
        <f t="shared" si="65"/>
        <v>76549.98</v>
      </c>
      <c r="H55" s="327" t="s">
        <v>103</v>
      </c>
      <c r="I55" s="324">
        <v>16</v>
      </c>
      <c r="J55" s="26">
        <v>1500</v>
      </c>
      <c r="K55" s="10">
        <f t="shared" si="66"/>
        <v>93.75</v>
      </c>
      <c r="L55" s="324">
        <v>16</v>
      </c>
      <c r="M55" s="11">
        <f t="shared" si="67"/>
        <v>1420.7142857142869</v>
      </c>
      <c r="N55" s="11">
        <f t="shared" si="69"/>
        <v>88.794642857142932</v>
      </c>
      <c r="O55" s="12">
        <f t="shared" si="70"/>
        <v>0</v>
      </c>
      <c r="P55" s="13">
        <f t="shared" si="71"/>
        <v>-4.9553571428570677</v>
      </c>
      <c r="Q55" s="318">
        <f t="shared" si="72"/>
        <v>0.94714285714285795</v>
      </c>
      <c r="R55" s="442"/>
      <c r="S55" s="28">
        <v>0.81527777777777777</v>
      </c>
      <c r="T55" s="28">
        <v>0.85416666666666663</v>
      </c>
      <c r="U55" s="316">
        <f t="shared" si="73"/>
        <v>7.9999999999999716</v>
      </c>
      <c r="V55" s="325">
        <f t="shared" si="68"/>
        <v>55.999999999999957</v>
      </c>
      <c r="W55" s="16"/>
      <c r="X55" s="16"/>
      <c r="Y55" s="447"/>
      <c r="Z55" s="448"/>
      <c r="AA55" s="12">
        <f t="shared" si="2"/>
        <v>-79.285714285713084</v>
      </c>
      <c r="AB55" s="318">
        <f t="shared" si="55"/>
        <v>0.94714285714285795</v>
      </c>
      <c r="AC55" s="442"/>
    </row>
    <row r="56" spans="1:29">
      <c r="A56" s="452" t="s">
        <v>48</v>
      </c>
      <c r="B56" s="31" t="s">
        <v>36</v>
      </c>
      <c r="C56" s="446"/>
      <c r="D56" s="446"/>
      <c r="E56" s="317"/>
      <c r="F56" s="33"/>
      <c r="G56" s="10"/>
      <c r="H56" s="326"/>
      <c r="I56" s="19">
        <v>16.333333333333332</v>
      </c>
      <c r="J56" s="26">
        <v>1916.6666666666667</v>
      </c>
      <c r="K56" s="10">
        <f>J56/I56</f>
        <v>117.34693877551021</v>
      </c>
      <c r="L56" s="19">
        <v>16.333333333333332</v>
      </c>
      <c r="M56" s="11">
        <f>AVERAGE(M50:M55)</f>
        <v>1825.4146229844055</v>
      </c>
      <c r="N56" s="10">
        <f>M56/L56</f>
        <v>111.76007895822892</v>
      </c>
      <c r="O56" s="12">
        <f>L56-I56</f>
        <v>0</v>
      </c>
      <c r="P56" s="13">
        <f>N56-K56</f>
        <v>-5.5868598172812938</v>
      </c>
      <c r="Q56" s="318">
        <f>N56/K56</f>
        <v>0.95239023807882028</v>
      </c>
      <c r="R56" s="442"/>
      <c r="S56" s="29"/>
      <c r="T56" s="28"/>
      <c r="U56" s="10"/>
      <c r="V56" s="325"/>
      <c r="W56" s="10"/>
      <c r="X56" s="10"/>
      <c r="Y56" s="443"/>
      <c r="Z56" s="443"/>
      <c r="AA56" s="12">
        <f t="shared" si="2"/>
        <v>-91.252043682261274</v>
      </c>
      <c r="AB56" s="318">
        <f t="shared" si="55"/>
        <v>0.95239023807882017</v>
      </c>
      <c r="AC56" s="442"/>
    </row>
    <row r="57" spans="1:29" ht="15.75" customHeight="1">
      <c r="A57" s="449" t="s">
        <v>49</v>
      </c>
      <c r="B57" s="326" t="s">
        <v>79</v>
      </c>
      <c r="C57" s="441" t="s">
        <v>94</v>
      </c>
      <c r="D57" s="441"/>
      <c r="E57" s="31">
        <v>26.78</v>
      </c>
      <c r="F57" s="35">
        <v>3113</v>
      </c>
      <c r="G57" s="316">
        <f t="shared" ref="G57:G60" si="74">E57*F57</f>
        <v>83366.14</v>
      </c>
      <c r="H57" s="327" t="s">
        <v>103</v>
      </c>
      <c r="I57" s="324">
        <v>10</v>
      </c>
      <c r="J57" s="26">
        <v>3000</v>
      </c>
      <c r="K57" s="10">
        <f t="shared" ref="K57:K60" si="75">J57/I57</f>
        <v>300</v>
      </c>
      <c r="L57" s="19">
        <v>10</v>
      </c>
      <c r="M57" s="11">
        <f t="shared" ref="M57:M60" si="76">F57/V57*60</f>
        <v>2873.5384615384623</v>
      </c>
      <c r="N57" s="10">
        <f>M57/L57</f>
        <v>287.35384615384623</v>
      </c>
      <c r="O57" s="12">
        <f t="shared" ref="O57:O60" si="77">L57-I57</f>
        <v>0</v>
      </c>
      <c r="P57" s="13">
        <f t="shared" ref="P57:P60" si="78">N57-K57</f>
        <v>-12.646153846153766</v>
      </c>
      <c r="Q57" s="318">
        <f>N57/K57</f>
        <v>0.95784615384615412</v>
      </c>
      <c r="R57" s="442">
        <f>Q61</f>
        <v>0.95899609877216307</v>
      </c>
      <c r="S57" s="28">
        <v>8.3333333333333329E-2</v>
      </c>
      <c r="T57" s="28">
        <v>0.12847222222222221</v>
      </c>
      <c r="U57" s="316"/>
      <c r="V57" s="325">
        <f t="shared" ref="V57:V60" si="79">(T57-S57)*24*60</f>
        <v>64.999999999999986</v>
      </c>
      <c r="W57" s="16">
        <f>T57</f>
        <v>0.12847222222222221</v>
      </c>
      <c r="X57" s="16">
        <f>S58</f>
        <v>0.14861111111111111</v>
      </c>
      <c r="Y57" s="443"/>
      <c r="Z57" s="443"/>
      <c r="AA57" s="12">
        <f t="shared" si="2"/>
        <v>-126.46153846153766</v>
      </c>
      <c r="AB57" s="318">
        <f t="shared" si="55"/>
        <v>0.95784615384615412</v>
      </c>
      <c r="AC57" s="442">
        <f>AB61</f>
        <v>0.95899609877216307</v>
      </c>
    </row>
    <row r="58" spans="1:29" ht="15.75" customHeight="1">
      <c r="A58" s="449" t="s">
        <v>49</v>
      </c>
      <c r="B58" s="326" t="s">
        <v>79</v>
      </c>
      <c r="C58" s="441" t="s">
        <v>97</v>
      </c>
      <c r="D58" s="441"/>
      <c r="E58" s="31">
        <v>35.119999999999997</v>
      </c>
      <c r="F58" s="35">
        <v>1354</v>
      </c>
      <c r="G58" s="316">
        <f t="shared" si="74"/>
        <v>47552.479999999996</v>
      </c>
      <c r="H58" s="327" t="s">
        <v>103</v>
      </c>
      <c r="I58" s="324">
        <v>13</v>
      </c>
      <c r="J58" s="26">
        <v>2000</v>
      </c>
      <c r="K58" s="10">
        <f t="shared" si="75"/>
        <v>153.84615384615384</v>
      </c>
      <c r="L58" s="19">
        <v>13</v>
      </c>
      <c r="M58" s="11">
        <f t="shared" si="76"/>
        <v>1934.2857142857135</v>
      </c>
      <c r="N58" s="10">
        <f t="shared" ref="N58:N60" si="80">M58/L58</f>
        <v>148.79120879120873</v>
      </c>
      <c r="O58" s="12">
        <f t="shared" si="77"/>
        <v>0</v>
      </c>
      <c r="P58" s="13">
        <f t="shared" si="78"/>
        <v>-5.054945054945108</v>
      </c>
      <c r="Q58" s="318">
        <f t="shared" ref="Q58:Q60" si="81">N58/K58</f>
        <v>0.96714285714285675</v>
      </c>
      <c r="R58" s="442"/>
      <c r="S58" s="28">
        <v>0.14861111111111111</v>
      </c>
      <c r="T58" s="28">
        <v>0.17777777777777778</v>
      </c>
      <c r="U58" s="316">
        <f>(S58-T57)*24*60</f>
        <v>29.000000000000018</v>
      </c>
      <c r="V58" s="325">
        <f t="shared" si="79"/>
        <v>42.000000000000014</v>
      </c>
      <c r="W58" s="316"/>
      <c r="X58" s="316"/>
      <c r="Y58" s="443"/>
      <c r="Z58" s="443"/>
      <c r="AA58" s="12">
        <f t="shared" si="2"/>
        <v>-65.714285714286461</v>
      </c>
      <c r="AB58" s="318">
        <f t="shared" si="55"/>
        <v>0.96714285714285675</v>
      </c>
      <c r="AC58" s="442"/>
    </row>
    <row r="59" spans="1:29" ht="15.75" customHeight="1">
      <c r="A59" s="449" t="s">
        <v>1505</v>
      </c>
      <c r="B59" s="326" t="s">
        <v>79</v>
      </c>
      <c r="C59" s="441" t="s">
        <v>98</v>
      </c>
      <c r="D59" s="441"/>
      <c r="E59" s="31">
        <v>35.869999999999997</v>
      </c>
      <c r="F59" s="35">
        <v>2680</v>
      </c>
      <c r="G59" s="316">
        <f t="shared" si="74"/>
        <v>96131.599999999991</v>
      </c>
      <c r="H59" s="327" t="s">
        <v>103</v>
      </c>
      <c r="I59" s="324">
        <v>10</v>
      </c>
      <c r="J59" s="26">
        <v>3000</v>
      </c>
      <c r="K59" s="10">
        <f t="shared" si="75"/>
        <v>300</v>
      </c>
      <c r="L59" s="19">
        <v>10</v>
      </c>
      <c r="M59" s="11">
        <f t="shared" si="76"/>
        <v>2871.4285714285711</v>
      </c>
      <c r="N59" s="10">
        <f t="shared" si="80"/>
        <v>287.14285714285711</v>
      </c>
      <c r="O59" s="12">
        <f t="shared" si="77"/>
        <v>0</v>
      </c>
      <c r="P59" s="13">
        <f t="shared" si="78"/>
        <v>-12.85714285714289</v>
      </c>
      <c r="Q59" s="318">
        <f t="shared" si="81"/>
        <v>0.95714285714285707</v>
      </c>
      <c r="R59" s="442"/>
      <c r="S59" s="28">
        <v>0.18263888888888891</v>
      </c>
      <c r="T59" s="28">
        <v>0.2215277777777778</v>
      </c>
      <c r="U59" s="316">
        <f t="shared" ref="U59:U60" si="82">(S59-T58)*24*60</f>
        <v>7.0000000000000151</v>
      </c>
      <c r="V59" s="325">
        <f t="shared" si="79"/>
        <v>56</v>
      </c>
      <c r="W59" s="316"/>
      <c r="X59" s="316"/>
      <c r="Y59" s="443"/>
      <c r="Z59" s="443"/>
      <c r="AA59" s="12">
        <f t="shared" si="2"/>
        <v>-128.5714285714289</v>
      </c>
      <c r="AB59" s="318">
        <f t="shared" si="55"/>
        <v>0.95714285714285707</v>
      </c>
      <c r="AC59" s="442"/>
    </row>
    <row r="60" spans="1:29" ht="15.75" customHeight="1">
      <c r="A60" s="449" t="s">
        <v>49</v>
      </c>
      <c r="B60" s="326" t="s">
        <v>53</v>
      </c>
      <c r="C60" s="441" t="s">
        <v>96</v>
      </c>
      <c r="D60" s="441"/>
      <c r="E60" s="31">
        <v>26.97</v>
      </c>
      <c r="F60" s="35">
        <v>3745</v>
      </c>
      <c r="G60" s="316">
        <f t="shared" si="74"/>
        <v>101002.65</v>
      </c>
      <c r="H60" s="327" t="s">
        <v>103</v>
      </c>
      <c r="I60" s="324">
        <v>8</v>
      </c>
      <c r="J60" s="26">
        <v>1500</v>
      </c>
      <c r="K60" s="10">
        <f t="shared" si="75"/>
        <v>187.5</v>
      </c>
      <c r="L60" s="19">
        <v>8</v>
      </c>
      <c r="M60" s="11">
        <f t="shared" si="76"/>
        <v>1431.2101910828023</v>
      </c>
      <c r="N60" s="10">
        <f t="shared" si="80"/>
        <v>178.90127388535029</v>
      </c>
      <c r="O60" s="12">
        <f t="shared" si="77"/>
        <v>0</v>
      </c>
      <c r="P60" s="13">
        <f t="shared" si="78"/>
        <v>-8.5987261146497076</v>
      </c>
      <c r="Q60" s="318">
        <f t="shared" si="81"/>
        <v>0.95414012738853493</v>
      </c>
      <c r="R60" s="442"/>
      <c r="S60" s="28">
        <v>0.22500000000000001</v>
      </c>
      <c r="T60" s="28">
        <v>0.33402777777777781</v>
      </c>
      <c r="U60" s="316">
        <f t="shared" si="82"/>
        <v>4.9999999999999822</v>
      </c>
      <c r="V60" s="325">
        <f t="shared" si="79"/>
        <v>157.00000000000003</v>
      </c>
      <c r="W60" s="316"/>
      <c r="X60" s="316"/>
      <c r="Y60" s="443"/>
      <c r="Z60" s="443"/>
      <c r="AA60" s="12">
        <f t="shared" si="2"/>
        <v>-68.789808917197661</v>
      </c>
      <c r="AB60" s="318">
        <f t="shared" si="55"/>
        <v>0.95414012738853493</v>
      </c>
      <c r="AC60" s="442"/>
    </row>
    <row r="61" spans="1:29">
      <c r="A61" s="450" t="s">
        <v>49</v>
      </c>
      <c r="B61" s="31" t="s">
        <v>36</v>
      </c>
      <c r="C61" s="446"/>
      <c r="D61" s="446"/>
      <c r="E61" s="317"/>
      <c r="F61" s="33"/>
      <c r="G61" s="10"/>
      <c r="H61" s="326"/>
      <c r="I61" s="19">
        <v>10.25</v>
      </c>
      <c r="J61" s="26">
        <v>2375</v>
      </c>
      <c r="K61" s="10">
        <f>J61/I61</f>
        <v>231.70731707317074</v>
      </c>
      <c r="L61" s="19">
        <v>10.25</v>
      </c>
      <c r="M61" s="11">
        <f>AVERAGE(M57:M60)</f>
        <v>2277.6157345838874</v>
      </c>
      <c r="N61" s="10">
        <f>M61/L61</f>
        <v>222.20641313013536</v>
      </c>
      <c r="O61" s="12">
        <f>L61-I61</f>
        <v>0</v>
      </c>
      <c r="P61" s="13">
        <f>N61-K61</f>
        <v>-9.5009039430353823</v>
      </c>
      <c r="Q61" s="318">
        <f>N61/K61</f>
        <v>0.95899609877216307</v>
      </c>
      <c r="R61" s="442"/>
      <c r="S61" s="28"/>
      <c r="T61" s="28"/>
      <c r="U61" s="10"/>
      <c r="V61" s="325"/>
      <c r="W61" s="10"/>
      <c r="X61" s="10"/>
      <c r="Y61" s="443"/>
      <c r="Z61" s="443"/>
      <c r="AA61" s="12">
        <f t="shared" si="2"/>
        <v>-97.384265416112612</v>
      </c>
      <c r="AB61" s="318">
        <f t="shared" si="55"/>
        <v>0.95899609877216307</v>
      </c>
      <c r="AC61" s="442"/>
    </row>
    <row r="62" spans="1:29" ht="15.75" customHeight="1">
      <c r="A62" s="439" t="s">
        <v>51</v>
      </c>
      <c r="B62" s="326" t="s">
        <v>67</v>
      </c>
      <c r="C62" s="441" t="s">
        <v>99</v>
      </c>
      <c r="D62" s="441"/>
      <c r="E62" s="31">
        <v>20.2</v>
      </c>
      <c r="F62" s="326">
        <v>3102</v>
      </c>
      <c r="G62" s="316">
        <f t="shared" ref="G62:G70" si="83">E62*F62</f>
        <v>62660.399999999994</v>
      </c>
      <c r="H62" s="327" t="s">
        <v>103</v>
      </c>
      <c r="I62" s="324">
        <v>19</v>
      </c>
      <c r="J62" s="26">
        <v>2400</v>
      </c>
      <c r="K62" s="10">
        <f t="shared" ref="K62:K64" si="84">J62/I62</f>
        <v>126.31578947368421</v>
      </c>
      <c r="L62" s="19">
        <v>19</v>
      </c>
      <c r="M62" s="11">
        <f>F62/V62*60</f>
        <v>2297.7777777777778</v>
      </c>
      <c r="N62" s="10">
        <f t="shared" ref="N62:N70" si="85">M62/L62</f>
        <v>120.93567251461988</v>
      </c>
      <c r="O62" s="12">
        <f t="shared" ref="O62:O70" si="86">L62-I62</f>
        <v>0</v>
      </c>
      <c r="P62" s="13">
        <f t="shared" ref="P62:P70" si="87">N62-K62</f>
        <v>-5.3801169590643241</v>
      </c>
      <c r="Q62" s="318">
        <f>N62/K62</f>
        <v>0.95740740740740748</v>
      </c>
      <c r="R62" s="442">
        <f>Q71</f>
        <v>0.95154463916160714</v>
      </c>
      <c r="S62" s="28">
        <v>8.3333333333333329E-2</v>
      </c>
      <c r="T62" s="28">
        <v>0.13958333333333334</v>
      </c>
      <c r="U62" s="18"/>
      <c r="V62" s="325">
        <f t="shared" ref="V62:V70" si="88">(T62-S62)*24*60</f>
        <v>81</v>
      </c>
      <c r="W62" s="16">
        <f>T62</f>
        <v>0.13958333333333334</v>
      </c>
      <c r="X62" s="16">
        <f>S63</f>
        <v>0.15972222222222224</v>
      </c>
      <c r="Y62" s="443"/>
      <c r="Z62" s="443"/>
      <c r="AA62" s="12">
        <f t="shared" si="2"/>
        <v>-102.22222222222217</v>
      </c>
      <c r="AB62" s="318">
        <f>M62/J62</f>
        <v>0.95740740740740737</v>
      </c>
      <c r="AC62" s="442">
        <f>AB71</f>
        <v>0.95154463916160714</v>
      </c>
    </row>
    <row r="63" spans="1:29" ht="15.75" customHeight="1">
      <c r="A63" s="439" t="s">
        <v>51</v>
      </c>
      <c r="B63" s="326" t="s">
        <v>67</v>
      </c>
      <c r="C63" s="441" t="s">
        <v>100</v>
      </c>
      <c r="D63" s="441"/>
      <c r="E63" s="31">
        <v>19.02</v>
      </c>
      <c r="F63" s="326">
        <v>4300</v>
      </c>
      <c r="G63" s="316">
        <f t="shared" si="83"/>
        <v>81786</v>
      </c>
      <c r="H63" s="327">
        <v>2</v>
      </c>
      <c r="I63" s="324">
        <v>15</v>
      </c>
      <c r="J63" s="26">
        <v>2400</v>
      </c>
      <c r="K63" s="10">
        <f t="shared" si="84"/>
        <v>160</v>
      </c>
      <c r="L63" s="19">
        <v>15</v>
      </c>
      <c r="M63" s="11">
        <f t="shared" ref="M63:M70" si="89">F63/V63*60</f>
        <v>2283.1858407079644</v>
      </c>
      <c r="N63" s="10">
        <f t="shared" si="85"/>
        <v>152.21238938053096</v>
      </c>
      <c r="O63" s="12">
        <f t="shared" si="86"/>
        <v>0</v>
      </c>
      <c r="P63" s="13">
        <f t="shared" si="87"/>
        <v>-7.7876106194690351</v>
      </c>
      <c r="Q63" s="318">
        <f t="shared" ref="Q63:Q71" si="90">N63/K63</f>
        <v>0.95132743362831851</v>
      </c>
      <c r="R63" s="442"/>
      <c r="S63" s="28">
        <v>0.15972222222222224</v>
      </c>
      <c r="T63" s="28">
        <v>0.23819444444444446</v>
      </c>
      <c r="U63" s="316">
        <f>(S63-T62)*24*60</f>
        <v>29.000000000000018</v>
      </c>
      <c r="V63" s="325">
        <f t="shared" si="88"/>
        <v>113</v>
      </c>
      <c r="W63" s="16"/>
      <c r="X63" s="16"/>
      <c r="Y63" s="443"/>
      <c r="Z63" s="443"/>
      <c r="AA63" s="12">
        <f t="shared" si="2"/>
        <v>-116.81415929203558</v>
      </c>
      <c r="AB63" s="318">
        <f t="shared" ref="AB63:AB71" si="91">M63/J63</f>
        <v>0.95132743362831851</v>
      </c>
      <c r="AC63" s="442"/>
    </row>
    <row r="64" spans="1:29" ht="15.75" customHeight="1">
      <c r="A64" s="439" t="s">
        <v>51</v>
      </c>
      <c r="B64" s="326" t="s">
        <v>67</v>
      </c>
      <c r="C64" s="441" t="s">
        <v>70</v>
      </c>
      <c r="D64" s="441"/>
      <c r="E64" s="31">
        <v>24.25</v>
      </c>
      <c r="F64" s="326">
        <v>3900</v>
      </c>
      <c r="G64" s="316">
        <f t="shared" si="83"/>
        <v>94575</v>
      </c>
      <c r="H64" s="327" t="s">
        <v>103</v>
      </c>
      <c r="I64" s="324">
        <v>18</v>
      </c>
      <c r="J64" s="26">
        <v>2400</v>
      </c>
      <c r="K64" s="10">
        <f t="shared" si="84"/>
        <v>133.33333333333334</v>
      </c>
      <c r="L64" s="19">
        <v>18</v>
      </c>
      <c r="M64" s="11">
        <f t="shared" si="89"/>
        <v>2271.8446601941746</v>
      </c>
      <c r="N64" s="10">
        <f t="shared" si="85"/>
        <v>126.21359223300971</v>
      </c>
      <c r="O64" s="12">
        <f t="shared" si="86"/>
        <v>0</v>
      </c>
      <c r="P64" s="13">
        <f t="shared" si="87"/>
        <v>-7.1197411003236368</v>
      </c>
      <c r="Q64" s="318">
        <f t="shared" si="90"/>
        <v>0.94660194174757273</v>
      </c>
      <c r="R64" s="442"/>
      <c r="S64" s="28">
        <v>0.24166666666666667</v>
      </c>
      <c r="T64" s="28">
        <v>0.31319444444444444</v>
      </c>
      <c r="U64" s="316">
        <f t="shared" ref="U64:U70" si="92">(S64-T63)*24*60</f>
        <v>4.9999999999999822</v>
      </c>
      <c r="V64" s="325">
        <f t="shared" si="88"/>
        <v>103</v>
      </c>
      <c r="W64" s="16"/>
      <c r="X64" s="16"/>
      <c r="Y64" s="443"/>
      <c r="Z64" s="443"/>
      <c r="AA64" s="12">
        <f t="shared" si="2"/>
        <v>-128.15533980582541</v>
      </c>
      <c r="AB64" s="318">
        <f t="shared" si="91"/>
        <v>0.94660194174757273</v>
      </c>
      <c r="AC64" s="442"/>
    </row>
    <row r="65" spans="1:29" ht="15.75" customHeight="1">
      <c r="A65" s="439" t="s">
        <v>51</v>
      </c>
      <c r="B65" s="326" t="s">
        <v>67</v>
      </c>
      <c r="C65" s="441" t="s">
        <v>102</v>
      </c>
      <c r="D65" s="441"/>
      <c r="E65" s="31">
        <v>20.52</v>
      </c>
      <c r="F65" s="326">
        <v>3400</v>
      </c>
      <c r="G65" s="316">
        <f t="shared" si="83"/>
        <v>69768</v>
      </c>
      <c r="H65" s="327">
        <v>2</v>
      </c>
      <c r="I65" s="324">
        <v>18</v>
      </c>
      <c r="J65" s="26">
        <v>2400</v>
      </c>
      <c r="K65" s="10">
        <f>J65/I65</f>
        <v>133.33333333333334</v>
      </c>
      <c r="L65" s="19">
        <v>18</v>
      </c>
      <c r="M65" s="11">
        <f t="shared" si="89"/>
        <v>2292.1348314606744</v>
      </c>
      <c r="N65" s="10">
        <f t="shared" si="85"/>
        <v>127.34082397003746</v>
      </c>
      <c r="O65" s="12">
        <f t="shared" si="86"/>
        <v>0</v>
      </c>
      <c r="P65" s="13">
        <f t="shared" si="87"/>
        <v>-5.9925093632958806</v>
      </c>
      <c r="Q65" s="318">
        <f t="shared" si="90"/>
        <v>0.9550561797752809</v>
      </c>
      <c r="R65" s="442"/>
      <c r="S65" s="28">
        <v>0.31736111111111109</v>
      </c>
      <c r="T65" s="28">
        <v>0.37916666666666665</v>
      </c>
      <c r="U65" s="316">
        <f t="shared" si="92"/>
        <v>5.9999999999999787</v>
      </c>
      <c r="V65" s="325">
        <f t="shared" si="88"/>
        <v>89</v>
      </c>
      <c r="W65" s="16"/>
      <c r="X65" s="16"/>
      <c r="Y65" s="443"/>
      <c r="Z65" s="443"/>
      <c r="AA65" s="12">
        <f t="shared" si="2"/>
        <v>-107.86516853932562</v>
      </c>
      <c r="AB65" s="318">
        <f t="shared" si="91"/>
        <v>0.95505617977528101</v>
      </c>
      <c r="AC65" s="442"/>
    </row>
    <row r="66" spans="1:29" ht="15.75" customHeight="1">
      <c r="A66" s="439" t="s">
        <v>51</v>
      </c>
      <c r="B66" s="326" t="s">
        <v>67</v>
      </c>
      <c r="C66" s="441" t="s">
        <v>1161</v>
      </c>
      <c r="D66" s="441"/>
      <c r="E66" s="31">
        <v>24.25</v>
      </c>
      <c r="F66" s="326">
        <v>4100</v>
      </c>
      <c r="G66" s="316">
        <f t="shared" si="83"/>
        <v>99425</v>
      </c>
      <c r="H66" s="327">
        <v>2</v>
      </c>
      <c r="I66" s="324">
        <v>17</v>
      </c>
      <c r="J66" s="26">
        <v>2400</v>
      </c>
      <c r="K66" s="10">
        <f t="shared" ref="K66:K71" si="93">J66/I66</f>
        <v>141.1764705882353</v>
      </c>
      <c r="L66" s="19">
        <v>17</v>
      </c>
      <c r="M66" s="11">
        <f t="shared" si="89"/>
        <v>2277.7777777777774</v>
      </c>
      <c r="N66" s="10">
        <f t="shared" si="85"/>
        <v>133.98692810457513</v>
      </c>
      <c r="O66" s="12">
        <f t="shared" si="86"/>
        <v>0</v>
      </c>
      <c r="P66" s="13">
        <f t="shared" si="87"/>
        <v>-7.1895424836601762</v>
      </c>
      <c r="Q66" s="318">
        <f t="shared" si="90"/>
        <v>0.94907407407407374</v>
      </c>
      <c r="R66" s="442"/>
      <c r="S66" s="28">
        <v>0.38402777777777775</v>
      </c>
      <c r="T66" s="28">
        <v>0.45902777777777776</v>
      </c>
      <c r="U66" s="316">
        <f t="shared" si="92"/>
        <v>6.9999999999999751</v>
      </c>
      <c r="V66" s="325">
        <f t="shared" si="88"/>
        <v>108.00000000000001</v>
      </c>
      <c r="W66" s="16"/>
      <c r="X66" s="16"/>
      <c r="Y66" s="443"/>
      <c r="Z66" s="443"/>
      <c r="AA66" s="12">
        <f t="shared" si="2"/>
        <v>-122.22222222222263</v>
      </c>
      <c r="AB66" s="318">
        <f t="shared" si="91"/>
        <v>0.94907407407407396</v>
      </c>
      <c r="AC66" s="442"/>
    </row>
    <row r="67" spans="1:29" ht="15.75" customHeight="1">
      <c r="A67" s="439" t="s">
        <v>51</v>
      </c>
      <c r="B67" s="326" t="s">
        <v>67</v>
      </c>
      <c r="C67" s="441" t="s">
        <v>71</v>
      </c>
      <c r="D67" s="441"/>
      <c r="E67" s="31">
        <v>22.35</v>
      </c>
      <c r="F67" s="326">
        <v>2352</v>
      </c>
      <c r="G67" s="316">
        <f t="shared" si="83"/>
        <v>52567.200000000004</v>
      </c>
      <c r="H67" s="327" t="s">
        <v>103</v>
      </c>
      <c r="I67" s="324">
        <v>16</v>
      </c>
      <c r="J67" s="26">
        <v>2400</v>
      </c>
      <c r="K67" s="10">
        <f t="shared" si="93"/>
        <v>150</v>
      </c>
      <c r="L67" s="19">
        <v>16</v>
      </c>
      <c r="M67" s="11">
        <f t="shared" si="89"/>
        <v>2276.1290322580639</v>
      </c>
      <c r="N67" s="10">
        <f t="shared" si="85"/>
        <v>142.258064516129</v>
      </c>
      <c r="O67" s="12">
        <f t="shared" si="86"/>
        <v>0</v>
      </c>
      <c r="P67" s="13">
        <f t="shared" si="87"/>
        <v>-7.7419354838710035</v>
      </c>
      <c r="Q67" s="318">
        <f t="shared" si="90"/>
        <v>0.94838709677419331</v>
      </c>
      <c r="R67" s="442"/>
      <c r="S67" s="28">
        <v>0.46458333333333329</v>
      </c>
      <c r="T67" s="28">
        <v>0.50763888888888886</v>
      </c>
      <c r="U67" s="316">
        <f t="shared" si="92"/>
        <v>7.9999999999999716</v>
      </c>
      <c r="V67" s="325">
        <f t="shared" si="88"/>
        <v>62.000000000000021</v>
      </c>
      <c r="W67" s="16">
        <f>T67</f>
        <v>0.50763888888888886</v>
      </c>
      <c r="X67" s="16">
        <f>S68</f>
        <v>0.54930555555555549</v>
      </c>
      <c r="Y67" s="443"/>
      <c r="Z67" s="443"/>
      <c r="AA67" s="12">
        <f t="shared" si="2"/>
        <v>-123.87096774193606</v>
      </c>
      <c r="AB67" s="318">
        <f t="shared" si="91"/>
        <v>0.94838709677419331</v>
      </c>
      <c r="AC67" s="442"/>
    </row>
    <row r="68" spans="1:29" ht="15.75" customHeight="1">
      <c r="A68" s="439" t="s">
        <v>51</v>
      </c>
      <c r="B68" s="326" t="s">
        <v>67</v>
      </c>
      <c r="C68" s="444" t="s">
        <v>100</v>
      </c>
      <c r="D68" s="445"/>
      <c r="E68" s="31">
        <v>19.02</v>
      </c>
      <c r="F68" s="326">
        <v>6653</v>
      </c>
      <c r="G68" s="316">
        <f t="shared" si="83"/>
        <v>126540.06</v>
      </c>
      <c r="H68" s="327" t="s">
        <v>103</v>
      </c>
      <c r="I68" s="324">
        <v>15</v>
      </c>
      <c r="J68" s="26">
        <v>2400</v>
      </c>
      <c r="K68" s="10">
        <f t="shared" si="93"/>
        <v>160</v>
      </c>
      <c r="L68" s="19">
        <v>15</v>
      </c>
      <c r="M68" s="11">
        <f t="shared" si="89"/>
        <v>2281.028571428571</v>
      </c>
      <c r="N68" s="10">
        <f t="shared" si="85"/>
        <v>152.0685714285714</v>
      </c>
      <c r="O68" s="12">
        <f t="shared" si="86"/>
        <v>0</v>
      </c>
      <c r="P68" s="13">
        <f t="shared" si="87"/>
        <v>-7.9314285714285973</v>
      </c>
      <c r="Q68" s="318">
        <f t="shared" si="90"/>
        <v>0.95042857142857129</v>
      </c>
      <c r="R68" s="442"/>
      <c r="S68" s="28">
        <v>0.54930555555555549</v>
      </c>
      <c r="T68" s="28">
        <v>0.67083333333333328</v>
      </c>
      <c r="U68" s="316">
        <f t="shared" si="92"/>
        <v>59.999999999999943</v>
      </c>
      <c r="V68" s="325">
        <f t="shared" si="88"/>
        <v>175.00000000000003</v>
      </c>
      <c r="W68" s="16"/>
      <c r="X68" s="16"/>
      <c r="Y68" s="447"/>
      <c r="Z68" s="448"/>
      <c r="AA68" s="12">
        <f t="shared" si="2"/>
        <v>-118.97142857142899</v>
      </c>
      <c r="AB68" s="318">
        <f t="shared" si="91"/>
        <v>0.95042857142857129</v>
      </c>
      <c r="AC68" s="442"/>
    </row>
    <row r="69" spans="1:29" ht="15.75" customHeight="1">
      <c r="A69" s="439" t="s">
        <v>1506</v>
      </c>
      <c r="B69" s="326" t="s">
        <v>67</v>
      </c>
      <c r="C69" s="444" t="s">
        <v>1161</v>
      </c>
      <c r="D69" s="445"/>
      <c r="E69" s="31">
        <v>24.25</v>
      </c>
      <c r="F69" s="326">
        <v>2854</v>
      </c>
      <c r="G69" s="316">
        <f t="shared" si="83"/>
        <v>69209.5</v>
      </c>
      <c r="H69" s="327" t="s">
        <v>103</v>
      </c>
      <c r="I69" s="324">
        <v>17</v>
      </c>
      <c r="J69" s="26">
        <v>2400</v>
      </c>
      <c r="K69" s="10">
        <f t="shared" si="93"/>
        <v>141.1764705882353</v>
      </c>
      <c r="L69" s="19">
        <v>17</v>
      </c>
      <c r="M69" s="11">
        <f t="shared" si="89"/>
        <v>2283.1999999999985</v>
      </c>
      <c r="N69" s="10">
        <f t="shared" si="85"/>
        <v>134.3058823529411</v>
      </c>
      <c r="O69" s="12">
        <f t="shared" si="86"/>
        <v>0</v>
      </c>
      <c r="P69" s="13">
        <f t="shared" si="87"/>
        <v>-6.8705882352942069</v>
      </c>
      <c r="Q69" s="318">
        <f t="shared" si="90"/>
        <v>0.9513333333333327</v>
      </c>
      <c r="R69" s="442"/>
      <c r="S69" s="28">
        <v>0.67569444444444438</v>
      </c>
      <c r="T69" s="28">
        <v>0.72777777777777775</v>
      </c>
      <c r="U69" s="316">
        <f t="shared" si="92"/>
        <v>6.9999999999999751</v>
      </c>
      <c r="V69" s="325">
        <f t="shared" si="88"/>
        <v>75.000000000000057</v>
      </c>
      <c r="W69" s="16"/>
      <c r="X69" s="16"/>
      <c r="Y69" s="447"/>
      <c r="Z69" s="448"/>
      <c r="AA69" s="12">
        <f t="shared" ref="AA69:AA71" si="94">M69-J69</f>
        <v>-116.80000000000155</v>
      </c>
      <c r="AB69" s="318">
        <f t="shared" si="91"/>
        <v>0.9513333333333327</v>
      </c>
      <c r="AC69" s="442"/>
    </row>
    <row r="70" spans="1:29" ht="15.75" customHeight="1">
      <c r="A70" s="439" t="s">
        <v>1507</v>
      </c>
      <c r="B70" s="326" t="s">
        <v>67</v>
      </c>
      <c r="C70" s="444" t="s">
        <v>102</v>
      </c>
      <c r="D70" s="445"/>
      <c r="E70" s="31">
        <v>20.52</v>
      </c>
      <c r="F70" s="326">
        <v>2672</v>
      </c>
      <c r="G70" s="316">
        <f t="shared" si="83"/>
        <v>54829.440000000002</v>
      </c>
      <c r="H70" s="327" t="s">
        <v>103</v>
      </c>
      <c r="I70" s="324">
        <v>18</v>
      </c>
      <c r="J70" s="26">
        <v>2400</v>
      </c>
      <c r="K70" s="10">
        <f t="shared" si="93"/>
        <v>133.33333333333334</v>
      </c>
      <c r="L70" s="19">
        <v>18</v>
      </c>
      <c r="M70" s="11">
        <f t="shared" si="89"/>
        <v>2290.2857142857119</v>
      </c>
      <c r="N70" s="10">
        <f t="shared" si="85"/>
        <v>127.23809523809511</v>
      </c>
      <c r="O70" s="12">
        <f t="shared" si="86"/>
        <v>0</v>
      </c>
      <c r="P70" s="13">
        <f t="shared" si="87"/>
        <v>-6.0952380952382299</v>
      </c>
      <c r="Q70" s="318">
        <f t="shared" si="90"/>
        <v>0.95428571428571329</v>
      </c>
      <c r="R70" s="442"/>
      <c r="S70" s="28">
        <v>0.73333333333333328</v>
      </c>
      <c r="T70" s="28">
        <v>0.78194444444444444</v>
      </c>
      <c r="U70" s="316">
        <f t="shared" si="92"/>
        <v>7.9999999999999716</v>
      </c>
      <c r="V70" s="325">
        <f t="shared" si="88"/>
        <v>70.000000000000071</v>
      </c>
      <c r="W70" s="16"/>
      <c r="X70" s="16"/>
      <c r="Y70" s="447"/>
      <c r="Z70" s="448"/>
      <c r="AA70" s="12">
        <f t="shared" si="94"/>
        <v>-109.71428571428805</v>
      </c>
      <c r="AB70" s="318">
        <f t="shared" si="91"/>
        <v>0.95428571428571329</v>
      </c>
      <c r="AC70" s="442"/>
    </row>
    <row r="71" spans="1:29" ht="16.5" customHeight="1">
      <c r="A71" s="440" t="s">
        <v>51</v>
      </c>
      <c r="B71" s="31" t="s">
        <v>1508</v>
      </c>
      <c r="C71" s="446"/>
      <c r="D71" s="446"/>
      <c r="E71" s="317"/>
      <c r="F71" s="33"/>
      <c r="G71" s="10"/>
      <c r="H71" s="326"/>
      <c r="I71" s="19">
        <v>17</v>
      </c>
      <c r="J71" s="26">
        <v>2400</v>
      </c>
      <c r="K71" s="10">
        <f t="shared" si="93"/>
        <v>141.1764705882353</v>
      </c>
      <c r="L71" s="19">
        <v>17</v>
      </c>
      <c r="M71" s="11">
        <f>AVERAGE(M62:M70)</f>
        <v>2283.7071339878571</v>
      </c>
      <c r="N71" s="10">
        <f>M71/L71</f>
        <v>134.33571376399161</v>
      </c>
      <c r="O71" s="12">
        <f>L71-I71</f>
        <v>0</v>
      </c>
      <c r="P71" s="13">
        <f>N71-K71</f>
        <v>-6.840756824243698</v>
      </c>
      <c r="Q71" s="318">
        <f t="shared" si="90"/>
        <v>0.95154463916160714</v>
      </c>
      <c r="R71" s="442"/>
      <c r="S71" s="28"/>
      <c r="T71" s="28"/>
      <c r="U71" s="10"/>
      <c r="V71" s="325"/>
      <c r="W71" s="10"/>
      <c r="X71" s="10"/>
      <c r="Y71" s="443"/>
      <c r="Z71" s="443"/>
      <c r="AA71" s="12">
        <f t="shared" si="94"/>
        <v>-116.29286601214289</v>
      </c>
      <c r="AB71" s="318">
        <f t="shared" si="91"/>
        <v>0.95154463916160714</v>
      </c>
      <c r="AC71" s="442"/>
    </row>
    <row r="72" spans="1:29">
      <c r="D72" s="22"/>
      <c r="E72" s="22"/>
    </row>
  </sheetData>
  <mergeCells count="19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23:AC33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C30:D30"/>
    <mergeCell ref="Y30:Z30"/>
    <mergeCell ref="C31:D31"/>
    <mergeCell ref="Y31:Z31"/>
    <mergeCell ref="C32:D32"/>
    <mergeCell ref="Y32:Z32"/>
    <mergeCell ref="Y26:Z26"/>
    <mergeCell ref="C27:D27"/>
    <mergeCell ref="A34:A42"/>
    <mergeCell ref="C34:D34"/>
    <mergeCell ref="R34:R42"/>
    <mergeCell ref="Y34:Z34"/>
    <mergeCell ref="Y39:Z39"/>
    <mergeCell ref="C40:D40"/>
    <mergeCell ref="Y40:Z40"/>
    <mergeCell ref="C41:D41"/>
    <mergeCell ref="A23:A33"/>
    <mergeCell ref="C23:D23"/>
    <mergeCell ref="Y27:Z27"/>
    <mergeCell ref="C28:D28"/>
    <mergeCell ref="Y28:Z28"/>
    <mergeCell ref="C29:D29"/>
    <mergeCell ref="Y29:Z29"/>
    <mergeCell ref="R23:R33"/>
    <mergeCell ref="Y23:Z23"/>
    <mergeCell ref="C33:D33"/>
    <mergeCell ref="Y33:Z33"/>
    <mergeCell ref="AC34:AC42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41:Z41"/>
    <mergeCell ref="C42:D42"/>
    <mergeCell ref="Y42:Z42"/>
    <mergeCell ref="A43:A49"/>
    <mergeCell ref="C43:D43"/>
    <mergeCell ref="R43:R49"/>
    <mergeCell ref="Y43:Z43"/>
    <mergeCell ref="Y48:Z48"/>
    <mergeCell ref="C49:D49"/>
    <mergeCell ref="Y49:Z49"/>
    <mergeCell ref="AC50:AC56"/>
    <mergeCell ref="C51:D51"/>
    <mergeCell ref="Y51:Z51"/>
    <mergeCell ref="C52:D52"/>
    <mergeCell ref="C55:D55"/>
    <mergeCell ref="Y55:Z55"/>
    <mergeCell ref="AC43:AC49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C56:D56"/>
    <mergeCell ref="Y56:Z56"/>
    <mergeCell ref="A57:A61"/>
    <mergeCell ref="C57:D57"/>
    <mergeCell ref="R57:R61"/>
    <mergeCell ref="Y57:Z57"/>
    <mergeCell ref="A50:A56"/>
    <mergeCell ref="C50:D50"/>
    <mergeCell ref="R50:R56"/>
    <mergeCell ref="Y50:Z50"/>
    <mergeCell ref="AC57:AC61"/>
    <mergeCell ref="C58:D58"/>
    <mergeCell ref="Y58:Z58"/>
    <mergeCell ref="C59:D59"/>
    <mergeCell ref="Y59:Z59"/>
    <mergeCell ref="C60:D60"/>
    <mergeCell ref="Y60:Z60"/>
    <mergeCell ref="C61:D61"/>
    <mergeCell ref="Y61:Z61"/>
    <mergeCell ref="A62:A71"/>
    <mergeCell ref="C62:D62"/>
    <mergeCell ref="R62:R71"/>
    <mergeCell ref="Y62:Z62"/>
    <mergeCell ref="AC62:AC71"/>
    <mergeCell ref="C63:D63"/>
    <mergeCell ref="Y63:Z63"/>
    <mergeCell ref="C64:D64"/>
    <mergeCell ref="Y64:Z64"/>
    <mergeCell ref="C65:D65"/>
    <mergeCell ref="C69:D69"/>
    <mergeCell ref="Y69:Z69"/>
    <mergeCell ref="C70:D70"/>
    <mergeCell ref="Y70:Z70"/>
    <mergeCell ref="C71:D71"/>
    <mergeCell ref="Y71:Z71"/>
    <mergeCell ref="Y65:Z65"/>
    <mergeCell ref="C66:D66"/>
    <mergeCell ref="Y66:Z66"/>
    <mergeCell ref="C67:D67"/>
    <mergeCell ref="Y67:Z67"/>
    <mergeCell ref="C68:D68"/>
    <mergeCell ref="Y68:Z68"/>
  </mergeCells>
  <phoneticPr fontId="3" type="noConversion"/>
  <conditionalFormatting sqref="O60:O67 O71 O5:O12 O16:O30 O33:O57">
    <cfRule type="cellIs" dxfId="1202" priority="57" operator="greaterThan">
      <formula>0</formula>
    </cfRule>
  </conditionalFormatting>
  <conditionalFormatting sqref="P5:P7 P60 AA60 P62:P67 P23:P30 P57 P9:P12 P17:P21 P50:P55 P34:P48 AA5:AA57 AA62:AA71">
    <cfRule type="cellIs" dxfId="1201" priority="61" operator="lessThan">
      <formula>0</formula>
    </cfRule>
  </conditionalFormatting>
  <conditionalFormatting sqref="AB60 Q60:Q67 Q71 Q5:Q12 Q16:Q30 Q33:Q57 AB5:AB57 AB62:AB71">
    <cfRule type="cellIs" dxfId="1200" priority="58" operator="greaterThan">
      <formula>1</formula>
    </cfRule>
    <cfRule type="cellIs" dxfId="1199" priority="59" operator="lessThan">
      <formula>0.8</formula>
    </cfRule>
  </conditionalFormatting>
  <conditionalFormatting sqref="AC11:AC12 R11:R12 AC60 R60:R67 AC16:AC30 R16:R30 R71 AC5:AC9 R5:R9 AC33:AC57 R33:R57">
    <cfRule type="cellIs" dxfId="1198" priority="63" operator="lessThan">
      <formula>0.8</formula>
    </cfRule>
  </conditionalFormatting>
  <conditionalFormatting sqref="AC43">
    <cfRule type="cellIs" dxfId="1197" priority="65" operator="lessThan">
      <formula>0.8</formula>
    </cfRule>
  </conditionalFormatting>
  <conditionalFormatting sqref="AC17:AC21">
    <cfRule type="cellIs" dxfId="1196" priority="62" operator="lessThan">
      <formula>0.8</formula>
    </cfRule>
  </conditionalFormatting>
  <conditionalFormatting sqref="AC23">
    <cfRule type="cellIs" dxfId="1195" priority="64" operator="lessThan">
      <formula>0.8</formula>
    </cfRule>
  </conditionalFormatting>
  <conditionalFormatting sqref="AC34:AC41">
    <cfRule type="cellIs" dxfId="1194" priority="60" operator="lessThan">
      <formula>0.8</formula>
    </cfRule>
  </conditionalFormatting>
  <conditionalFormatting sqref="AA61">
    <cfRule type="cellIs" dxfId="1193" priority="56" operator="lessThan">
      <formula>0</formula>
    </cfRule>
  </conditionalFormatting>
  <conditionalFormatting sqref="AB61">
    <cfRule type="cellIs" dxfId="1192" priority="54" operator="greaterThan">
      <formula>1</formula>
    </cfRule>
    <cfRule type="cellIs" dxfId="1191" priority="55" operator="lessThan">
      <formula>0.8</formula>
    </cfRule>
  </conditionalFormatting>
  <conditionalFormatting sqref="O13:O14">
    <cfRule type="cellIs" dxfId="1190" priority="49" operator="greaterThan">
      <formula>0</formula>
    </cfRule>
  </conditionalFormatting>
  <conditionalFormatting sqref="P13:P14">
    <cfRule type="cellIs" dxfId="1189" priority="52" operator="lessThan">
      <formula>0</formula>
    </cfRule>
  </conditionalFormatting>
  <conditionalFormatting sqref="Q13:Q14">
    <cfRule type="cellIs" dxfId="1188" priority="50" operator="greaterThan">
      <formula>1</formula>
    </cfRule>
    <cfRule type="cellIs" dxfId="1187" priority="51" operator="lessThan">
      <formula>0.8</formula>
    </cfRule>
  </conditionalFormatting>
  <conditionalFormatting sqref="R13:R14 AC13:AC14">
    <cfRule type="cellIs" dxfId="1186" priority="53" operator="lessThan">
      <formula>0.8</formula>
    </cfRule>
  </conditionalFormatting>
  <conditionalFormatting sqref="O59">
    <cfRule type="cellIs" dxfId="1185" priority="44" operator="greaterThan">
      <formula>0</formula>
    </cfRule>
  </conditionalFormatting>
  <conditionalFormatting sqref="P59 AA59">
    <cfRule type="cellIs" dxfId="1184" priority="47" operator="lessThan">
      <formula>0</formula>
    </cfRule>
  </conditionalFormatting>
  <conditionalFormatting sqref="Q59 AB59">
    <cfRule type="cellIs" dxfId="1183" priority="45" operator="greaterThan">
      <formula>1</formula>
    </cfRule>
    <cfRule type="cellIs" dxfId="1182" priority="46" operator="lessThan">
      <formula>0.8</formula>
    </cfRule>
  </conditionalFormatting>
  <conditionalFormatting sqref="R59 AC59">
    <cfRule type="cellIs" dxfId="1181" priority="48" operator="lessThan">
      <formula>0.8</formula>
    </cfRule>
  </conditionalFormatting>
  <conditionalFormatting sqref="O31">
    <cfRule type="cellIs" dxfId="1180" priority="39" operator="greaterThan">
      <formula>0</formula>
    </cfRule>
  </conditionalFormatting>
  <conditionalFormatting sqref="P31">
    <cfRule type="cellIs" dxfId="1179" priority="42" operator="lessThan">
      <formula>0</formula>
    </cfRule>
  </conditionalFormatting>
  <conditionalFormatting sqref="Q31">
    <cfRule type="cellIs" dxfId="1178" priority="40" operator="greaterThan">
      <formula>1</formula>
    </cfRule>
    <cfRule type="cellIs" dxfId="1177" priority="41" operator="lessThan">
      <formula>0.8</formula>
    </cfRule>
  </conditionalFormatting>
  <conditionalFormatting sqref="R31 AC31">
    <cfRule type="cellIs" dxfId="1176" priority="43" operator="lessThan">
      <formula>0.8</formula>
    </cfRule>
  </conditionalFormatting>
  <conditionalFormatting sqref="O68">
    <cfRule type="cellIs" dxfId="1175" priority="34" operator="greaterThan">
      <formula>0</formula>
    </cfRule>
  </conditionalFormatting>
  <conditionalFormatting sqref="P68">
    <cfRule type="cellIs" dxfId="1174" priority="37" operator="lessThan">
      <formula>0</formula>
    </cfRule>
  </conditionalFormatting>
  <conditionalFormatting sqref="Q68">
    <cfRule type="cellIs" dxfId="1173" priority="35" operator="greaterThan">
      <formula>1</formula>
    </cfRule>
    <cfRule type="cellIs" dxfId="1172" priority="36" operator="lessThan">
      <formula>0.8</formula>
    </cfRule>
  </conditionalFormatting>
  <conditionalFormatting sqref="R68">
    <cfRule type="cellIs" dxfId="1171" priority="38" operator="lessThan">
      <formula>0.8</formula>
    </cfRule>
  </conditionalFormatting>
  <conditionalFormatting sqref="O15">
    <cfRule type="cellIs" dxfId="1170" priority="29" operator="greaterThan">
      <formula>0</formula>
    </cfRule>
  </conditionalFormatting>
  <conditionalFormatting sqref="P15">
    <cfRule type="cellIs" dxfId="1169" priority="32" operator="lessThan">
      <formula>0</formula>
    </cfRule>
  </conditionalFormatting>
  <conditionalFormatting sqref="Q15">
    <cfRule type="cellIs" dxfId="1168" priority="30" operator="greaterThan">
      <formula>1</formula>
    </cfRule>
    <cfRule type="cellIs" dxfId="1167" priority="31" operator="lessThan">
      <formula>0.8</formula>
    </cfRule>
  </conditionalFormatting>
  <conditionalFormatting sqref="R15 AC15">
    <cfRule type="cellIs" dxfId="1166" priority="33" operator="lessThan">
      <formula>0.8</formula>
    </cfRule>
  </conditionalFormatting>
  <conditionalFormatting sqref="O32">
    <cfRule type="cellIs" dxfId="1165" priority="24" operator="greaterThan">
      <formula>0</formula>
    </cfRule>
  </conditionalFormatting>
  <conditionalFormatting sqref="P32">
    <cfRule type="cellIs" dxfId="1164" priority="27" operator="lessThan">
      <formula>0</formula>
    </cfRule>
  </conditionalFormatting>
  <conditionalFormatting sqref="Q32">
    <cfRule type="cellIs" dxfId="1163" priority="25" operator="greaterThan">
      <formula>1</formula>
    </cfRule>
    <cfRule type="cellIs" dxfId="1162" priority="26" operator="lessThan">
      <formula>0.8</formula>
    </cfRule>
  </conditionalFormatting>
  <conditionalFormatting sqref="R32 AC32">
    <cfRule type="cellIs" dxfId="1161" priority="28" operator="lessThan">
      <formula>0.8</formula>
    </cfRule>
  </conditionalFormatting>
  <conditionalFormatting sqref="O58">
    <cfRule type="cellIs" dxfId="1160" priority="19" operator="greaterThan">
      <formula>0</formula>
    </cfRule>
  </conditionalFormatting>
  <conditionalFormatting sqref="P58 AA58">
    <cfRule type="cellIs" dxfId="1159" priority="22" operator="lessThan">
      <formula>0</formula>
    </cfRule>
  </conditionalFormatting>
  <conditionalFormatting sqref="Q58 AB58">
    <cfRule type="cellIs" dxfId="1158" priority="20" operator="greaterThan">
      <formula>1</formula>
    </cfRule>
    <cfRule type="cellIs" dxfId="1157" priority="21" operator="lessThan">
      <formula>0.8</formula>
    </cfRule>
  </conditionalFormatting>
  <conditionalFormatting sqref="R58 AC58">
    <cfRule type="cellIs" dxfId="1156" priority="23" operator="lessThan">
      <formula>0.8</formula>
    </cfRule>
  </conditionalFormatting>
  <conditionalFormatting sqref="P8">
    <cfRule type="cellIs" dxfId="1155" priority="18" operator="lessThan">
      <formula>0</formula>
    </cfRule>
  </conditionalFormatting>
  <conditionalFormatting sqref="P16">
    <cfRule type="cellIs" dxfId="1154" priority="17" operator="lessThan">
      <formula>0</formula>
    </cfRule>
  </conditionalFormatting>
  <conditionalFormatting sqref="P22">
    <cfRule type="cellIs" dxfId="1153" priority="16" operator="lessThan">
      <formula>0</formula>
    </cfRule>
  </conditionalFormatting>
  <conditionalFormatting sqref="P33">
    <cfRule type="cellIs" dxfId="1152" priority="15" operator="lessThan">
      <formula>0</formula>
    </cfRule>
  </conditionalFormatting>
  <conditionalFormatting sqref="P49">
    <cfRule type="cellIs" dxfId="1151" priority="14" operator="lessThan">
      <formula>0</formula>
    </cfRule>
  </conditionalFormatting>
  <conditionalFormatting sqref="P56">
    <cfRule type="cellIs" dxfId="1150" priority="13" operator="lessThan">
      <formula>0</formula>
    </cfRule>
  </conditionalFormatting>
  <conditionalFormatting sqref="P61">
    <cfRule type="cellIs" dxfId="1149" priority="12" operator="lessThan">
      <formula>0</formula>
    </cfRule>
  </conditionalFormatting>
  <conditionalFormatting sqref="P71">
    <cfRule type="cellIs" dxfId="1148" priority="11" operator="lessThan">
      <formula>0</formula>
    </cfRule>
  </conditionalFormatting>
  <conditionalFormatting sqref="O69">
    <cfRule type="cellIs" dxfId="1147" priority="6" operator="greaterThan">
      <formula>0</formula>
    </cfRule>
  </conditionalFormatting>
  <conditionalFormatting sqref="P69">
    <cfRule type="cellIs" dxfId="1146" priority="9" operator="lessThan">
      <formula>0</formula>
    </cfRule>
  </conditionalFormatting>
  <conditionalFormatting sqref="Q69">
    <cfRule type="cellIs" dxfId="1145" priority="7" operator="greaterThan">
      <formula>1</formula>
    </cfRule>
    <cfRule type="cellIs" dxfId="1144" priority="8" operator="lessThan">
      <formula>0.8</formula>
    </cfRule>
  </conditionalFormatting>
  <conditionalFormatting sqref="R69">
    <cfRule type="cellIs" dxfId="1143" priority="10" operator="lessThan">
      <formula>0.8</formula>
    </cfRule>
  </conditionalFormatting>
  <conditionalFormatting sqref="O70">
    <cfRule type="cellIs" dxfId="1142" priority="1" operator="greaterThan">
      <formula>0</formula>
    </cfRule>
  </conditionalFormatting>
  <conditionalFormatting sqref="P70">
    <cfRule type="cellIs" dxfId="1141" priority="4" operator="lessThan">
      <formula>0</formula>
    </cfRule>
  </conditionalFormatting>
  <conditionalFormatting sqref="Q70">
    <cfRule type="cellIs" dxfId="1140" priority="2" operator="greaterThan">
      <formula>1</formula>
    </cfRule>
    <cfRule type="cellIs" dxfId="1139" priority="3" operator="lessThan">
      <formula>0.8</formula>
    </cfRule>
  </conditionalFormatting>
  <conditionalFormatting sqref="R70">
    <cfRule type="cellIs" dxfId="1138" priority="5" operator="lessThan">
      <formula>0.8</formula>
    </cfRule>
  </conditionalFormatting>
  <dataValidations count="1">
    <dataValidation type="list" allowBlank="1" showInputMessage="1" showErrorMessage="1" sqref="Z8 Y5:Z7 Y8:Y60 Z10:Z57 Y61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1395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28" t="s">
        <v>1396</v>
      </c>
      <c r="C3" s="420" t="str">
        <f>TEXT('0920 4度C'!A2,"yyyy.mm.ddaaaa")</f>
        <v>2025.09.20星期六</v>
      </c>
      <c r="D3" s="421"/>
      <c r="E3" s="328" t="s">
        <v>1397</v>
      </c>
      <c r="F3" s="422">
        <f>'0920 4度C'!D1</f>
        <v>148182</v>
      </c>
      <c r="G3" s="423"/>
      <c r="H3" s="328" t="s">
        <v>111</v>
      </c>
      <c r="I3" s="424">
        <f>'0920 4度C'!F1</f>
        <v>4900519.26</v>
      </c>
      <c r="J3" s="425"/>
      <c r="K3" s="45"/>
      <c r="L3" s="46"/>
      <c r="M3" s="47"/>
      <c r="N3" s="47"/>
    </row>
    <row r="4" spans="2:17" ht="28.5" customHeight="1">
      <c r="B4" s="426" t="s">
        <v>1398</v>
      </c>
      <c r="C4" s="429" t="s">
        <v>1399</v>
      </c>
      <c r="D4" s="430"/>
      <c r="E4" s="431" t="s">
        <v>1400</v>
      </c>
      <c r="F4" s="432"/>
      <c r="G4" s="431" t="s">
        <v>1401</v>
      </c>
      <c r="H4" s="432"/>
      <c r="I4" s="431" t="s">
        <v>1402</v>
      </c>
      <c r="J4" s="432"/>
      <c r="L4" s="47"/>
      <c r="M4" s="47"/>
      <c r="N4" s="47"/>
    </row>
    <row r="5" spans="2:17" ht="28.5" customHeight="1">
      <c r="B5" s="427"/>
      <c r="C5" s="429" t="s">
        <v>1403</v>
      </c>
      <c r="D5" s="430"/>
      <c r="E5" s="429" t="s">
        <v>1404</v>
      </c>
      <c r="F5" s="430"/>
      <c r="G5" s="433" t="s">
        <v>1405</v>
      </c>
      <c r="H5" s="434"/>
      <c r="I5" s="435" t="s">
        <v>1406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149.21758821709111</v>
      </c>
      <c r="F6" s="438">
        <f>AVERAGE(D27:O27,D13:J13)</f>
        <v>154.11758614896158</v>
      </c>
      <c r="G6" s="399">
        <f>AVERAGE(D13:J13)</f>
        <v>154.11758614896158</v>
      </c>
      <c r="H6" s="400"/>
      <c r="I6" s="399">
        <f>AVERAGE(K13:M13)</f>
        <v>137.78425970939341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142.11140085963882</v>
      </c>
      <c r="F7" s="406">
        <f>AVERAGE(D28:O28,D14:J14)</f>
        <v>146.86918159794695</v>
      </c>
      <c r="G7" s="407">
        <f>AVERAGE(D14:J14)</f>
        <v>146.86918159794695</v>
      </c>
      <c r="H7" s="408"/>
      <c r="I7" s="407">
        <f>AVERAGE(K14:M14)</f>
        <v>131.0099124702532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0.95171348051642346</v>
      </c>
      <c r="F8" s="410">
        <f>AVERAGE(D15:J15,D29:O29)</f>
        <v>0.95208846347925213</v>
      </c>
      <c r="G8" s="411">
        <f>AVERAGE(D15:J15)</f>
        <v>0.95208846347925213</v>
      </c>
      <c r="H8" s="412"/>
      <c r="I8" s="411">
        <f>AVERAGE(K15:M15)</f>
        <v>0.95083852026982318</v>
      </c>
      <c r="J8" s="412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1407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392" t="s">
        <v>128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10</v>
      </c>
      <c r="C13" s="58" t="s">
        <v>140</v>
      </c>
      <c r="D13" s="59">
        <f>SUMIFS('0920 4度C'!$K:$K,'0920 4度C'!$A:$A,"新豐6線",'0920 4度C'!$B:$B,"平均")</f>
        <v>125</v>
      </c>
      <c r="E13" s="60">
        <f>SUMIFS('0920 4度C'!$K:$K,'0920 4度C'!$A:$A,"新豐2線",'0920 4度C'!$B:$B,"平均")</f>
        <v>88.235294117647058</v>
      </c>
      <c r="F13" s="61">
        <f>SUMIFS('0920 4度C'!$K:$K,'0920 4度C'!$A:$A,"新豐5線",'0920 4度C'!$B:$B,"平均")</f>
        <v>88.541666666666671</v>
      </c>
      <c r="G13" s="61">
        <f>SUMIFS('0920 4度C'!$K:$K,'0920 4度C'!$A:$A,"新豐7線",'0920 4度C'!$B:$B,"平均")</f>
        <v>117.64705882352941</v>
      </c>
      <c r="H13" s="61">
        <f>SUMIFS('0920 4度C'!$K:$K,'0920 4度C'!$A:$A,"新豐3線",'0920 4度C'!$B:$B,"平均")</f>
        <v>310.34482758620692</v>
      </c>
      <c r="I13" s="61">
        <f>SUMIFS('0920 4度C'!$K:$K,'0920 4度C'!$A:$A,"新豐1線",'0920 4度C'!$B:$B,"平均")</f>
        <v>117.34693877551021</v>
      </c>
      <c r="J13" s="62">
        <f>SUMIFS('0920 4度C'!$K:$K,'0920 4度C'!$A:$A,"新豐10線",'0920 4度C'!$B:$B,"平均")</f>
        <v>231.70731707317074</v>
      </c>
      <c r="K13" s="63">
        <f>SUMIFS('0920 4度C'!$K:$K,'0920 4度C'!$A:$A,"新豐8線",'0920 4度C'!$B:$B,"平均")</f>
        <v>133.33333333333334</v>
      </c>
      <c r="L13" s="64">
        <f>SUMIFS('0920 4度C'!$K:$K,'0920 4度C'!$A:$A,"新豐9線",'0920 4度C'!$B:$B,"平均")</f>
        <v>138.84297520661158</v>
      </c>
      <c r="M13" s="62">
        <f>SUMIFS('0920 4度C'!$K:$K,'0920 4度C'!$A:$A,"新豐4線",'0920 4度C'!$B:$B,"平均")</f>
        <v>141.1764705882353</v>
      </c>
    </row>
    <row r="14" spans="2:17" ht="39.6" customHeight="1">
      <c r="B14" s="397"/>
      <c r="C14" s="65" t="s">
        <v>141</v>
      </c>
      <c r="D14" s="66">
        <f>SUMIFS('0920 4度C'!$N:$N,'0920 4度C'!$A:$A,"新豐6線",'0920 4度C'!$B:$B,"平均")</f>
        <v>119.22420634920634</v>
      </c>
      <c r="E14" s="67">
        <f>SUMIFS('0920 4度C'!$N:$N,'0920 4度C'!$A:$A,"新豐2線",'0920 4度C'!$B:$B,"平均")</f>
        <v>83.608502224419183</v>
      </c>
      <c r="F14" s="67">
        <f>SUMIFS('0920 4度C'!$N:$N,'0920 4度C'!$A:$A,"新豐5線",'0920 4度C'!$B:$B,"平均")</f>
        <v>84.010567967345878</v>
      </c>
      <c r="G14" s="67">
        <f>SUMIFS('0920 4度C'!$N:$N,'0920 4度C'!$A:$A,"新豐7線",'0920 4度C'!$B:$B,"平均")</f>
        <v>112.2560937599129</v>
      </c>
      <c r="H14" s="67">
        <f>SUMIFS('0920 4度C'!$N:$N,'0920 4度C'!$A:$A,"新豐3線",'0920 4度C'!$B:$B,"平均")</f>
        <v>295.68553644270116</v>
      </c>
      <c r="I14" s="67">
        <f>SUMIFS('0920 4度C'!$N:$N,'0920 4度C'!$A:$A,"新豐1線",'0920 4度C'!$B:$B,"平均")</f>
        <v>111.51967486332934</v>
      </c>
      <c r="J14" s="68">
        <f>SUMIFS('0920 4度C'!$N:$N,'0920 4度C'!$A:$A,"新豐10線",'0920 4度C'!$B:$B,"平均")</f>
        <v>221.779689578714</v>
      </c>
      <c r="K14" s="69">
        <f>SUMIFS('0920 4度C'!$N:$N,'0920 4度C'!$A:$A,"新豐8線",'0920 4度C'!$B:$B,"平均")</f>
        <v>126.8706901950021</v>
      </c>
      <c r="L14" s="70">
        <f>SUMIFS('0920 4度C'!$N:$N,'0920 4度C'!$A:$A,"新豐9線",'0920 4度C'!$B:$B,"平均")</f>
        <v>131.81391917683962</v>
      </c>
      <c r="M14" s="68">
        <f>SUMIFS('0920 4度C'!$N:$N,'0920 4度C'!$A:$A,"新豐4線",'0920 4度C'!$B:$B,"平均")</f>
        <v>134.34512803891789</v>
      </c>
    </row>
    <row r="15" spans="2:17" ht="40.15" customHeight="1">
      <c r="B15" s="398"/>
      <c r="C15" s="71" t="s">
        <v>142</v>
      </c>
      <c r="D15" s="72">
        <f t="shared" ref="D15:M15" si="0">D14/D13</f>
        <v>0.95379365079365075</v>
      </c>
      <c r="E15" s="73">
        <f t="shared" si="0"/>
        <v>0.94756302521008406</v>
      </c>
      <c r="F15" s="73">
        <f t="shared" si="0"/>
        <v>0.94882523821943576</v>
      </c>
      <c r="G15" s="73">
        <f t="shared" si="0"/>
        <v>0.95417679695925972</v>
      </c>
      <c r="H15" s="73">
        <f t="shared" si="0"/>
        <v>0.95276450631537035</v>
      </c>
      <c r="I15" s="73">
        <f t="shared" si="0"/>
        <v>0.95034157709619782</v>
      </c>
      <c r="J15" s="74">
        <f t="shared" si="0"/>
        <v>0.95715444976076569</v>
      </c>
      <c r="K15" s="72">
        <f t="shared" si="0"/>
        <v>0.9515301764625157</v>
      </c>
      <c r="L15" s="73">
        <f t="shared" si="0"/>
        <v>0.94937406073795194</v>
      </c>
      <c r="M15" s="74">
        <f t="shared" si="0"/>
        <v>0.95161132360900169</v>
      </c>
    </row>
    <row r="16" spans="2:17" ht="17.25" customHeight="1">
      <c r="B16" s="401" t="s">
        <v>143</v>
      </c>
      <c r="C16" s="329" t="s">
        <v>144</v>
      </c>
      <c r="D16" s="76">
        <f>VLOOKUP("新豐6線",'0920 4度C'!$A:$T,19,0)</f>
        <v>0.70833333333333337</v>
      </c>
      <c r="E16" s="28">
        <f>VLOOKUP("新豐2線",'0920 4度C'!$A:$T,19,0)</f>
        <v>0.20833333333333334</v>
      </c>
      <c r="F16" s="28">
        <f>VLOOKUP("新豐5線",'0920 4度C'!$A:$T,19,0)</f>
        <v>8.3333333333333329E-2</v>
      </c>
      <c r="G16" s="28">
        <f>VLOOKUP("新豐7線",'0920 4度C'!$A:$T,19,0)</f>
        <v>0.20833333333333334</v>
      </c>
      <c r="H16" s="28">
        <f>VLOOKUP("新豐3線",'0920 4度C'!$A:$T,19,0)</f>
        <v>8.3333333333333329E-2</v>
      </c>
      <c r="I16" s="28">
        <f>VLOOKUP("新豐1線",'0920 4度C'!$A:$T,19,0)</f>
        <v>0.29166666666666669</v>
      </c>
      <c r="J16" s="77">
        <f>VLOOKUP("新豐10線",'0920 4度C'!$A:$T,19,0)</f>
        <v>8.3333333333333329E-2</v>
      </c>
      <c r="K16" s="78">
        <f>VLOOKUP("新豐8線",'0920 4度C'!$A:$T,19,0)</f>
        <v>8.3333333333333329E-2</v>
      </c>
      <c r="L16" s="79">
        <f>VLOOKUP("新豐9線",'0920 4度C'!$A:$T,19,0)</f>
        <v>8.3333333333333329E-2</v>
      </c>
      <c r="M16" s="80">
        <f>VLOOKUP("新豐4線",'0920 4度C'!$A:$T,19,0)</f>
        <v>8.3333333333333329E-2</v>
      </c>
    </row>
    <row r="17" spans="2:13" ht="17.25" customHeight="1">
      <c r="B17" s="402"/>
      <c r="C17" s="329" t="s">
        <v>145</v>
      </c>
      <c r="D17" s="78">
        <f>LOOKUP(2,1/(('0920 4度C'!$A:$A="新豐6線")*('0920 4度C'!$T:$T&lt;&gt;"")),'0920 4度C'!$T:$T)</f>
        <v>0.82499999999999996</v>
      </c>
      <c r="E17" s="28">
        <f>LOOKUP(2,1/(('0920 4度C'!$A:$A="新豐2線")*('0920 4度C'!$T:$T&lt;&gt;"")),'0920 4度C'!$T:$T)</f>
        <v>0.37361111111111112</v>
      </c>
      <c r="F17" s="28">
        <f>LOOKUP(2,1/(('0920 4度C'!$A:$A="新豐5線")*('0920 4度C'!$T:$T&lt;&gt;"")),'0920 4度C'!$T:$T)</f>
        <v>0.82569444444444451</v>
      </c>
      <c r="G17" s="28">
        <f>LOOKUP(2,1/(('0920 4度C'!$A:$A="新豐7線")*('0920 4度C'!$T:$T&lt;&gt;"")),'0920 4度C'!$T:$T)</f>
        <v>0.77083333333333337</v>
      </c>
      <c r="H17" s="28">
        <f>LOOKUP(2,1/(('0920 4度C'!$A:$A="新豐3線")*('0920 4度C'!$T:$T&lt;&gt;"")),'0920 4度C'!$T:$T)</f>
        <v>0.41180555555555548</v>
      </c>
      <c r="I17" s="28">
        <f>LOOKUP(2,1/(('0920 4度C'!$A:$A="新豐1線")*('0920 4度C'!$T:$T&lt;&gt;"")),'0920 4度C'!$T:$T)</f>
        <v>0.83541666666666659</v>
      </c>
      <c r="J17" s="77">
        <f>LOOKUP(2,1/(('0920 4度C'!$A:$A="新豐10線")*('0920 4度C'!$T:$T&lt;&gt;"")),'0920 4度C'!$T:$T)</f>
        <v>0.28680555555555559</v>
      </c>
      <c r="K17" s="76">
        <f>LOOKUP(2,1/(('0920 4度C'!$A:$A="新豐8線")*('0920 4度C'!$T:$T&lt;&gt;"")),'0920 4度C'!$T:$T)</f>
        <v>0.5888888888888888</v>
      </c>
      <c r="L17" s="28">
        <f>LOOKUP(2,1/(('0920 4度C'!$A:$A="新豐9線")*('0920 4度C'!$T:$T&lt;&gt;"")),'0920 4度C'!$T:$T)</f>
        <v>0.62777777777777766</v>
      </c>
      <c r="M17" s="77">
        <f>LOOKUP(2,1/(('0920 4度C'!$A:$A="新豐4線")*('0920 4度C'!$T:$T&lt;&gt;"")),'0920 4度C'!$T:$T)</f>
        <v>0.58749999999999991</v>
      </c>
    </row>
    <row r="18" spans="2:13" ht="17.25" customHeight="1">
      <c r="B18" s="383" t="s">
        <v>1408</v>
      </c>
      <c r="C18" s="384"/>
      <c r="D18" s="81">
        <f>SUMIFS('0920 4度C'!$I:$I,'0920 4度C'!$A:$A,"新豐6線",'0920 4度C'!$B:$B,"平均")</f>
        <v>16</v>
      </c>
      <c r="E18" s="82">
        <f>SUMIFS('0920 4度C'!$I:$I,'0920 4度C'!$A:$A,"新豐2線",'0920 4度C'!$B:$B,"平均")</f>
        <v>17</v>
      </c>
      <c r="F18" s="82">
        <f>SUMIFS('0920 4度C'!$I:$I,'0920 4度C'!$A:$A,"新豐5線",'0920 4度C'!$B:$B,"平均")</f>
        <v>19.2</v>
      </c>
      <c r="G18" s="82">
        <f>SUMIFS('0920 4度C'!$I:$I,'0920 4度C'!$A:$A,"新豐7線",'0920 4度C'!$B:$B,"平均")</f>
        <v>17</v>
      </c>
      <c r="H18" s="82">
        <f>SUMIFS('0920 4度C'!$I:$I,'0920 4度C'!$A:$A,"新豐3線",'0920 4度C'!$B:$B,"平均")</f>
        <v>9.6666666666666661</v>
      </c>
      <c r="I18" s="82">
        <f>SUMIFS('0920 4度C'!$I:$I,'0920 4度C'!$A:$A,"新豐1線",'0920 4度C'!$B:$B,"平均")</f>
        <v>16.333333333333332</v>
      </c>
      <c r="J18" s="83">
        <f>SUMIFS('0920 4度C'!$I:$I,'0920 4度C'!$A:$A,"新豐10線",'0920 4度C'!$B:$B,"平均")</f>
        <v>10.25</v>
      </c>
      <c r="K18" s="81">
        <f>SUMIFS('0920 4度C'!$I:$I,'0920 4度C'!$A:$A,"新豐8線",'0920 4度C'!$B:$B,"平均")</f>
        <v>18</v>
      </c>
      <c r="L18" s="82">
        <f>SUMIFS('0920 4度C'!$I:$I,'0920 4度C'!$A:$A,"新豐9線",'0920 4度C'!$B:$B,"平均")</f>
        <v>17.285714285714285</v>
      </c>
      <c r="M18" s="83">
        <f>SUMIFS('0920 4度C'!$I:$I,'0920 4度C'!$A:$A,"新豐4線",'0920 4度C'!$B:$B,"平均")</f>
        <v>17</v>
      </c>
    </row>
    <row r="19" spans="2:13" ht="17.25" customHeight="1">
      <c r="B19" s="383" t="s">
        <v>147</v>
      </c>
      <c r="C19" s="384"/>
      <c r="D19" s="84" t="s">
        <v>148</v>
      </c>
      <c r="E19" s="85" t="s">
        <v>149</v>
      </c>
      <c r="F19" s="85" t="s">
        <v>150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152</v>
      </c>
      <c r="L19" s="85" t="s">
        <v>152</v>
      </c>
      <c r="M19" s="86" t="s">
        <v>152</v>
      </c>
    </row>
    <row r="20" spans="2:13" ht="17.25" customHeight="1">
      <c r="B20" s="383" t="s">
        <v>153</v>
      </c>
      <c r="C20" s="384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155</v>
      </c>
      <c r="C21" s="386"/>
      <c r="D21" s="87"/>
      <c r="E21" s="88" t="s">
        <v>156</v>
      </c>
      <c r="F21" s="387" t="s">
        <v>157</v>
      </c>
      <c r="G21" s="388"/>
      <c r="H21" s="88" t="s">
        <v>158</v>
      </c>
      <c r="I21" s="88" t="s">
        <v>159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1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pageSetUpPr fitToPage="1"/>
  </sheetPr>
  <dimension ref="A1:AC65"/>
  <sheetViews>
    <sheetView topLeftCell="H1" zoomScale="80" zoomScaleNormal="80" workbookViewId="0">
      <pane ySplit="4" topLeftCell="A50" activePane="bottomLeft" state="frozen"/>
      <selection activeCell="C3" sqref="C3:D3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1409</v>
      </c>
      <c r="B1" s="1"/>
      <c r="C1" s="2" t="s">
        <v>1410</v>
      </c>
      <c r="D1" s="3">
        <f>SUM(F5:F64)</f>
        <v>148182</v>
      </c>
      <c r="E1" s="316" t="s">
        <v>1411</v>
      </c>
      <c r="F1" s="1">
        <f>SUM(G5:G64)</f>
        <v>4900519.26</v>
      </c>
      <c r="G1" s="1" t="s">
        <v>1412</v>
      </c>
      <c r="H1" s="38">
        <f>L8+L16+L52+L57+L22+L73+L38+L45+L30+L10+L64</f>
        <v>157.73571428571427</v>
      </c>
      <c r="I1" s="482" t="s">
        <v>1413</v>
      </c>
      <c r="J1" s="482"/>
      <c r="K1" s="482"/>
      <c r="L1" s="482" t="s">
        <v>1414</v>
      </c>
      <c r="M1" s="482"/>
      <c r="N1" s="482"/>
      <c r="O1" s="482" t="s">
        <v>1415</v>
      </c>
      <c r="P1" s="482"/>
      <c r="Q1" s="482"/>
      <c r="R1" s="482"/>
      <c r="S1" s="482" t="s">
        <v>1416</v>
      </c>
      <c r="T1" s="482"/>
      <c r="U1" s="482"/>
      <c r="V1" s="482"/>
      <c r="W1" s="482"/>
      <c r="X1" s="482"/>
      <c r="Y1" s="482" t="s">
        <v>1417</v>
      </c>
      <c r="Z1" s="482"/>
      <c r="AA1" s="482" t="s">
        <v>1418</v>
      </c>
      <c r="AB1" s="483"/>
      <c r="AC1" s="483"/>
    </row>
    <row r="2" spans="1:29" ht="26.25" customHeight="1">
      <c r="A2" s="24">
        <v>45920</v>
      </c>
      <c r="B2" s="25" t="s">
        <v>457</v>
      </c>
      <c r="C2" s="2" t="s">
        <v>1419</v>
      </c>
      <c r="D2" s="6">
        <f>AVERAGE(N8,N10,N45,N52,N16,N57,N22,N30,N38,N64)</f>
        <v>142.11140085963882</v>
      </c>
      <c r="E2" s="7" t="s">
        <v>11</v>
      </c>
      <c r="F2" s="8">
        <f>F1/D1</f>
        <v>33.070948293314977</v>
      </c>
      <c r="G2" s="1" t="s">
        <v>1420</v>
      </c>
      <c r="H2" s="344">
        <f>COUNT(H5:H71)</f>
        <v>3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1421</v>
      </c>
      <c r="B3" s="443" t="s">
        <v>1422</v>
      </c>
      <c r="C3" s="443" t="s">
        <v>1423</v>
      </c>
      <c r="D3" s="443"/>
      <c r="E3" s="484" t="s">
        <v>1424</v>
      </c>
      <c r="F3" s="443" t="s">
        <v>1425</v>
      </c>
      <c r="G3" s="484" t="s">
        <v>1426</v>
      </c>
      <c r="H3" s="476" t="s">
        <v>1427</v>
      </c>
      <c r="I3" s="474" t="s">
        <v>1428</v>
      </c>
      <c r="J3" s="479" t="s">
        <v>1429</v>
      </c>
      <c r="K3" s="481" t="s">
        <v>1430</v>
      </c>
      <c r="L3" s="474" t="s">
        <v>1428</v>
      </c>
      <c r="M3" s="479" t="s">
        <v>1431</v>
      </c>
      <c r="N3" s="481" t="s">
        <v>1430</v>
      </c>
      <c r="O3" s="474" t="s">
        <v>1428</v>
      </c>
      <c r="P3" s="481" t="s">
        <v>1430</v>
      </c>
      <c r="Q3" s="480" t="s">
        <v>1432</v>
      </c>
      <c r="R3" s="451" t="s">
        <v>1433</v>
      </c>
      <c r="S3" s="486" t="s">
        <v>25</v>
      </c>
      <c r="T3" s="486"/>
      <c r="U3" s="476" t="s">
        <v>26</v>
      </c>
      <c r="V3" s="476" t="s">
        <v>1434</v>
      </c>
      <c r="W3" s="443" t="s">
        <v>1435</v>
      </c>
      <c r="X3" s="443"/>
      <c r="Y3" s="477" t="s">
        <v>1436</v>
      </c>
      <c r="Z3" s="478"/>
      <c r="AA3" s="479" t="s">
        <v>1431</v>
      </c>
      <c r="AB3" s="480" t="s">
        <v>1437</v>
      </c>
      <c r="AC3" s="451" t="s">
        <v>1438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26" t="s">
        <v>31</v>
      </c>
      <c r="T4" s="326" t="s">
        <v>32</v>
      </c>
      <c r="U4" s="476"/>
      <c r="V4" s="476"/>
      <c r="W4" s="316" t="s">
        <v>1439</v>
      </c>
      <c r="X4" s="316" t="s">
        <v>1440</v>
      </c>
      <c r="Y4" s="478"/>
      <c r="Z4" s="478"/>
      <c r="AA4" s="479"/>
      <c r="AB4" s="480"/>
      <c r="AC4" s="451"/>
    </row>
    <row r="5" spans="1:29">
      <c r="A5" s="473" t="s">
        <v>1441</v>
      </c>
      <c r="B5" s="31" t="s">
        <v>58</v>
      </c>
      <c r="C5" s="475" t="s">
        <v>104</v>
      </c>
      <c r="D5" s="475"/>
      <c r="E5" s="31">
        <v>46.93</v>
      </c>
      <c r="F5" s="326">
        <v>959</v>
      </c>
      <c r="G5" s="316">
        <f>E5*F5</f>
        <v>45005.87</v>
      </c>
      <c r="H5" s="327" t="s">
        <v>103</v>
      </c>
      <c r="I5" s="324">
        <v>16</v>
      </c>
      <c r="J5" s="26">
        <v>2000</v>
      </c>
      <c r="K5" s="10">
        <f>J5/I5</f>
        <v>125</v>
      </c>
      <c r="L5" s="324">
        <v>16</v>
      </c>
      <c r="M5" s="11">
        <f>F5/V5*60</f>
        <v>1917.9999999999966</v>
      </c>
      <c r="N5" s="10">
        <f>M5/L5</f>
        <v>119.87499999999979</v>
      </c>
      <c r="O5" s="12">
        <f t="shared" ref="O5:O7" si="0">L5-I5</f>
        <v>0</v>
      </c>
      <c r="P5" s="13">
        <f t="shared" ref="P5:P7" si="1">N5-K5</f>
        <v>-5.1250000000002132</v>
      </c>
      <c r="Q5" s="318">
        <f>N5/K5</f>
        <v>0.9589999999999983</v>
      </c>
      <c r="R5" s="442">
        <f>Q8</f>
        <v>0.95379365079365075</v>
      </c>
      <c r="S5" s="28">
        <v>0.70833333333333337</v>
      </c>
      <c r="T5" s="28">
        <v>0.72916666666666674</v>
      </c>
      <c r="U5" s="316"/>
      <c r="V5" s="325">
        <f>(T5-S5)*24*60</f>
        <v>30.000000000000053</v>
      </c>
      <c r="W5" s="16"/>
      <c r="X5" s="17"/>
      <c r="Y5" s="443"/>
      <c r="Z5" s="443"/>
      <c r="AA5" s="12">
        <f t="shared" ref="AA5:AA64" si="2">M5-J5</f>
        <v>-82.000000000003411</v>
      </c>
      <c r="AB5" s="318">
        <f t="shared" ref="AB5:AB7" si="3">M5/J5</f>
        <v>0.9589999999999983</v>
      </c>
      <c r="AC5" s="442">
        <f>AB8</f>
        <v>0.95379365079365075</v>
      </c>
    </row>
    <row r="6" spans="1:29">
      <c r="A6" s="474" t="s">
        <v>1442</v>
      </c>
      <c r="B6" s="31" t="s">
        <v>58</v>
      </c>
      <c r="C6" s="475" t="s">
        <v>105</v>
      </c>
      <c r="D6" s="475"/>
      <c r="E6" s="31">
        <v>50.49</v>
      </c>
      <c r="F6" s="326">
        <v>2000</v>
      </c>
      <c r="G6" s="316">
        <f t="shared" ref="G6:G7" si="4">E6*F6</f>
        <v>100980</v>
      </c>
      <c r="H6" s="327" t="s">
        <v>103</v>
      </c>
      <c r="I6" s="324">
        <v>15</v>
      </c>
      <c r="J6" s="26">
        <v>2000</v>
      </c>
      <c r="K6" s="10">
        <f t="shared" ref="K6:K7" si="5">J6/I6</f>
        <v>133.33333333333334</v>
      </c>
      <c r="L6" s="324">
        <v>15</v>
      </c>
      <c r="M6" s="11">
        <f>F6/V6*60</f>
        <v>1904.7619047619066</v>
      </c>
      <c r="N6" s="10">
        <f t="shared" ref="N6:N7" si="6">M6/L6</f>
        <v>126.98412698412712</v>
      </c>
      <c r="O6" s="12">
        <f t="shared" si="0"/>
        <v>0</v>
      </c>
      <c r="P6" s="13">
        <f t="shared" si="1"/>
        <v>-6.3492063492062272</v>
      </c>
      <c r="Q6" s="318">
        <f t="shared" ref="Q6:Q7" si="7">N6/K6</f>
        <v>0.95238095238095333</v>
      </c>
      <c r="R6" s="442"/>
      <c r="S6" s="28">
        <v>0.73402777777777783</v>
      </c>
      <c r="T6" s="28">
        <v>0.77777777777777779</v>
      </c>
      <c r="U6" s="316">
        <f>(S6-T5)*24*60</f>
        <v>6.9999999999999751</v>
      </c>
      <c r="V6" s="325">
        <f>(T6-S6)*24*60</f>
        <v>62.999999999999936</v>
      </c>
      <c r="W6" s="16"/>
      <c r="X6" s="16"/>
      <c r="Y6" s="443"/>
      <c r="Z6" s="443"/>
      <c r="AA6" s="12">
        <f t="shared" si="2"/>
        <v>-95.238095238093365</v>
      </c>
      <c r="AB6" s="318">
        <f t="shared" si="3"/>
        <v>0.95238095238095333</v>
      </c>
      <c r="AC6" s="442"/>
    </row>
    <row r="7" spans="1:29">
      <c r="A7" s="474" t="s">
        <v>1442</v>
      </c>
      <c r="B7" s="31" t="s">
        <v>58</v>
      </c>
      <c r="C7" s="471" t="s">
        <v>106</v>
      </c>
      <c r="D7" s="472"/>
      <c r="E7" s="31">
        <v>50.67</v>
      </c>
      <c r="F7" s="326">
        <v>1900</v>
      </c>
      <c r="G7" s="316">
        <f t="shared" si="4"/>
        <v>96273</v>
      </c>
      <c r="H7" s="327" t="s">
        <v>103</v>
      </c>
      <c r="I7" s="324">
        <v>17</v>
      </c>
      <c r="J7" s="26">
        <v>2000</v>
      </c>
      <c r="K7" s="10">
        <f t="shared" si="5"/>
        <v>117.64705882352941</v>
      </c>
      <c r="L7" s="324">
        <v>17</v>
      </c>
      <c r="M7" s="11">
        <f t="shared" ref="M7" si="8">F7/V7*60</f>
        <v>1900.0000000000018</v>
      </c>
      <c r="N7" s="10">
        <f t="shared" si="6"/>
        <v>111.76470588235304</v>
      </c>
      <c r="O7" s="12">
        <f t="shared" si="0"/>
        <v>0</v>
      </c>
      <c r="P7" s="13">
        <f t="shared" si="1"/>
        <v>-5.8823529411763644</v>
      </c>
      <c r="Q7" s="318">
        <f t="shared" si="7"/>
        <v>0.95000000000000095</v>
      </c>
      <c r="R7" s="442"/>
      <c r="S7" s="28">
        <v>0.78333333333333333</v>
      </c>
      <c r="T7" s="28">
        <v>0.82499999999999996</v>
      </c>
      <c r="U7" s="316">
        <f t="shared" ref="U7" si="9">(S7-T6)*24*60</f>
        <v>7.9999999999999716</v>
      </c>
      <c r="V7" s="325">
        <f t="shared" ref="V7" si="10">(T7-S7)*24*60</f>
        <v>59.999999999999943</v>
      </c>
      <c r="W7" s="16"/>
      <c r="X7" s="16"/>
      <c r="Y7" s="447"/>
      <c r="Z7" s="448"/>
      <c r="AA7" s="12">
        <f t="shared" si="2"/>
        <v>-99.999999999998181</v>
      </c>
      <c r="AB7" s="318">
        <f t="shared" si="3"/>
        <v>0.95000000000000095</v>
      </c>
      <c r="AC7" s="442"/>
    </row>
    <row r="8" spans="1:29">
      <c r="A8" s="474" t="s">
        <v>1442</v>
      </c>
      <c r="B8" s="31" t="s">
        <v>1443</v>
      </c>
      <c r="C8" s="446"/>
      <c r="D8" s="446"/>
      <c r="E8" s="317"/>
      <c r="F8" s="33"/>
      <c r="G8" s="10"/>
      <c r="H8" s="326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1907.5873015873015</v>
      </c>
      <c r="N8" s="10">
        <f>M8/L8</f>
        <v>119.22420634920634</v>
      </c>
      <c r="O8" s="12">
        <f>L8-I8</f>
        <v>0</v>
      </c>
      <c r="P8" s="13">
        <f>N8-K8</f>
        <v>-5.7757936507936591</v>
      </c>
      <c r="Q8" s="318">
        <f>N8/K8</f>
        <v>0.95379365079365075</v>
      </c>
      <c r="R8" s="442"/>
      <c r="S8" s="28"/>
      <c r="T8" s="28"/>
      <c r="U8" s="316"/>
      <c r="V8" s="325"/>
      <c r="W8" s="10"/>
      <c r="X8" s="10"/>
      <c r="Y8" s="443"/>
      <c r="Z8" s="443"/>
      <c r="AA8" s="12">
        <f t="shared" si="2"/>
        <v>-92.412698412698546</v>
      </c>
      <c r="AB8" s="318">
        <f>M8/J8</f>
        <v>0.95379365079365075</v>
      </c>
      <c r="AC8" s="442"/>
    </row>
    <row r="9" spans="1:29" ht="15.75" customHeight="1">
      <c r="A9" s="439" t="s">
        <v>1444</v>
      </c>
      <c r="B9" s="31" t="s">
        <v>53</v>
      </c>
      <c r="C9" s="471" t="s">
        <v>54</v>
      </c>
      <c r="D9" s="472"/>
      <c r="E9" s="31">
        <v>39.799999999999997</v>
      </c>
      <c r="F9" s="326">
        <v>5638</v>
      </c>
      <c r="G9" s="316">
        <f t="shared" ref="G9" si="11">E9*F9</f>
        <v>224392.4</v>
      </c>
      <c r="H9" s="327" t="s">
        <v>103</v>
      </c>
      <c r="I9" s="324">
        <v>17</v>
      </c>
      <c r="J9" s="26">
        <v>1500</v>
      </c>
      <c r="K9" s="10">
        <f t="shared" ref="K9" si="12">J9/I9</f>
        <v>88.235294117647058</v>
      </c>
      <c r="L9" s="324">
        <v>17</v>
      </c>
      <c r="M9" s="11">
        <f t="shared" ref="M9" si="13">F9/V9*60</f>
        <v>1421.3445378151262</v>
      </c>
      <c r="N9" s="10">
        <f t="shared" ref="N9" si="14">M9/L9</f>
        <v>83.608502224419183</v>
      </c>
      <c r="O9" s="12">
        <f t="shared" ref="O9" si="15">L9-I9</f>
        <v>0</v>
      </c>
      <c r="P9" s="13">
        <f>N9-K9</f>
        <v>-4.6267918932278747</v>
      </c>
      <c r="Q9" s="318">
        <f>N9/K9</f>
        <v>0.94756302521008406</v>
      </c>
      <c r="R9" s="442">
        <f>Q10</f>
        <v>0.94756302521008406</v>
      </c>
      <c r="S9" s="28">
        <v>0.20833333333333334</v>
      </c>
      <c r="T9" s="28">
        <v>0.37361111111111112</v>
      </c>
      <c r="U9" s="316"/>
      <c r="V9" s="325">
        <f t="shared" ref="V9" si="16">(T9-S9)*24*60</f>
        <v>238</v>
      </c>
      <c r="W9" s="16"/>
      <c r="X9" s="16"/>
      <c r="Y9" s="443"/>
      <c r="Z9" s="443"/>
      <c r="AA9" s="12">
        <f t="shared" si="2"/>
        <v>-78.655462184873841</v>
      </c>
      <c r="AB9" s="318">
        <f>M9/J9</f>
        <v>0.94756302521008406</v>
      </c>
      <c r="AC9" s="442">
        <f>AB10</f>
        <v>0.94756302521008406</v>
      </c>
    </row>
    <row r="10" spans="1:29" ht="16.5" customHeight="1">
      <c r="A10" s="439" t="s">
        <v>1444</v>
      </c>
      <c r="B10" s="31" t="s">
        <v>1445</v>
      </c>
      <c r="C10" s="446"/>
      <c r="D10" s="446"/>
      <c r="E10" s="317"/>
      <c r="F10" s="26"/>
      <c r="G10" s="11"/>
      <c r="H10" s="326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1421.3445378151262</v>
      </c>
      <c r="N10" s="10">
        <f>M10/L10</f>
        <v>83.608502224419183</v>
      </c>
      <c r="O10" s="12">
        <f>L10-I10</f>
        <v>0</v>
      </c>
      <c r="P10" s="13">
        <f>N10-K10</f>
        <v>-4.6267918932278747</v>
      </c>
      <c r="Q10" s="318">
        <f>N10/K10</f>
        <v>0.94756302521008406</v>
      </c>
      <c r="R10" s="442"/>
      <c r="S10" s="28"/>
      <c r="T10" s="28"/>
      <c r="U10" s="10"/>
      <c r="V10" s="325"/>
      <c r="W10" s="10"/>
      <c r="X10" s="10"/>
      <c r="Y10" s="443"/>
      <c r="Z10" s="443"/>
      <c r="AA10" s="12">
        <f t="shared" si="2"/>
        <v>-78.655462184873841</v>
      </c>
      <c r="AB10" s="318">
        <f t="shared" ref="AB10:AB22" si="17">M10/J10</f>
        <v>0.94756302521008406</v>
      </c>
      <c r="AC10" s="442"/>
    </row>
    <row r="11" spans="1:29" ht="16.5" customHeight="1">
      <c r="A11" s="469" t="s">
        <v>1446</v>
      </c>
      <c r="B11" s="326" t="s">
        <v>56</v>
      </c>
      <c r="C11" s="464" t="s">
        <v>57</v>
      </c>
      <c r="D11" s="464"/>
      <c r="E11" s="31">
        <v>41</v>
      </c>
      <c r="F11" s="326">
        <v>1851</v>
      </c>
      <c r="G11" s="316">
        <f t="shared" ref="G11:G15" si="18">E11*F11</f>
        <v>75891</v>
      </c>
      <c r="H11" s="327" t="s">
        <v>103</v>
      </c>
      <c r="I11" s="324">
        <v>26</v>
      </c>
      <c r="J11" s="26">
        <v>1500</v>
      </c>
      <c r="K11" s="10">
        <f>J11/I11</f>
        <v>57.692307692307693</v>
      </c>
      <c r="L11" s="324">
        <v>26</v>
      </c>
      <c r="M11" s="11">
        <f>F11/V11*60</f>
        <v>1423.8461538461536</v>
      </c>
      <c r="N11" s="10">
        <f t="shared" ref="N11:N21" si="19">M11/L11</f>
        <v>54.763313609467446</v>
      </c>
      <c r="O11" s="12">
        <f t="shared" ref="O11" si="20">L11-I11</f>
        <v>0</v>
      </c>
      <c r="P11" s="13">
        <f t="shared" ref="P11" si="21">N11-K11</f>
        <v>-2.9289940828402479</v>
      </c>
      <c r="Q11" s="318">
        <f>N11/K11</f>
        <v>0.94923076923076899</v>
      </c>
      <c r="R11" s="442">
        <f>Q16</f>
        <v>0.94882523821943576</v>
      </c>
      <c r="S11" s="28">
        <v>8.3333333333333329E-2</v>
      </c>
      <c r="T11" s="28">
        <v>0.13750000000000001</v>
      </c>
      <c r="U11" s="316"/>
      <c r="V11" s="325">
        <f>(T11-S11)*24*60</f>
        <v>78.000000000000014</v>
      </c>
      <c r="W11" s="18"/>
      <c r="X11" s="18"/>
      <c r="Y11" s="443"/>
      <c r="Z11" s="443"/>
      <c r="AA11" s="12">
        <f t="shared" si="2"/>
        <v>-76.153846153846416</v>
      </c>
      <c r="AB11" s="318">
        <f t="shared" si="17"/>
        <v>0.9492307692307691</v>
      </c>
      <c r="AC11" s="442">
        <f>AB16</f>
        <v>0.94882523821943576</v>
      </c>
    </row>
    <row r="12" spans="1:29" ht="16.5" customHeight="1">
      <c r="A12" s="470" t="s">
        <v>1447</v>
      </c>
      <c r="B12" s="326" t="s">
        <v>53</v>
      </c>
      <c r="C12" s="464" t="s">
        <v>107</v>
      </c>
      <c r="D12" s="464"/>
      <c r="E12" s="31">
        <v>39.619999999999997</v>
      </c>
      <c r="F12" s="326">
        <v>4058</v>
      </c>
      <c r="G12" s="316">
        <f t="shared" si="18"/>
        <v>160777.96</v>
      </c>
      <c r="H12" s="327" t="s">
        <v>103</v>
      </c>
      <c r="I12" s="324">
        <v>19</v>
      </c>
      <c r="J12" s="26">
        <v>1500</v>
      </c>
      <c r="K12" s="10">
        <f>J12/I12</f>
        <v>78.94736842105263</v>
      </c>
      <c r="L12" s="324">
        <v>19</v>
      </c>
      <c r="M12" s="11">
        <f>F12/V12*60</f>
        <v>1423.8596491228068</v>
      </c>
      <c r="N12" s="10">
        <f t="shared" si="19"/>
        <v>74.939981532779299</v>
      </c>
      <c r="O12" s="12">
        <f>L12-I12</f>
        <v>0</v>
      </c>
      <c r="P12" s="13">
        <f>N12-K12</f>
        <v>-4.0073868882733308</v>
      </c>
      <c r="Q12" s="318">
        <f>N12/K12</f>
        <v>0.94923976608187111</v>
      </c>
      <c r="R12" s="442"/>
      <c r="S12" s="28">
        <v>0.15694444444444444</v>
      </c>
      <c r="T12" s="28">
        <v>0.27569444444444446</v>
      </c>
      <c r="U12" s="316">
        <f>IF(S12=TIME(17,0,0),"",(S12-T11)*24*60)</f>
        <v>27.999999999999979</v>
      </c>
      <c r="V12" s="325">
        <f>(T12-S12)*24*60</f>
        <v>171.00000000000003</v>
      </c>
      <c r="W12" s="16"/>
      <c r="X12" s="16"/>
      <c r="Y12" s="443"/>
      <c r="Z12" s="443"/>
      <c r="AA12" s="12">
        <f t="shared" si="2"/>
        <v>-76.140350877193214</v>
      </c>
      <c r="AB12" s="318">
        <f t="shared" si="17"/>
        <v>0.94923976608187122</v>
      </c>
      <c r="AC12" s="442"/>
    </row>
    <row r="13" spans="1:29" ht="16.5" customHeight="1">
      <c r="A13" s="470" t="s">
        <v>1447</v>
      </c>
      <c r="B13" s="326" t="s">
        <v>53</v>
      </c>
      <c r="C13" s="464" t="s">
        <v>163</v>
      </c>
      <c r="D13" s="464"/>
      <c r="E13" s="31">
        <v>39.36</v>
      </c>
      <c r="F13" s="326">
        <v>3611</v>
      </c>
      <c r="G13" s="316">
        <f t="shared" si="18"/>
        <v>142128.95999999999</v>
      </c>
      <c r="H13" s="327" t="s">
        <v>103</v>
      </c>
      <c r="I13" s="324">
        <v>20</v>
      </c>
      <c r="J13" s="26">
        <v>1500</v>
      </c>
      <c r="K13" s="10">
        <f t="shared" ref="K13:K15" si="22">J13/I13</f>
        <v>75</v>
      </c>
      <c r="L13" s="324">
        <v>20</v>
      </c>
      <c r="M13" s="11">
        <f t="shared" ref="M13:M15" si="23">F13/V13*60</f>
        <v>1425.394736842105</v>
      </c>
      <c r="N13" s="10">
        <f t="shared" si="19"/>
        <v>71.269736842105246</v>
      </c>
      <c r="O13" s="12">
        <f t="shared" ref="O13:O15" si="24">L13-I13</f>
        <v>0</v>
      </c>
      <c r="P13" s="13">
        <f t="shared" ref="P13:P15" si="25">N13-K13</f>
        <v>-3.730263157894754</v>
      </c>
      <c r="Q13" s="318">
        <f t="shared" ref="Q13:Q21" si="26">N13/K13</f>
        <v>0.95026315789473659</v>
      </c>
      <c r="R13" s="442"/>
      <c r="S13" s="28">
        <v>0.27986111111111112</v>
      </c>
      <c r="T13" s="28">
        <v>0.38541666666666669</v>
      </c>
      <c r="U13" s="316">
        <f t="shared" ref="U13:U15" si="27">IF(S13=TIME(17,0,0),"",(S13-T12)*24*60)</f>
        <v>5.9999999999999787</v>
      </c>
      <c r="V13" s="325">
        <f t="shared" ref="V13:V15" si="28">(T13-S13)*24*60</f>
        <v>152.00000000000003</v>
      </c>
      <c r="W13" s="16"/>
      <c r="X13" s="16"/>
      <c r="Y13" s="443"/>
      <c r="Z13" s="443"/>
      <c r="AA13" s="12">
        <f t="shared" si="2"/>
        <v>-74.605263157895024</v>
      </c>
      <c r="AB13" s="318">
        <f t="shared" si="17"/>
        <v>0.9502631578947367</v>
      </c>
      <c r="AC13" s="442"/>
    </row>
    <row r="14" spans="1:29" ht="16.5" customHeight="1">
      <c r="A14" s="470" t="s">
        <v>1447</v>
      </c>
      <c r="B14" s="326" t="s">
        <v>58</v>
      </c>
      <c r="C14" s="464" t="s">
        <v>59</v>
      </c>
      <c r="D14" s="464"/>
      <c r="E14" s="31">
        <v>50.98</v>
      </c>
      <c r="F14" s="326">
        <v>2498</v>
      </c>
      <c r="G14" s="316">
        <f t="shared" si="18"/>
        <v>127348.04</v>
      </c>
      <c r="H14" s="327" t="s">
        <v>103</v>
      </c>
      <c r="I14" s="324">
        <v>16</v>
      </c>
      <c r="J14" s="26">
        <v>2000</v>
      </c>
      <c r="K14" s="10">
        <f t="shared" si="22"/>
        <v>125</v>
      </c>
      <c r="L14" s="324">
        <v>16</v>
      </c>
      <c r="M14" s="11">
        <f t="shared" si="23"/>
        <v>1897.2151898734166</v>
      </c>
      <c r="N14" s="10">
        <f t="shared" si="19"/>
        <v>118.57594936708854</v>
      </c>
      <c r="O14" s="12">
        <f t="shared" si="24"/>
        <v>0</v>
      </c>
      <c r="P14" s="13">
        <f t="shared" si="25"/>
        <v>-6.4240506329114595</v>
      </c>
      <c r="Q14" s="318">
        <f t="shared" si="26"/>
        <v>0.94860759493670832</v>
      </c>
      <c r="R14" s="442"/>
      <c r="S14" s="28">
        <v>0.70833333333333337</v>
      </c>
      <c r="T14" s="28">
        <v>0.76319444444444451</v>
      </c>
      <c r="U14" s="316" t="str">
        <f t="shared" si="27"/>
        <v/>
      </c>
      <c r="V14" s="325">
        <f t="shared" si="28"/>
        <v>79.000000000000043</v>
      </c>
      <c r="W14" s="16"/>
      <c r="X14" s="16"/>
      <c r="Y14" s="443"/>
      <c r="Z14" s="443"/>
      <c r="AA14" s="12">
        <f t="shared" si="2"/>
        <v>-102.78481012658335</v>
      </c>
      <c r="AB14" s="318">
        <f t="shared" si="17"/>
        <v>0.94860759493670832</v>
      </c>
      <c r="AC14" s="442"/>
    </row>
    <row r="15" spans="1:29" ht="16.5" customHeight="1">
      <c r="A15" s="470" t="s">
        <v>1447</v>
      </c>
      <c r="B15" s="326" t="s">
        <v>58</v>
      </c>
      <c r="C15" s="464" t="s">
        <v>60</v>
      </c>
      <c r="D15" s="464"/>
      <c r="E15" s="31">
        <v>50.92</v>
      </c>
      <c r="F15" s="326">
        <v>2621</v>
      </c>
      <c r="G15" s="316">
        <f t="shared" si="18"/>
        <v>133461.32</v>
      </c>
      <c r="H15" s="327" t="s">
        <v>103</v>
      </c>
      <c r="I15" s="324">
        <v>15</v>
      </c>
      <c r="J15" s="26">
        <v>2000</v>
      </c>
      <c r="K15" s="10">
        <f t="shared" si="22"/>
        <v>133.33333333333334</v>
      </c>
      <c r="L15" s="324">
        <v>15</v>
      </c>
      <c r="M15" s="11">
        <f t="shared" si="23"/>
        <v>1894.6987951807223</v>
      </c>
      <c r="N15" s="10">
        <f t="shared" si="19"/>
        <v>126.31325301204815</v>
      </c>
      <c r="O15" s="12">
        <f t="shared" si="24"/>
        <v>0</v>
      </c>
      <c r="P15" s="13">
        <f t="shared" si="25"/>
        <v>-7.0200803212851923</v>
      </c>
      <c r="Q15" s="318">
        <f t="shared" si="26"/>
        <v>0.94734939759036108</v>
      </c>
      <c r="R15" s="442"/>
      <c r="S15" s="28">
        <v>0.7680555555555556</v>
      </c>
      <c r="T15" s="28">
        <v>0.82569444444444451</v>
      </c>
      <c r="U15" s="316">
        <f t="shared" si="27"/>
        <v>6.9999999999999751</v>
      </c>
      <c r="V15" s="325">
        <f t="shared" si="28"/>
        <v>83.000000000000028</v>
      </c>
      <c r="W15" s="16"/>
      <c r="X15" s="16"/>
      <c r="Y15" s="443"/>
      <c r="Z15" s="443"/>
      <c r="AA15" s="12">
        <f t="shared" si="2"/>
        <v>-105.3012048192777</v>
      </c>
      <c r="AB15" s="318">
        <f t="shared" si="17"/>
        <v>0.94734939759036119</v>
      </c>
      <c r="AC15" s="442"/>
    </row>
    <row r="16" spans="1:29" ht="16.5" customHeight="1">
      <c r="A16" s="470" t="s">
        <v>1447</v>
      </c>
      <c r="B16" s="31" t="s">
        <v>1443</v>
      </c>
      <c r="C16" s="446"/>
      <c r="D16" s="446"/>
      <c r="E16" s="317"/>
      <c r="F16" s="33"/>
      <c r="G16" s="10"/>
      <c r="H16" s="326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1613.0029049730408</v>
      </c>
      <c r="N16" s="10">
        <f t="shared" si="19"/>
        <v>84.010567967345878</v>
      </c>
      <c r="O16" s="12">
        <f>L16-I16</f>
        <v>0</v>
      </c>
      <c r="P16" s="13">
        <f>N16-K16</f>
        <v>-4.5310986993207933</v>
      </c>
      <c r="Q16" s="318">
        <f t="shared" si="26"/>
        <v>0.94882523821943576</v>
      </c>
      <c r="R16" s="442"/>
      <c r="S16" s="28"/>
      <c r="T16" s="28"/>
      <c r="U16" s="316"/>
      <c r="V16" s="325"/>
      <c r="W16" s="10"/>
      <c r="X16" s="10"/>
      <c r="Y16" s="443"/>
      <c r="Z16" s="443"/>
      <c r="AA16" s="12">
        <f t="shared" si="2"/>
        <v>-86.997095026959187</v>
      </c>
      <c r="AB16" s="318">
        <f t="shared" si="17"/>
        <v>0.94882523821943576</v>
      </c>
      <c r="AC16" s="442"/>
    </row>
    <row r="17" spans="1:29" ht="15.75" customHeight="1">
      <c r="A17" s="467" t="s">
        <v>1448</v>
      </c>
      <c r="B17" s="31" t="s">
        <v>56</v>
      </c>
      <c r="C17" s="464" t="s">
        <v>61</v>
      </c>
      <c r="D17" s="464"/>
      <c r="E17" s="31">
        <v>43.14</v>
      </c>
      <c r="F17" s="326">
        <v>1051</v>
      </c>
      <c r="G17" s="316">
        <f t="shared" ref="G17:G21" si="29">E17*F17</f>
        <v>45340.14</v>
      </c>
      <c r="H17" s="327" t="s">
        <v>103</v>
      </c>
      <c r="I17" s="324">
        <v>17</v>
      </c>
      <c r="J17" s="26">
        <v>2000</v>
      </c>
      <c r="K17" s="10">
        <f t="shared" ref="K17:K22" si="30">J17/I17</f>
        <v>117.64705882352941</v>
      </c>
      <c r="L17" s="324">
        <v>17</v>
      </c>
      <c r="M17" s="11">
        <f t="shared" ref="M17:M21" si="31">F17/V17*60</f>
        <v>1910.9090909090908</v>
      </c>
      <c r="N17" s="10">
        <f t="shared" si="19"/>
        <v>112.40641711229945</v>
      </c>
      <c r="O17" s="12">
        <f t="shared" ref="O17:O21" si="32">L17-I17</f>
        <v>0</v>
      </c>
      <c r="P17" s="13">
        <f t="shared" ref="P17:P21" si="33">N17-K17</f>
        <v>-5.240641711229955</v>
      </c>
      <c r="Q17" s="318">
        <f t="shared" si="26"/>
        <v>0.95545454545454533</v>
      </c>
      <c r="R17" s="442">
        <f>Q22</f>
        <v>0.95417679695925972</v>
      </c>
      <c r="S17" s="28">
        <v>0.20833333333333334</v>
      </c>
      <c r="T17" s="28">
        <v>0.23125000000000001</v>
      </c>
      <c r="U17" s="316"/>
      <c r="V17" s="325">
        <f>(T17-S17)*24*60</f>
        <v>33</v>
      </c>
      <c r="W17" s="18"/>
      <c r="X17" s="18"/>
      <c r="Y17" s="443"/>
      <c r="Z17" s="443"/>
      <c r="AA17" s="12">
        <f t="shared" si="2"/>
        <v>-89.090909090909236</v>
      </c>
      <c r="AB17" s="318">
        <f t="shared" si="17"/>
        <v>0.95545454545454533</v>
      </c>
      <c r="AC17" s="442">
        <f>AB22</f>
        <v>0.95417679695925961</v>
      </c>
    </row>
    <row r="18" spans="1:29" ht="15.75" customHeight="1">
      <c r="A18" s="468" t="s">
        <v>1449</v>
      </c>
      <c r="B18" s="31" t="s">
        <v>58</v>
      </c>
      <c r="C18" s="464" t="s">
        <v>62</v>
      </c>
      <c r="D18" s="464"/>
      <c r="E18" s="31">
        <v>57.73</v>
      </c>
      <c r="F18" s="326">
        <v>2134</v>
      </c>
      <c r="G18" s="316">
        <f t="shared" si="29"/>
        <v>123195.81999999999</v>
      </c>
      <c r="H18" s="327" t="s">
        <v>103</v>
      </c>
      <c r="I18" s="324">
        <v>15</v>
      </c>
      <c r="J18" s="26">
        <v>2000</v>
      </c>
      <c r="K18" s="10">
        <f t="shared" si="30"/>
        <v>133.33333333333334</v>
      </c>
      <c r="L18" s="324">
        <v>15</v>
      </c>
      <c r="M18" s="11">
        <f t="shared" si="31"/>
        <v>1911.0447761194041</v>
      </c>
      <c r="N18" s="10">
        <f t="shared" si="19"/>
        <v>127.40298507462694</v>
      </c>
      <c r="O18" s="12">
        <f t="shared" si="32"/>
        <v>0</v>
      </c>
      <c r="P18" s="13">
        <f t="shared" si="33"/>
        <v>-5.9303482587064025</v>
      </c>
      <c r="Q18" s="318">
        <f t="shared" si="26"/>
        <v>0.95552238805970202</v>
      </c>
      <c r="R18" s="442"/>
      <c r="S18" s="28">
        <v>0.23611111111111113</v>
      </c>
      <c r="T18" s="28">
        <v>0.28263888888888888</v>
      </c>
      <c r="U18" s="316">
        <f>IF(S18=TIME(17,0,0),"",(S18-T17)*24*60)</f>
        <v>7.0000000000000151</v>
      </c>
      <c r="V18" s="325">
        <f t="shared" ref="V18:V21" si="34">(T18-S18)*24*60</f>
        <v>66.999999999999957</v>
      </c>
      <c r="W18" s="16"/>
      <c r="X18" s="316"/>
      <c r="Y18" s="443"/>
      <c r="Z18" s="443"/>
      <c r="AA18" s="12">
        <f t="shared" si="2"/>
        <v>-88.955223880595895</v>
      </c>
      <c r="AB18" s="318">
        <f t="shared" si="17"/>
        <v>0.95552238805970202</v>
      </c>
      <c r="AC18" s="442"/>
    </row>
    <row r="19" spans="1:29" ht="15.75" customHeight="1">
      <c r="A19" s="468" t="s">
        <v>1449</v>
      </c>
      <c r="B19" s="31" t="s">
        <v>58</v>
      </c>
      <c r="C19" s="464" t="s">
        <v>63</v>
      </c>
      <c r="D19" s="464"/>
      <c r="E19" s="31">
        <v>53.68</v>
      </c>
      <c r="F19" s="326">
        <v>1537</v>
      </c>
      <c r="G19" s="316">
        <f t="shared" si="29"/>
        <v>82506.16</v>
      </c>
      <c r="H19" s="327" t="s">
        <v>103</v>
      </c>
      <c r="I19" s="324">
        <v>16</v>
      </c>
      <c r="J19" s="26">
        <v>2000</v>
      </c>
      <c r="K19" s="10">
        <f t="shared" si="30"/>
        <v>125</v>
      </c>
      <c r="L19" s="324">
        <v>16</v>
      </c>
      <c r="M19" s="11">
        <f t="shared" si="31"/>
        <v>1921.2500000000005</v>
      </c>
      <c r="N19" s="10">
        <f t="shared" si="19"/>
        <v>120.07812500000003</v>
      </c>
      <c r="O19" s="12">
        <f t="shared" si="32"/>
        <v>0</v>
      </c>
      <c r="P19" s="13">
        <f t="shared" si="33"/>
        <v>-4.9218749999999716</v>
      </c>
      <c r="Q19" s="318">
        <f t="shared" si="26"/>
        <v>0.96062500000000017</v>
      </c>
      <c r="R19" s="442"/>
      <c r="S19" s="28">
        <v>0.28611111111111109</v>
      </c>
      <c r="T19" s="28">
        <v>0.31944444444444442</v>
      </c>
      <c r="U19" s="316">
        <f t="shared" ref="U19:U21" si="35">IF(S19=TIME(17,0,0),"",(S19-T18)*24*60)</f>
        <v>4.9999999999999822</v>
      </c>
      <c r="V19" s="325">
        <f t="shared" si="34"/>
        <v>47.999999999999986</v>
      </c>
      <c r="W19" s="16"/>
      <c r="X19" s="316"/>
      <c r="Y19" s="443"/>
      <c r="Z19" s="443"/>
      <c r="AA19" s="12">
        <f t="shared" si="2"/>
        <v>-78.749999999999545</v>
      </c>
      <c r="AB19" s="318">
        <f t="shared" si="17"/>
        <v>0.96062500000000017</v>
      </c>
      <c r="AC19" s="442"/>
    </row>
    <row r="20" spans="1:29" ht="15.75" customHeight="1">
      <c r="A20" s="468" t="s">
        <v>1449</v>
      </c>
      <c r="B20" s="31" t="s">
        <v>58</v>
      </c>
      <c r="C20" s="464" t="s">
        <v>1170</v>
      </c>
      <c r="D20" s="464"/>
      <c r="E20" s="31">
        <v>53.27</v>
      </c>
      <c r="F20" s="326">
        <v>2051</v>
      </c>
      <c r="G20" s="316">
        <f t="shared" si="29"/>
        <v>109256.77</v>
      </c>
      <c r="H20" s="327" t="s">
        <v>103</v>
      </c>
      <c r="I20" s="324">
        <v>17</v>
      </c>
      <c r="J20" s="26">
        <v>2000</v>
      </c>
      <c r="K20" s="10">
        <f t="shared" si="30"/>
        <v>117.64705882352941</v>
      </c>
      <c r="L20" s="324">
        <v>17</v>
      </c>
      <c r="M20" s="11">
        <f t="shared" si="31"/>
        <v>1893.2307692307688</v>
      </c>
      <c r="N20" s="10">
        <f t="shared" si="19"/>
        <v>111.36651583710405</v>
      </c>
      <c r="O20" s="12">
        <f t="shared" si="32"/>
        <v>0</v>
      </c>
      <c r="P20" s="13">
        <f t="shared" si="33"/>
        <v>-6.2805429864253597</v>
      </c>
      <c r="Q20" s="318">
        <f t="shared" si="26"/>
        <v>0.94661538461538441</v>
      </c>
      <c r="R20" s="442"/>
      <c r="S20" s="28">
        <v>0.32291666666666663</v>
      </c>
      <c r="T20" s="28">
        <v>0.36805555555555552</v>
      </c>
      <c r="U20" s="316">
        <f t="shared" si="35"/>
        <v>4.9999999999999822</v>
      </c>
      <c r="V20" s="325">
        <f t="shared" si="34"/>
        <v>65.000000000000014</v>
      </c>
      <c r="W20" s="16"/>
      <c r="X20" s="316"/>
      <c r="Y20" s="443"/>
      <c r="Z20" s="443"/>
      <c r="AA20" s="12">
        <f t="shared" si="2"/>
        <v>-106.76923076923117</v>
      </c>
      <c r="AB20" s="318">
        <f t="shared" si="17"/>
        <v>0.94661538461538441</v>
      </c>
      <c r="AC20" s="442"/>
    </row>
    <row r="21" spans="1:29" ht="15.75" customHeight="1">
      <c r="A21" s="468" t="s">
        <v>1449</v>
      </c>
      <c r="B21" s="31" t="s">
        <v>58</v>
      </c>
      <c r="C21" s="464" t="s">
        <v>65</v>
      </c>
      <c r="D21" s="464"/>
      <c r="E21" s="31">
        <v>54.09</v>
      </c>
      <c r="F21" s="326">
        <v>2858</v>
      </c>
      <c r="G21" s="316">
        <f t="shared" si="29"/>
        <v>154589.22</v>
      </c>
      <c r="H21" s="327" t="s">
        <v>103</v>
      </c>
      <c r="I21" s="324">
        <v>19</v>
      </c>
      <c r="J21" s="26">
        <v>2000</v>
      </c>
      <c r="K21" s="10">
        <f t="shared" si="30"/>
        <v>105.26315789473684</v>
      </c>
      <c r="L21" s="324">
        <v>19</v>
      </c>
      <c r="M21" s="11">
        <f t="shared" si="31"/>
        <v>1905.3333333333335</v>
      </c>
      <c r="N21" s="10">
        <f t="shared" si="19"/>
        <v>100.28070175438597</v>
      </c>
      <c r="O21" s="12">
        <f t="shared" si="32"/>
        <v>0</v>
      </c>
      <c r="P21" s="13">
        <f t="shared" si="33"/>
        <v>-4.9824561403508625</v>
      </c>
      <c r="Q21" s="318">
        <f t="shared" si="26"/>
        <v>0.95266666666666677</v>
      </c>
      <c r="R21" s="442"/>
      <c r="S21" s="28">
        <v>0.70833333333333337</v>
      </c>
      <c r="T21" s="28">
        <v>0.77083333333333337</v>
      </c>
      <c r="U21" s="316" t="str">
        <f t="shared" si="35"/>
        <v/>
      </c>
      <c r="V21" s="325">
        <f t="shared" si="34"/>
        <v>90</v>
      </c>
      <c r="W21" s="16"/>
      <c r="X21" s="316"/>
      <c r="Y21" s="443"/>
      <c r="Z21" s="443"/>
      <c r="AA21" s="12">
        <f t="shared" si="2"/>
        <v>-94.666666666666515</v>
      </c>
      <c r="AB21" s="318">
        <f t="shared" si="17"/>
        <v>0.95266666666666677</v>
      </c>
      <c r="AC21" s="442"/>
    </row>
    <row r="22" spans="1:29" ht="15.75" customHeight="1">
      <c r="A22" s="468" t="s">
        <v>1449</v>
      </c>
      <c r="B22" s="31" t="s">
        <v>1445</v>
      </c>
      <c r="C22" s="446"/>
      <c r="D22" s="446"/>
      <c r="E22" s="317"/>
      <c r="F22" s="326"/>
      <c r="G22" s="316"/>
      <c r="H22" s="326"/>
      <c r="I22" s="19">
        <v>17</v>
      </c>
      <c r="J22" s="26">
        <v>2000</v>
      </c>
      <c r="K22" s="10">
        <f t="shared" si="30"/>
        <v>117.64705882352941</v>
      </c>
      <c r="L22" s="19">
        <v>17</v>
      </c>
      <c r="M22" s="11">
        <f>AVERAGE(M17:M21)</f>
        <v>1908.3535939185192</v>
      </c>
      <c r="N22" s="10">
        <f>M22/L22</f>
        <v>112.2560937599129</v>
      </c>
      <c r="O22" s="12">
        <f>L22-I22</f>
        <v>0</v>
      </c>
      <c r="P22" s="13">
        <f>N22-K22</f>
        <v>-5.3909650636165054</v>
      </c>
      <c r="Q22" s="318">
        <f>N22/K22</f>
        <v>0.95417679695925972</v>
      </c>
      <c r="R22" s="442"/>
      <c r="S22" s="28"/>
      <c r="T22" s="28"/>
      <c r="U22" s="10"/>
      <c r="V22" s="325"/>
      <c r="W22" s="10"/>
      <c r="X22" s="10"/>
      <c r="Y22" s="443"/>
      <c r="Z22" s="443"/>
      <c r="AA22" s="12">
        <f t="shared" si="2"/>
        <v>-91.646406081480791</v>
      </c>
      <c r="AB22" s="318">
        <f t="shared" si="17"/>
        <v>0.95417679695925961</v>
      </c>
      <c r="AC22" s="442"/>
    </row>
    <row r="23" spans="1:29" ht="15.75" customHeight="1">
      <c r="A23" s="463" t="s">
        <v>1450</v>
      </c>
      <c r="B23" s="31" t="s">
        <v>67</v>
      </c>
      <c r="C23" s="464" t="s">
        <v>68</v>
      </c>
      <c r="D23" s="464"/>
      <c r="E23" s="31">
        <v>26.2</v>
      </c>
      <c r="F23" s="326">
        <v>3454</v>
      </c>
      <c r="G23" s="316">
        <f t="shared" ref="G23:G29" si="36">E23*F23</f>
        <v>90494.8</v>
      </c>
      <c r="H23" s="327" t="s">
        <v>103</v>
      </c>
      <c r="I23" s="324">
        <v>20</v>
      </c>
      <c r="J23" s="26">
        <v>2400</v>
      </c>
      <c r="K23" s="10">
        <f>J23/I23</f>
        <v>120</v>
      </c>
      <c r="L23" s="324">
        <v>20</v>
      </c>
      <c r="M23" s="11">
        <f t="shared" ref="M23:M29" si="37">F23/V23*60</f>
        <v>2277.3626373626385</v>
      </c>
      <c r="N23" s="10">
        <f t="shared" ref="N23:N29" si="38">M23/L23</f>
        <v>113.86813186813193</v>
      </c>
      <c r="O23" s="12">
        <f t="shared" ref="O23:O29" si="39">L23-I23</f>
        <v>0</v>
      </c>
      <c r="P23" s="13">
        <f t="shared" ref="P23:P29" si="40">N23-K23</f>
        <v>-6.1318681318680746</v>
      </c>
      <c r="Q23" s="318">
        <f t="shared" ref="Q23:Q28" si="41">N23/K23</f>
        <v>0.94890109890109942</v>
      </c>
      <c r="R23" s="442">
        <f>Q30</f>
        <v>0.9515301764625157</v>
      </c>
      <c r="S23" s="28">
        <v>8.3333333333333329E-2</v>
      </c>
      <c r="T23" s="28">
        <v>0.14652777777777776</v>
      </c>
      <c r="U23" s="316"/>
      <c r="V23" s="325">
        <f t="shared" ref="V23:V29" si="42">(T23-S23)*24*60</f>
        <v>90.999999999999972</v>
      </c>
      <c r="W23" s="16">
        <f>T23</f>
        <v>0.14652777777777776</v>
      </c>
      <c r="X23" s="16">
        <f>S24</f>
        <v>0.16597222222222222</v>
      </c>
      <c r="Y23" s="443"/>
      <c r="Z23" s="443"/>
      <c r="AA23" s="12">
        <f t="shared" si="2"/>
        <v>-122.63736263736155</v>
      </c>
      <c r="AB23" s="318">
        <f>M23/J23</f>
        <v>0.9489010989010993</v>
      </c>
      <c r="AC23" s="442">
        <f>AB30</f>
        <v>0.9515301764625157</v>
      </c>
    </row>
    <row r="24" spans="1:29" ht="15.75" customHeight="1">
      <c r="A24" s="463" t="s">
        <v>1451</v>
      </c>
      <c r="B24" s="31" t="s">
        <v>67</v>
      </c>
      <c r="C24" s="464" t="s">
        <v>69</v>
      </c>
      <c r="D24" s="464"/>
      <c r="E24" s="31">
        <v>31.29</v>
      </c>
      <c r="F24" s="326">
        <v>4000</v>
      </c>
      <c r="G24" s="316">
        <f t="shared" si="36"/>
        <v>125160</v>
      </c>
      <c r="H24" s="327">
        <v>2</v>
      </c>
      <c r="I24" s="324">
        <v>18</v>
      </c>
      <c r="J24" s="26">
        <v>2400</v>
      </c>
      <c r="K24" s="10">
        <f t="shared" ref="K24:K30" si="43">J24/I24</f>
        <v>133.33333333333334</v>
      </c>
      <c r="L24" s="324">
        <v>18</v>
      </c>
      <c r="M24" s="11">
        <f t="shared" si="37"/>
        <v>2285.7142857142862</v>
      </c>
      <c r="N24" s="10">
        <f t="shared" si="38"/>
        <v>126.98412698412702</v>
      </c>
      <c r="O24" s="12">
        <f t="shared" si="39"/>
        <v>0</v>
      </c>
      <c r="P24" s="13">
        <f t="shared" si="40"/>
        <v>-6.3492063492063266</v>
      </c>
      <c r="Q24" s="318">
        <f t="shared" si="41"/>
        <v>0.95238095238095255</v>
      </c>
      <c r="R24" s="442"/>
      <c r="S24" s="28">
        <v>0.16597222222222222</v>
      </c>
      <c r="T24" s="28">
        <v>0.23888888888888887</v>
      </c>
      <c r="U24" s="316">
        <f>(S24-T23)*24*60</f>
        <v>28.000000000000021</v>
      </c>
      <c r="V24" s="325">
        <f t="shared" si="42"/>
        <v>104.99999999999999</v>
      </c>
      <c r="W24" s="16"/>
      <c r="X24" s="16"/>
      <c r="Y24" s="443"/>
      <c r="Z24" s="443"/>
      <c r="AA24" s="12">
        <f t="shared" si="2"/>
        <v>-114.28571428571377</v>
      </c>
      <c r="AB24" s="318">
        <f t="shared" ref="AB24:AB29" si="44">M24/J24</f>
        <v>0.95238095238095255</v>
      </c>
      <c r="AC24" s="442"/>
    </row>
    <row r="25" spans="1:29" ht="15.75" customHeight="1">
      <c r="A25" s="463" t="s">
        <v>1452</v>
      </c>
      <c r="B25" s="31" t="s">
        <v>67</v>
      </c>
      <c r="C25" s="464" t="s">
        <v>101</v>
      </c>
      <c r="D25" s="464"/>
      <c r="E25" s="31">
        <v>25</v>
      </c>
      <c r="F25" s="326">
        <v>3278</v>
      </c>
      <c r="G25" s="316">
        <f t="shared" si="36"/>
        <v>81950</v>
      </c>
      <c r="H25" s="327" t="s">
        <v>103</v>
      </c>
      <c r="I25" s="324">
        <v>15</v>
      </c>
      <c r="J25" s="26">
        <v>2400</v>
      </c>
      <c r="K25" s="10">
        <f t="shared" si="43"/>
        <v>160</v>
      </c>
      <c r="L25" s="324">
        <v>15</v>
      </c>
      <c r="M25" s="11">
        <f t="shared" si="37"/>
        <v>2286.9767441860463</v>
      </c>
      <c r="N25" s="10">
        <f t="shared" si="38"/>
        <v>152.46511627906975</v>
      </c>
      <c r="O25" s="12">
        <f t="shared" si="39"/>
        <v>0</v>
      </c>
      <c r="P25" s="13">
        <f t="shared" si="40"/>
        <v>-7.534883720930253</v>
      </c>
      <c r="Q25" s="318">
        <f t="shared" si="41"/>
        <v>0.9529069767441859</v>
      </c>
      <c r="R25" s="442"/>
      <c r="S25" s="28">
        <v>0.24236111111111108</v>
      </c>
      <c r="T25" s="28">
        <v>0.30208333333333331</v>
      </c>
      <c r="U25" s="316">
        <f t="shared" ref="U25:U29" si="45">(S25-T24)*24*60</f>
        <v>4.9999999999999822</v>
      </c>
      <c r="V25" s="325">
        <f t="shared" si="42"/>
        <v>86.000000000000014</v>
      </c>
      <c r="W25" s="16"/>
      <c r="X25" s="16"/>
      <c r="Y25" s="443"/>
      <c r="Z25" s="443"/>
      <c r="AA25" s="12">
        <f t="shared" si="2"/>
        <v>-113.02325581395371</v>
      </c>
      <c r="AB25" s="318">
        <f t="shared" si="44"/>
        <v>0.95290697674418601</v>
      </c>
      <c r="AC25" s="442"/>
    </row>
    <row r="26" spans="1:29" ht="15.75" customHeight="1">
      <c r="A26" s="463" t="s">
        <v>1453</v>
      </c>
      <c r="B26" s="31" t="s">
        <v>67</v>
      </c>
      <c r="C26" s="464" t="s">
        <v>165</v>
      </c>
      <c r="D26" s="464"/>
      <c r="E26" s="31">
        <v>26.18</v>
      </c>
      <c r="F26" s="326">
        <v>4157</v>
      </c>
      <c r="G26" s="316">
        <f t="shared" si="36"/>
        <v>108830.26</v>
      </c>
      <c r="H26" s="327" t="s">
        <v>103</v>
      </c>
      <c r="I26" s="324">
        <v>19</v>
      </c>
      <c r="J26" s="26">
        <v>2400</v>
      </c>
      <c r="K26" s="10">
        <f t="shared" si="43"/>
        <v>126.31578947368421</v>
      </c>
      <c r="L26" s="324">
        <v>19</v>
      </c>
      <c r="M26" s="11">
        <f t="shared" si="37"/>
        <v>2288.2568807339444</v>
      </c>
      <c r="N26" s="10">
        <f t="shared" si="38"/>
        <v>120.4345726702076</v>
      </c>
      <c r="O26" s="12">
        <f t="shared" si="39"/>
        <v>0</v>
      </c>
      <c r="P26" s="13">
        <f t="shared" si="40"/>
        <v>-5.8812168034766046</v>
      </c>
      <c r="Q26" s="318">
        <f t="shared" si="41"/>
        <v>0.95344036697247692</v>
      </c>
      <c r="R26" s="442"/>
      <c r="S26" s="28">
        <v>0.30763888888888885</v>
      </c>
      <c r="T26" s="28">
        <v>0.3833333333333333</v>
      </c>
      <c r="U26" s="316">
        <f t="shared" si="45"/>
        <v>7.9999999999999716</v>
      </c>
      <c r="V26" s="325">
        <f t="shared" si="42"/>
        <v>109.00000000000001</v>
      </c>
      <c r="W26" s="16"/>
      <c r="X26" s="16"/>
      <c r="Y26" s="443"/>
      <c r="Z26" s="443"/>
      <c r="AA26" s="12">
        <f t="shared" si="2"/>
        <v>-111.7431192660556</v>
      </c>
      <c r="AB26" s="318">
        <f t="shared" si="44"/>
        <v>0.9534403669724768</v>
      </c>
      <c r="AC26" s="442"/>
    </row>
    <row r="27" spans="1:29" ht="15.75" customHeight="1">
      <c r="A27" s="463" t="s">
        <v>1454</v>
      </c>
      <c r="B27" s="31" t="s">
        <v>67</v>
      </c>
      <c r="C27" s="464" t="s">
        <v>77</v>
      </c>
      <c r="D27" s="464"/>
      <c r="E27" s="31">
        <v>26.2</v>
      </c>
      <c r="F27" s="326">
        <v>3584</v>
      </c>
      <c r="G27" s="316">
        <f t="shared" si="36"/>
        <v>93900.800000000003</v>
      </c>
      <c r="H27" s="327" t="s">
        <v>103</v>
      </c>
      <c r="I27" s="324">
        <v>19</v>
      </c>
      <c r="J27" s="26">
        <v>2400</v>
      </c>
      <c r="K27" s="10">
        <f t="shared" si="43"/>
        <v>126.31578947368421</v>
      </c>
      <c r="L27" s="324">
        <v>19</v>
      </c>
      <c r="M27" s="11">
        <f t="shared" si="37"/>
        <v>2287.6595744680853</v>
      </c>
      <c r="N27" s="10">
        <f t="shared" si="38"/>
        <v>120.40313549832028</v>
      </c>
      <c r="O27" s="12">
        <f t="shared" si="39"/>
        <v>0</v>
      </c>
      <c r="P27" s="13">
        <f t="shared" si="40"/>
        <v>-5.9126539753639236</v>
      </c>
      <c r="Q27" s="318">
        <f t="shared" si="41"/>
        <v>0.95319148936170228</v>
      </c>
      <c r="R27" s="442"/>
      <c r="S27" s="28">
        <v>0.38680555555555551</v>
      </c>
      <c r="T27" s="28">
        <v>0.45208333333333328</v>
      </c>
      <c r="U27" s="316">
        <f t="shared" si="45"/>
        <v>4.9999999999999822</v>
      </c>
      <c r="V27" s="325">
        <f t="shared" si="42"/>
        <v>93.999999999999986</v>
      </c>
      <c r="W27" s="16"/>
      <c r="X27" s="16"/>
      <c r="Y27" s="443"/>
      <c r="Z27" s="443"/>
      <c r="AA27" s="12">
        <f t="shared" si="2"/>
        <v>-112.34042553191466</v>
      </c>
      <c r="AB27" s="318">
        <f t="shared" si="44"/>
        <v>0.95319148936170217</v>
      </c>
      <c r="AC27" s="442"/>
    </row>
    <row r="28" spans="1:29" ht="15.75" customHeight="1">
      <c r="A28" s="463" t="s">
        <v>1453</v>
      </c>
      <c r="B28" s="31" t="s">
        <v>67</v>
      </c>
      <c r="C28" s="464" t="s">
        <v>78</v>
      </c>
      <c r="D28" s="464"/>
      <c r="E28" s="31">
        <v>25.98</v>
      </c>
      <c r="F28" s="326">
        <v>2156</v>
      </c>
      <c r="G28" s="316">
        <f t="shared" si="36"/>
        <v>56012.88</v>
      </c>
      <c r="H28" s="327" t="s">
        <v>103</v>
      </c>
      <c r="I28" s="324">
        <v>17</v>
      </c>
      <c r="J28" s="26">
        <v>2400</v>
      </c>
      <c r="K28" s="10">
        <f t="shared" si="43"/>
        <v>141.1764705882353</v>
      </c>
      <c r="L28" s="324">
        <v>17</v>
      </c>
      <c r="M28" s="11">
        <f t="shared" si="37"/>
        <v>2269.4736842105281</v>
      </c>
      <c r="N28" s="10">
        <f t="shared" si="38"/>
        <v>133.49845201238401</v>
      </c>
      <c r="O28" s="12">
        <f t="shared" si="39"/>
        <v>0</v>
      </c>
      <c r="P28" s="13">
        <f t="shared" si="40"/>
        <v>-7.6780185758512971</v>
      </c>
      <c r="Q28" s="318">
        <f t="shared" si="41"/>
        <v>0.94561403508772002</v>
      </c>
      <c r="R28" s="442"/>
      <c r="S28" s="28">
        <v>0.45555555555555549</v>
      </c>
      <c r="T28" s="28">
        <v>0.4951388888888888</v>
      </c>
      <c r="U28" s="316">
        <f t="shared" si="45"/>
        <v>4.9999999999999822</v>
      </c>
      <c r="V28" s="325">
        <f t="shared" si="42"/>
        <v>56.999999999999957</v>
      </c>
      <c r="W28" s="16">
        <f>T28</f>
        <v>0.4951388888888888</v>
      </c>
      <c r="X28" s="16">
        <f>S29</f>
        <v>0.53611111111111098</v>
      </c>
      <c r="Y28" s="443"/>
      <c r="Z28" s="443"/>
      <c r="AA28" s="12">
        <f t="shared" si="2"/>
        <v>-130.52631578947194</v>
      </c>
      <c r="AB28" s="318">
        <f t="shared" si="44"/>
        <v>0.94561403508772002</v>
      </c>
      <c r="AC28" s="442"/>
    </row>
    <row r="29" spans="1:29" ht="15.75" customHeight="1">
      <c r="A29" s="463" t="s">
        <v>1451</v>
      </c>
      <c r="B29" s="31" t="s">
        <v>67</v>
      </c>
      <c r="C29" s="464" t="s">
        <v>69</v>
      </c>
      <c r="D29" s="464"/>
      <c r="E29" s="31">
        <v>31.29</v>
      </c>
      <c r="F29" s="326">
        <v>2901</v>
      </c>
      <c r="G29" s="316">
        <f t="shared" si="36"/>
        <v>90772.29</v>
      </c>
      <c r="H29" s="327" t="s">
        <v>103</v>
      </c>
      <c r="I29" s="324">
        <v>18</v>
      </c>
      <c r="J29" s="26">
        <v>2400</v>
      </c>
      <c r="K29" s="10">
        <f t="shared" si="43"/>
        <v>133.33333333333334</v>
      </c>
      <c r="L29" s="324">
        <v>18</v>
      </c>
      <c r="M29" s="11">
        <f t="shared" si="37"/>
        <v>2290.2631578947348</v>
      </c>
      <c r="N29" s="10">
        <f t="shared" si="38"/>
        <v>127.23684210526305</v>
      </c>
      <c r="O29" s="12">
        <f t="shared" si="39"/>
        <v>0</v>
      </c>
      <c r="P29" s="13">
        <f t="shared" si="40"/>
        <v>-6.0964912280702919</v>
      </c>
      <c r="Q29" s="318">
        <f>N29/K29</f>
        <v>0.95427631578947281</v>
      </c>
      <c r="R29" s="442"/>
      <c r="S29" s="28">
        <v>0.53611111111111098</v>
      </c>
      <c r="T29" s="28">
        <v>0.5888888888888888</v>
      </c>
      <c r="U29" s="316">
        <f t="shared" si="45"/>
        <v>58.99999999999995</v>
      </c>
      <c r="V29" s="325">
        <f t="shared" si="42"/>
        <v>76.000000000000057</v>
      </c>
      <c r="W29" s="16"/>
      <c r="X29" s="16"/>
      <c r="Y29" s="443"/>
      <c r="Z29" s="443"/>
      <c r="AA29" s="12">
        <f t="shared" si="2"/>
        <v>-109.73684210526517</v>
      </c>
      <c r="AB29" s="318">
        <f t="shared" si="44"/>
        <v>0.95427631578947281</v>
      </c>
      <c r="AC29" s="442"/>
    </row>
    <row r="30" spans="1:29" ht="15.75" customHeight="1">
      <c r="A30" s="463" t="s">
        <v>1451</v>
      </c>
      <c r="B30" s="31" t="s">
        <v>1455</v>
      </c>
      <c r="C30" s="446"/>
      <c r="D30" s="446"/>
      <c r="E30" s="317"/>
      <c r="F30" s="326"/>
      <c r="G30" s="316"/>
      <c r="H30" s="326"/>
      <c r="I30" s="19">
        <v>18</v>
      </c>
      <c r="J30" s="26">
        <v>2400</v>
      </c>
      <c r="K30" s="10">
        <f t="shared" si="43"/>
        <v>133.33333333333334</v>
      </c>
      <c r="L30" s="19">
        <v>18</v>
      </c>
      <c r="M30" s="11">
        <f>AVERAGE(M23:M29)</f>
        <v>2283.6724235100378</v>
      </c>
      <c r="N30" s="10">
        <f>M30/L30</f>
        <v>126.8706901950021</v>
      </c>
      <c r="O30" s="12">
        <f>L30-I30</f>
        <v>0</v>
      </c>
      <c r="P30" s="13">
        <f>N30-K30</f>
        <v>-6.462643138331245</v>
      </c>
      <c r="Q30" s="318">
        <f>N30/K30</f>
        <v>0.9515301764625157</v>
      </c>
      <c r="R30" s="442"/>
      <c r="S30" s="28"/>
      <c r="T30" s="28"/>
      <c r="U30" s="316"/>
      <c r="V30" s="325"/>
      <c r="W30" s="316"/>
      <c r="X30" s="316"/>
      <c r="Y30" s="443"/>
      <c r="Z30" s="443"/>
      <c r="AA30" s="12">
        <f t="shared" si="2"/>
        <v>-116.32757648996221</v>
      </c>
      <c r="AB30" s="318">
        <f>M30/J30</f>
        <v>0.9515301764625157</v>
      </c>
      <c r="AC30" s="442"/>
    </row>
    <row r="31" spans="1:29" ht="15.75" customHeight="1">
      <c r="A31" s="461" t="s">
        <v>44</v>
      </c>
      <c r="B31" s="31" t="s">
        <v>67</v>
      </c>
      <c r="C31" s="441" t="s">
        <v>73</v>
      </c>
      <c r="D31" s="441"/>
      <c r="E31" s="31">
        <v>26.2</v>
      </c>
      <c r="F31" s="326">
        <v>5165</v>
      </c>
      <c r="G31" s="316">
        <f t="shared" ref="G31:G37" si="46">E31*F31</f>
        <v>135323</v>
      </c>
      <c r="H31" s="327" t="s">
        <v>103</v>
      </c>
      <c r="I31" s="324">
        <v>18</v>
      </c>
      <c r="J31" s="26">
        <v>2400</v>
      </c>
      <c r="K31" s="10">
        <f>J31/I31</f>
        <v>133.33333333333334</v>
      </c>
      <c r="L31" s="324">
        <v>18</v>
      </c>
      <c r="M31" s="11">
        <f>F31/V31*60</f>
        <v>2278.6764705882356</v>
      </c>
      <c r="N31" s="10">
        <f>M31/L31</f>
        <v>126.59313725490198</v>
      </c>
      <c r="O31" s="12">
        <f t="shared" ref="O31:O37" si="47">L31-I31</f>
        <v>0</v>
      </c>
      <c r="P31" s="13">
        <f t="shared" ref="P31:P45" si="48">N31-K31</f>
        <v>-6.7401960784313673</v>
      </c>
      <c r="Q31" s="318">
        <f t="shared" ref="Q31:Q42" si="49">N31/K31</f>
        <v>0.94944852941176472</v>
      </c>
      <c r="R31" s="442">
        <f>Q38</f>
        <v>0.94937406073795194</v>
      </c>
      <c r="S31" s="28">
        <v>8.3333333333333329E-2</v>
      </c>
      <c r="T31" s="28">
        <v>0.17777777777777776</v>
      </c>
      <c r="U31" s="316"/>
      <c r="V31" s="325">
        <f t="shared" ref="V31:V37" si="50">(T31-S31)*24*60</f>
        <v>135.99999999999997</v>
      </c>
      <c r="W31" s="18">
        <f>T31</f>
        <v>0.17777777777777776</v>
      </c>
      <c r="X31" s="18">
        <f>S32</f>
        <v>0.19652777777777775</v>
      </c>
      <c r="Y31" s="443"/>
      <c r="Z31" s="443"/>
      <c r="AA31" s="12">
        <f t="shared" si="2"/>
        <v>-121.32352941176441</v>
      </c>
      <c r="AB31" s="318">
        <f>M31/J31</f>
        <v>0.94944852941176483</v>
      </c>
      <c r="AC31" s="442">
        <f>AB38</f>
        <v>0.94937406073795194</v>
      </c>
    </row>
    <row r="32" spans="1:29" ht="15.75" customHeight="1">
      <c r="A32" s="461" t="s">
        <v>1456</v>
      </c>
      <c r="B32" s="31" t="s">
        <v>67</v>
      </c>
      <c r="C32" s="441" t="s">
        <v>74</v>
      </c>
      <c r="D32" s="441"/>
      <c r="E32" s="31">
        <v>24.45</v>
      </c>
      <c r="F32" s="326">
        <v>1831</v>
      </c>
      <c r="G32" s="316">
        <f t="shared" si="46"/>
        <v>44767.95</v>
      </c>
      <c r="H32" s="327" t="s">
        <v>103</v>
      </c>
      <c r="I32" s="324">
        <v>20</v>
      </c>
      <c r="J32" s="26">
        <v>2400</v>
      </c>
      <c r="K32" s="10">
        <f t="shared" ref="K32:K44" si="51">J32/I32</f>
        <v>120</v>
      </c>
      <c r="L32" s="324">
        <v>20</v>
      </c>
      <c r="M32" s="11">
        <f t="shared" ref="M32:M37" si="52">F32/V32*60</f>
        <v>2288.7500000000005</v>
      </c>
      <c r="N32" s="10">
        <f t="shared" ref="N32:N37" si="53">M32/L32</f>
        <v>114.43750000000003</v>
      </c>
      <c r="O32" s="12">
        <f t="shared" si="47"/>
        <v>0</v>
      </c>
      <c r="P32" s="13">
        <f t="shared" si="48"/>
        <v>-5.5624999999999716</v>
      </c>
      <c r="Q32" s="318">
        <f t="shared" si="49"/>
        <v>0.95364583333333353</v>
      </c>
      <c r="R32" s="442"/>
      <c r="S32" s="28">
        <v>0.19652777777777775</v>
      </c>
      <c r="T32" s="28">
        <v>0.22986111111111107</v>
      </c>
      <c r="U32" s="316">
        <f>(S32-T31)*24*60</f>
        <v>26.999999999999986</v>
      </c>
      <c r="V32" s="325">
        <f t="shared" si="50"/>
        <v>47.999999999999986</v>
      </c>
      <c r="W32" s="316"/>
      <c r="X32" s="316"/>
      <c r="Y32" s="443"/>
      <c r="Z32" s="443"/>
      <c r="AA32" s="12">
        <f t="shared" si="2"/>
        <v>-111.24999999999955</v>
      </c>
      <c r="AB32" s="318">
        <f t="shared" ref="AB32:AB57" si="54">M32/J32</f>
        <v>0.95364583333333353</v>
      </c>
      <c r="AC32" s="442"/>
    </row>
    <row r="33" spans="1:29">
      <c r="A33" s="462" t="s">
        <v>1457</v>
      </c>
      <c r="B33" s="31" t="s">
        <v>67</v>
      </c>
      <c r="C33" s="441" t="s">
        <v>75</v>
      </c>
      <c r="D33" s="441"/>
      <c r="E33" s="31">
        <v>26.39</v>
      </c>
      <c r="F33" s="326">
        <v>4736</v>
      </c>
      <c r="G33" s="316">
        <f t="shared" si="46"/>
        <v>124983.04000000001</v>
      </c>
      <c r="H33" s="327" t="s">
        <v>103</v>
      </c>
      <c r="I33" s="324">
        <v>19</v>
      </c>
      <c r="J33" s="26">
        <v>2400</v>
      </c>
      <c r="K33" s="10">
        <f t="shared" si="51"/>
        <v>126.31578947368421</v>
      </c>
      <c r="L33" s="324">
        <v>19</v>
      </c>
      <c r="M33" s="11">
        <f t="shared" si="52"/>
        <v>2273.2800000000002</v>
      </c>
      <c r="N33" s="10">
        <f t="shared" si="53"/>
        <v>119.64631578947369</v>
      </c>
      <c r="O33" s="12">
        <f t="shared" si="47"/>
        <v>0</v>
      </c>
      <c r="P33" s="13">
        <f t="shared" si="48"/>
        <v>-6.6694736842105158</v>
      </c>
      <c r="Q33" s="318">
        <f t="shared" si="49"/>
        <v>0.94720000000000004</v>
      </c>
      <c r="R33" s="442"/>
      <c r="S33" s="28">
        <v>0.23472222222222219</v>
      </c>
      <c r="T33" s="28">
        <v>0.32152777777777775</v>
      </c>
      <c r="U33" s="316">
        <f t="shared" ref="U33:U37" si="55">(S33-T32)*24*60</f>
        <v>7.0000000000000151</v>
      </c>
      <c r="V33" s="325">
        <f t="shared" si="50"/>
        <v>124.99999999999999</v>
      </c>
      <c r="W33" s="316"/>
      <c r="X33" s="316"/>
      <c r="Y33" s="443"/>
      <c r="Z33" s="443"/>
      <c r="AA33" s="12">
        <f t="shared" si="2"/>
        <v>-126.7199999999998</v>
      </c>
      <c r="AB33" s="318">
        <f t="shared" si="54"/>
        <v>0.94720000000000004</v>
      </c>
      <c r="AC33" s="442"/>
    </row>
    <row r="34" spans="1:29">
      <c r="A34" s="462" t="s">
        <v>1458</v>
      </c>
      <c r="B34" s="31" t="s">
        <v>67</v>
      </c>
      <c r="C34" s="441" t="s">
        <v>76</v>
      </c>
      <c r="D34" s="441"/>
      <c r="E34" s="31">
        <v>20.52</v>
      </c>
      <c r="F34" s="326">
        <v>2859</v>
      </c>
      <c r="G34" s="316">
        <f t="shared" si="46"/>
        <v>58666.68</v>
      </c>
      <c r="H34" s="327" t="s">
        <v>103</v>
      </c>
      <c r="I34" s="324">
        <v>18</v>
      </c>
      <c r="J34" s="26">
        <v>2400</v>
      </c>
      <c r="K34" s="10">
        <f t="shared" si="51"/>
        <v>133.33333333333334</v>
      </c>
      <c r="L34" s="324">
        <v>18</v>
      </c>
      <c r="M34" s="11">
        <f t="shared" si="52"/>
        <v>2287.2000000000007</v>
      </c>
      <c r="N34" s="10">
        <f t="shared" si="53"/>
        <v>127.06666666666671</v>
      </c>
      <c r="O34" s="12">
        <f t="shared" si="47"/>
        <v>0</v>
      </c>
      <c r="P34" s="13">
        <f t="shared" si="48"/>
        <v>-6.2666666666666373</v>
      </c>
      <c r="Q34" s="318">
        <f t="shared" si="49"/>
        <v>0.95300000000000018</v>
      </c>
      <c r="R34" s="442"/>
      <c r="S34" s="28">
        <v>0.32638888888888884</v>
      </c>
      <c r="T34" s="28">
        <v>0.37847222222222215</v>
      </c>
      <c r="U34" s="316">
        <f t="shared" si="55"/>
        <v>6.9999999999999751</v>
      </c>
      <c r="V34" s="325">
        <f t="shared" si="50"/>
        <v>74.999999999999972</v>
      </c>
      <c r="W34" s="16"/>
      <c r="X34" s="16"/>
      <c r="Y34" s="443"/>
      <c r="Z34" s="443"/>
      <c r="AA34" s="12">
        <f t="shared" si="2"/>
        <v>-112.79999999999927</v>
      </c>
      <c r="AB34" s="318">
        <f t="shared" si="54"/>
        <v>0.95300000000000029</v>
      </c>
      <c r="AC34" s="442"/>
    </row>
    <row r="35" spans="1:29">
      <c r="A35" s="462" t="s">
        <v>1456</v>
      </c>
      <c r="B35" s="31" t="s">
        <v>67</v>
      </c>
      <c r="C35" s="441" t="s">
        <v>1167</v>
      </c>
      <c r="D35" s="441"/>
      <c r="E35" s="31">
        <v>24.43</v>
      </c>
      <c r="F35" s="326">
        <v>4700</v>
      </c>
      <c r="G35" s="316">
        <f t="shared" si="46"/>
        <v>114821</v>
      </c>
      <c r="H35" s="327">
        <v>2</v>
      </c>
      <c r="I35" s="324">
        <v>15</v>
      </c>
      <c r="J35" s="26">
        <v>2400</v>
      </c>
      <c r="K35" s="10">
        <f t="shared" si="51"/>
        <v>160</v>
      </c>
      <c r="L35" s="324">
        <v>15</v>
      </c>
      <c r="M35" s="11">
        <f t="shared" si="52"/>
        <v>2274.1935483870961</v>
      </c>
      <c r="N35" s="10">
        <f t="shared" si="53"/>
        <v>151.61290322580641</v>
      </c>
      <c r="O35" s="12">
        <f t="shared" si="47"/>
        <v>0</v>
      </c>
      <c r="P35" s="13">
        <f t="shared" si="48"/>
        <v>-8.3870967741935942</v>
      </c>
      <c r="Q35" s="318">
        <f t="shared" si="49"/>
        <v>0.94758064516129004</v>
      </c>
      <c r="R35" s="442"/>
      <c r="S35" s="28">
        <v>0.38402777777777769</v>
      </c>
      <c r="T35" s="28">
        <v>0.47013888888888883</v>
      </c>
      <c r="U35" s="316">
        <f t="shared" si="55"/>
        <v>7.9999999999999716</v>
      </c>
      <c r="V35" s="325">
        <f t="shared" si="50"/>
        <v>124.00000000000004</v>
      </c>
      <c r="W35" s="16"/>
      <c r="X35" s="16"/>
      <c r="Y35" s="443"/>
      <c r="Z35" s="443"/>
      <c r="AA35" s="12">
        <f t="shared" si="2"/>
        <v>-125.80645161290386</v>
      </c>
      <c r="AB35" s="318">
        <f t="shared" si="54"/>
        <v>0.94758064516129004</v>
      </c>
      <c r="AC35" s="442"/>
    </row>
    <row r="36" spans="1:29">
      <c r="A36" s="462" t="s">
        <v>1459</v>
      </c>
      <c r="B36" s="31" t="s">
        <v>67</v>
      </c>
      <c r="C36" s="441" t="s">
        <v>71</v>
      </c>
      <c r="D36" s="441"/>
      <c r="E36" s="31">
        <v>22.35</v>
      </c>
      <c r="F36" s="326">
        <v>1631</v>
      </c>
      <c r="G36" s="316">
        <f t="shared" si="46"/>
        <v>36452.850000000006</v>
      </c>
      <c r="H36" s="327" t="s">
        <v>103</v>
      </c>
      <c r="I36" s="324">
        <v>16</v>
      </c>
      <c r="J36" s="26">
        <v>2400</v>
      </c>
      <c r="K36" s="10">
        <f t="shared" si="51"/>
        <v>150</v>
      </c>
      <c r="L36" s="324">
        <v>16</v>
      </c>
      <c r="M36" s="11">
        <f t="shared" si="52"/>
        <v>2275.8139534883762</v>
      </c>
      <c r="N36" s="10">
        <f t="shared" si="53"/>
        <v>142.23837209302351</v>
      </c>
      <c r="O36" s="12">
        <f t="shared" si="47"/>
        <v>0</v>
      </c>
      <c r="P36" s="13">
        <f t="shared" si="48"/>
        <v>-7.7616279069764857</v>
      </c>
      <c r="Q36" s="318">
        <f t="shared" si="49"/>
        <v>0.94825581395349012</v>
      </c>
      <c r="R36" s="442"/>
      <c r="S36" s="28">
        <v>0.47430555555555548</v>
      </c>
      <c r="T36" s="28">
        <v>0.50416666666666654</v>
      </c>
      <c r="U36" s="316">
        <f t="shared" si="55"/>
        <v>5.9999999999999787</v>
      </c>
      <c r="V36" s="325">
        <f t="shared" si="50"/>
        <v>42.999999999999929</v>
      </c>
      <c r="W36" s="16">
        <f>T36</f>
        <v>0.50416666666666654</v>
      </c>
      <c r="X36" s="16">
        <f>S37</f>
        <v>0.54374999999999984</v>
      </c>
      <c r="Y36" s="443"/>
      <c r="Z36" s="443"/>
      <c r="AA36" s="12">
        <f t="shared" si="2"/>
        <v>-124.18604651162377</v>
      </c>
      <c r="AB36" s="318">
        <f t="shared" si="54"/>
        <v>0.94825581395349012</v>
      </c>
      <c r="AC36" s="442"/>
    </row>
    <row r="37" spans="1:29">
      <c r="A37" s="462" t="s">
        <v>1460</v>
      </c>
      <c r="B37" s="31" t="s">
        <v>67</v>
      </c>
      <c r="C37" s="441" t="s">
        <v>1167</v>
      </c>
      <c r="D37" s="441"/>
      <c r="E37" s="31">
        <v>24.43</v>
      </c>
      <c r="F37" s="326">
        <v>4581</v>
      </c>
      <c r="G37" s="316">
        <f t="shared" si="46"/>
        <v>111913.83</v>
      </c>
      <c r="H37" s="327" t="s">
        <v>103</v>
      </c>
      <c r="I37" s="324">
        <v>15</v>
      </c>
      <c r="J37" s="26">
        <v>2400</v>
      </c>
      <c r="K37" s="10">
        <f t="shared" si="51"/>
        <v>160</v>
      </c>
      <c r="L37" s="324">
        <v>15</v>
      </c>
      <c r="M37" s="11">
        <f t="shared" si="52"/>
        <v>2271.5702479338834</v>
      </c>
      <c r="N37" s="10">
        <f t="shared" si="53"/>
        <v>151.43801652892554</v>
      </c>
      <c r="O37" s="12">
        <f t="shared" si="47"/>
        <v>0</v>
      </c>
      <c r="P37" s="13">
        <f t="shared" si="48"/>
        <v>-8.5619834710744556</v>
      </c>
      <c r="Q37" s="318">
        <f t="shared" si="49"/>
        <v>0.94648760330578463</v>
      </c>
      <c r="R37" s="442"/>
      <c r="S37" s="28">
        <v>0.54374999999999984</v>
      </c>
      <c r="T37" s="28">
        <v>0.62777777777777766</v>
      </c>
      <c r="U37" s="316">
        <f t="shared" si="55"/>
        <v>56.999999999999957</v>
      </c>
      <c r="V37" s="325">
        <f t="shared" si="50"/>
        <v>121.00000000000006</v>
      </c>
      <c r="W37" s="16"/>
      <c r="X37" s="16"/>
      <c r="Y37" s="447"/>
      <c r="Z37" s="448"/>
      <c r="AA37" s="12">
        <f t="shared" si="2"/>
        <v>-128.42975206611663</v>
      </c>
      <c r="AB37" s="318">
        <f t="shared" si="54"/>
        <v>0.94648760330578474</v>
      </c>
      <c r="AC37" s="442"/>
    </row>
    <row r="38" spans="1:29">
      <c r="A38" s="462" t="s">
        <v>44</v>
      </c>
      <c r="B38" s="33" t="s">
        <v>1443</v>
      </c>
      <c r="C38" s="446"/>
      <c r="D38" s="446"/>
      <c r="E38" s="317"/>
      <c r="F38" s="33"/>
      <c r="G38" s="10"/>
      <c r="H38" s="326"/>
      <c r="I38" s="19">
        <v>17.285714285714285</v>
      </c>
      <c r="J38" s="26">
        <v>2400</v>
      </c>
      <c r="K38" s="10">
        <f t="shared" si="51"/>
        <v>138.84297520661158</v>
      </c>
      <c r="L38" s="19">
        <v>17.285714285714285</v>
      </c>
      <c r="M38" s="11">
        <f>AVERAGE(M31:M37)</f>
        <v>2278.4977457710847</v>
      </c>
      <c r="N38" s="10">
        <f>M38/L38</f>
        <v>131.81391917683962</v>
      </c>
      <c r="O38" s="12">
        <f>L38-I38</f>
        <v>0</v>
      </c>
      <c r="P38" s="13">
        <f t="shared" si="48"/>
        <v>-7.0290560297719651</v>
      </c>
      <c r="Q38" s="318">
        <f t="shared" si="49"/>
        <v>0.94937406073795194</v>
      </c>
      <c r="R38" s="442"/>
      <c r="S38" s="28"/>
      <c r="T38" s="28"/>
      <c r="U38" s="10"/>
      <c r="V38" s="325"/>
      <c r="W38" s="10"/>
      <c r="X38" s="10"/>
      <c r="Y38" s="443"/>
      <c r="Z38" s="443"/>
      <c r="AA38" s="12">
        <f t="shared" si="2"/>
        <v>-121.50225422891526</v>
      </c>
      <c r="AB38" s="318">
        <f t="shared" si="54"/>
        <v>0.94937406073795194</v>
      </c>
      <c r="AC38" s="442"/>
    </row>
    <row r="39" spans="1:29" ht="15.75" customHeight="1">
      <c r="A39" s="453" t="s">
        <v>46</v>
      </c>
      <c r="B39" s="31" t="s">
        <v>79</v>
      </c>
      <c r="C39" s="444" t="s">
        <v>80</v>
      </c>
      <c r="D39" s="445"/>
      <c r="E39" s="31">
        <v>21.13</v>
      </c>
      <c r="F39" s="326">
        <v>4308</v>
      </c>
      <c r="G39" s="316">
        <f t="shared" ref="G39:G44" si="56">E39*F39</f>
        <v>91028.04</v>
      </c>
      <c r="H39" s="327" t="s">
        <v>103</v>
      </c>
      <c r="I39" s="324">
        <v>10</v>
      </c>
      <c r="J39" s="26">
        <v>3000</v>
      </c>
      <c r="K39" s="10">
        <f t="shared" si="51"/>
        <v>300</v>
      </c>
      <c r="L39" s="324">
        <v>10</v>
      </c>
      <c r="M39" s="11">
        <f t="shared" ref="M39:M40" si="57">F39/V39*60</f>
        <v>2840.4395604395613</v>
      </c>
      <c r="N39" s="11">
        <f t="shared" ref="N39:N45" si="58">M39/L39</f>
        <v>284.04395604395614</v>
      </c>
      <c r="O39" s="12">
        <f t="shared" ref="O39:O45" si="59">L39-I39</f>
        <v>0</v>
      </c>
      <c r="P39" s="13">
        <f t="shared" si="48"/>
        <v>-15.956043956043857</v>
      </c>
      <c r="Q39" s="318">
        <f t="shared" si="49"/>
        <v>0.94681318681318716</v>
      </c>
      <c r="R39" s="456">
        <f>Q45</f>
        <v>0.95276450631537035</v>
      </c>
      <c r="S39" s="28">
        <v>8.3333333333333329E-2</v>
      </c>
      <c r="T39" s="28">
        <v>0.14652777777777776</v>
      </c>
      <c r="U39" s="18"/>
      <c r="V39" s="325">
        <f t="shared" ref="V39:V44" si="60">(T39-S39)*24*60</f>
        <v>90.999999999999972</v>
      </c>
      <c r="W39" s="16">
        <f>T39</f>
        <v>0.14652777777777776</v>
      </c>
      <c r="X39" s="16">
        <f>S40</f>
        <v>0.16666666666666666</v>
      </c>
      <c r="Y39" s="447"/>
      <c r="Z39" s="448"/>
      <c r="AA39" s="12">
        <f t="shared" si="2"/>
        <v>-159.56043956043868</v>
      </c>
      <c r="AB39" s="318">
        <f t="shared" si="54"/>
        <v>0.94681318681318716</v>
      </c>
      <c r="AC39" s="456">
        <f>AB45</f>
        <v>0.95276450631537035</v>
      </c>
    </row>
    <row r="40" spans="1:29" ht="15.75" customHeight="1">
      <c r="A40" s="454" t="s">
        <v>1461</v>
      </c>
      <c r="B40" s="31" t="s">
        <v>79</v>
      </c>
      <c r="C40" s="444" t="s">
        <v>81</v>
      </c>
      <c r="D40" s="445"/>
      <c r="E40" s="31">
        <v>27.17</v>
      </c>
      <c r="F40" s="326">
        <v>5413</v>
      </c>
      <c r="G40" s="316">
        <f t="shared" si="56"/>
        <v>147071.21000000002</v>
      </c>
      <c r="H40" s="327" t="s">
        <v>103</v>
      </c>
      <c r="I40" s="324">
        <v>10</v>
      </c>
      <c r="J40" s="26">
        <v>3000</v>
      </c>
      <c r="K40" s="10">
        <f t="shared" si="51"/>
        <v>300</v>
      </c>
      <c r="L40" s="324">
        <v>10</v>
      </c>
      <c r="M40" s="11">
        <f t="shared" si="57"/>
        <v>2848.9473684210525</v>
      </c>
      <c r="N40" s="11">
        <f t="shared" si="58"/>
        <v>284.89473684210526</v>
      </c>
      <c r="O40" s="12">
        <f t="shared" si="59"/>
        <v>0</v>
      </c>
      <c r="P40" s="13">
        <f t="shared" si="48"/>
        <v>-15.10526315789474</v>
      </c>
      <c r="Q40" s="318">
        <f t="shared" si="49"/>
        <v>0.94964912280701752</v>
      </c>
      <c r="R40" s="457"/>
      <c r="S40" s="28">
        <v>0.16666666666666666</v>
      </c>
      <c r="T40" s="28">
        <v>0.24583333333333332</v>
      </c>
      <c r="U40" s="316">
        <f>(S40-T39)*24*60</f>
        <v>29.000000000000018</v>
      </c>
      <c r="V40" s="325">
        <f t="shared" si="60"/>
        <v>114</v>
      </c>
      <c r="W40" s="16"/>
      <c r="X40" s="16"/>
      <c r="Y40" s="447"/>
      <c r="Z40" s="448"/>
      <c r="AA40" s="12">
        <f t="shared" si="2"/>
        <v>-151.05263157894751</v>
      </c>
      <c r="AB40" s="318">
        <f t="shared" si="54"/>
        <v>0.94964912280701752</v>
      </c>
      <c r="AC40" s="457"/>
    </row>
    <row r="41" spans="1:29" ht="15.75" customHeight="1">
      <c r="A41" s="454" t="s">
        <v>1462</v>
      </c>
      <c r="B41" s="31" t="s">
        <v>79</v>
      </c>
      <c r="C41" s="444" t="s">
        <v>82</v>
      </c>
      <c r="D41" s="445"/>
      <c r="E41" s="31">
        <v>35.119999999999997</v>
      </c>
      <c r="F41" s="326">
        <v>3844</v>
      </c>
      <c r="G41" s="316">
        <f t="shared" si="56"/>
        <v>135001.28</v>
      </c>
      <c r="H41" s="327" t="s">
        <v>103</v>
      </c>
      <c r="I41" s="324">
        <v>10</v>
      </c>
      <c r="J41" s="26">
        <v>3000</v>
      </c>
      <c r="K41" s="10">
        <f t="shared" si="51"/>
        <v>300</v>
      </c>
      <c r="L41" s="324">
        <v>10</v>
      </c>
      <c r="M41" s="11">
        <f>F41/V41*60</f>
        <v>2847.407407407406</v>
      </c>
      <c r="N41" s="11">
        <f t="shared" si="58"/>
        <v>284.74074074074059</v>
      </c>
      <c r="O41" s="12">
        <f t="shared" si="59"/>
        <v>0</v>
      </c>
      <c r="P41" s="13">
        <f t="shared" si="48"/>
        <v>-15.259259259259409</v>
      </c>
      <c r="Q41" s="318">
        <f t="shared" si="49"/>
        <v>0.94913580246913531</v>
      </c>
      <c r="R41" s="457"/>
      <c r="S41" s="28">
        <v>0.25069444444444444</v>
      </c>
      <c r="T41" s="28">
        <v>0.30694444444444446</v>
      </c>
      <c r="U41" s="316">
        <f t="shared" ref="U41:U44" si="61">(S41-T40)*24*60</f>
        <v>7.0000000000000151</v>
      </c>
      <c r="V41" s="325">
        <f t="shared" si="60"/>
        <v>81.000000000000028</v>
      </c>
      <c r="W41" s="16"/>
      <c r="X41" s="16"/>
      <c r="Y41" s="447"/>
      <c r="Z41" s="448"/>
      <c r="AA41" s="12">
        <f t="shared" si="2"/>
        <v>-152.59259259259397</v>
      </c>
      <c r="AB41" s="318">
        <f t="shared" si="54"/>
        <v>0.94913580246913531</v>
      </c>
      <c r="AC41" s="457"/>
    </row>
    <row r="42" spans="1:29" ht="15.75" customHeight="1">
      <c r="A42" s="454" t="s">
        <v>1463</v>
      </c>
      <c r="B42" s="31" t="s">
        <v>79</v>
      </c>
      <c r="C42" s="444" t="s">
        <v>85</v>
      </c>
      <c r="D42" s="445"/>
      <c r="E42" s="31">
        <v>35.869999999999997</v>
      </c>
      <c r="F42" s="326">
        <v>2654</v>
      </c>
      <c r="G42" s="316">
        <f t="shared" si="56"/>
        <v>95198.98</v>
      </c>
      <c r="H42" s="327" t="s">
        <v>103</v>
      </c>
      <c r="I42" s="324">
        <v>10</v>
      </c>
      <c r="J42" s="26">
        <v>3000</v>
      </c>
      <c r="K42" s="10">
        <f t="shared" si="51"/>
        <v>300</v>
      </c>
      <c r="L42" s="324">
        <v>10</v>
      </c>
      <c r="M42" s="11">
        <f t="shared" ref="M42:M44" si="62">F42/V42*60</f>
        <v>2843.5714285714307</v>
      </c>
      <c r="N42" s="11">
        <f t="shared" si="58"/>
        <v>284.35714285714306</v>
      </c>
      <c r="O42" s="12">
        <f t="shared" si="59"/>
        <v>0</v>
      </c>
      <c r="P42" s="13">
        <f t="shared" si="48"/>
        <v>-15.64285714285694</v>
      </c>
      <c r="Q42" s="318">
        <f t="shared" si="49"/>
        <v>0.94785714285714351</v>
      </c>
      <c r="R42" s="457"/>
      <c r="S42" s="28">
        <v>0.3125</v>
      </c>
      <c r="T42" s="28">
        <v>0.35138888888888886</v>
      </c>
      <c r="U42" s="316">
        <f t="shared" si="61"/>
        <v>7.9999999999999716</v>
      </c>
      <c r="V42" s="325">
        <f t="shared" si="60"/>
        <v>55.999999999999957</v>
      </c>
      <c r="W42" s="16"/>
      <c r="X42" s="16"/>
      <c r="Y42" s="447"/>
      <c r="Z42" s="448"/>
      <c r="AA42" s="12">
        <f t="shared" si="2"/>
        <v>-156.42857142856928</v>
      </c>
      <c r="AB42" s="318">
        <f t="shared" si="54"/>
        <v>0.94785714285714362</v>
      </c>
      <c r="AC42" s="457"/>
    </row>
    <row r="43" spans="1:29" ht="15.75" customHeight="1">
      <c r="A43" s="454" t="s">
        <v>1462</v>
      </c>
      <c r="B43" s="31" t="s">
        <v>79</v>
      </c>
      <c r="C43" s="444" t="s">
        <v>86</v>
      </c>
      <c r="D43" s="445"/>
      <c r="E43" s="31">
        <v>36.14</v>
      </c>
      <c r="F43" s="326">
        <v>2065</v>
      </c>
      <c r="G43" s="316">
        <f t="shared" si="56"/>
        <v>74629.100000000006</v>
      </c>
      <c r="H43" s="327" t="s">
        <v>103</v>
      </c>
      <c r="I43" s="324">
        <v>8</v>
      </c>
      <c r="J43" s="26">
        <v>3000</v>
      </c>
      <c r="K43" s="10">
        <f t="shared" si="51"/>
        <v>375</v>
      </c>
      <c r="L43" s="324">
        <v>8</v>
      </c>
      <c r="M43" s="11">
        <f t="shared" si="62"/>
        <v>2881.395348837209</v>
      </c>
      <c r="N43" s="11">
        <f t="shared" si="58"/>
        <v>360.17441860465112</v>
      </c>
      <c r="O43" s="12">
        <f t="shared" si="59"/>
        <v>0</v>
      </c>
      <c r="P43" s="13">
        <f t="shared" si="48"/>
        <v>-14.825581395348877</v>
      </c>
      <c r="Q43" s="318">
        <f>N43/K43</f>
        <v>0.96046511627906961</v>
      </c>
      <c r="R43" s="457"/>
      <c r="S43" s="28">
        <v>0.35624999999999996</v>
      </c>
      <c r="T43" s="28">
        <v>0.38611111111111107</v>
      </c>
      <c r="U43" s="316">
        <f t="shared" si="61"/>
        <v>6.9999999999999751</v>
      </c>
      <c r="V43" s="325">
        <f t="shared" si="60"/>
        <v>43.000000000000007</v>
      </c>
      <c r="W43" s="16"/>
      <c r="X43" s="16"/>
      <c r="Y43" s="447"/>
      <c r="Z43" s="448"/>
      <c r="AA43" s="12">
        <f t="shared" si="2"/>
        <v>-118.60465116279101</v>
      </c>
      <c r="AB43" s="318">
        <f t="shared" si="54"/>
        <v>0.96046511627906961</v>
      </c>
      <c r="AC43" s="457"/>
    </row>
    <row r="44" spans="1:29" ht="15.75" customHeight="1">
      <c r="A44" s="454" t="s">
        <v>1464</v>
      </c>
      <c r="B44" s="31" t="s">
        <v>79</v>
      </c>
      <c r="C44" s="444" t="s">
        <v>95</v>
      </c>
      <c r="D44" s="445"/>
      <c r="E44" s="31">
        <v>35.369999999999997</v>
      </c>
      <c r="F44" s="326">
        <v>1444</v>
      </c>
      <c r="G44" s="316">
        <f t="shared" si="56"/>
        <v>51074.28</v>
      </c>
      <c r="H44" s="327" t="s">
        <v>103</v>
      </c>
      <c r="I44" s="324">
        <v>10</v>
      </c>
      <c r="J44" s="26">
        <v>3000</v>
      </c>
      <c r="K44" s="10">
        <f t="shared" si="51"/>
        <v>300</v>
      </c>
      <c r="L44" s="324">
        <v>10</v>
      </c>
      <c r="M44" s="11">
        <f t="shared" si="62"/>
        <v>2888.0000000000027</v>
      </c>
      <c r="N44" s="11">
        <f t="shared" si="58"/>
        <v>288.8000000000003</v>
      </c>
      <c r="O44" s="12">
        <f t="shared" si="59"/>
        <v>0</v>
      </c>
      <c r="P44" s="13">
        <f t="shared" si="48"/>
        <v>-11.199999999999704</v>
      </c>
      <c r="Q44" s="318">
        <f t="shared" ref="Q44:Q45" si="63">N44/K44</f>
        <v>0.96266666666666767</v>
      </c>
      <c r="R44" s="457"/>
      <c r="S44" s="28">
        <v>0.39097222222222217</v>
      </c>
      <c r="T44" s="28">
        <v>0.41180555555555548</v>
      </c>
      <c r="U44" s="316">
        <f t="shared" si="61"/>
        <v>6.9999999999999751</v>
      </c>
      <c r="V44" s="325">
        <f t="shared" si="60"/>
        <v>29.999999999999972</v>
      </c>
      <c r="W44" s="16"/>
      <c r="X44" s="16"/>
      <c r="Y44" s="447"/>
      <c r="Z44" s="448"/>
      <c r="AA44" s="12">
        <f t="shared" si="2"/>
        <v>-111.99999999999727</v>
      </c>
      <c r="AB44" s="318">
        <f t="shared" si="54"/>
        <v>0.96266666666666756</v>
      </c>
      <c r="AC44" s="457"/>
    </row>
    <row r="45" spans="1:29" ht="15.75" customHeight="1">
      <c r="A45" s="455" t="s">
        <v>46</v>
      </c>
      <c r="B45" s="31" t="s">
        <v>36</v>
      </c>
      <c r="C45" s="459"/>
      <c r="D45" s="460"/>
      <c r="E45" s="323"/>
      <c r="F45" s="326"/>
      <c r="G45" s="316"/>
      <c r="H45" s="326"/>
      <c r="I45" s="19">
        <v>9.6666666666666661</v>
      </c>
      <c r="J45" s="26">
        <v>3000</v>
      </c>
      <c r="K45" s="10">
        <f>J45/I45</f>
        <v>310.34482758620692</v>
      </c>
      <c r="L45" s="19">
        <v>9.6666666666666661</v>
      </c>
      <c r="M45" s="11">
        <f>AVERAGE(M39:M44)</f>
        <v>2858.2935189461109</v>
      </c>
      <c r="N45" s="10">
        <f t="shared" si="58"/>
        <v>295.68553644270116</v>
      </c>
      <c r="O45" s="12">
        <f t="shared" si="59"/>
        <v>0</v>
      </c>
      <c r="P45" s="13">
        <f t="shared" si="48"/>
        <v>-14.659291143505754</v>
      </c>
      <c r="Q45" s="318">
        <f t="shared" si="63"/>
        <v>0.95276450631537035</v>
      </c>
      <c r="R45" s="458"/>
      <c r="S45" s="28"/>
      <c r="T45" s="28"/>
      <c r="U45" s="316"/>
      <c r="V45" s="325"/>
      <c r="W45" s="16"/>
      <c r="X45" s="16"/>
      <c r="Y45" s="447"/>
      <c r="Z45" s="448"/>
      <c r="AA45" s="12">
        <f t="shared" si="2"/>
        <v>-141.70648105388909</v>
      </c>
      <c r="AB45" s="318">
        <f t="shared" si="54"/>
        <v>0.95276450631537035</v>
      </c>
      <c r="AC45" s="458"/>
    </row>
    <row r="46" spans="1:29" ht="15.75" customHeight="1">
      <c r="A46" s="451" t="s">
        <v>1465</v>
      </c>
      <c r="B46" s="31" t="s">
        <v>53</v>
      </c>
      <c r="C46" s="441" t="s">
        <v>87</v>
      </c>
      <c r="D46" s="441"/>
      <c r="E46" s="31">
        <v>46</v>
      </c>
      <c r="F46" s="35">
        <v>2665</v>
      </c>
      <c r="G46" s="316">
        <f t="shared" ref="G46:G51" si="64">E46*F46</f>
        <v>122590</v>
      </c>
      <c r="H46" s="327" t="s">
        <v>103</v>
      </c>
      <c r="I46" s="324">
        <v>17</v>
      </c>
      <c r="J46" s="26">
        <v>2000</v>
      </c>
      <c r="K46" s="10">
        <f t="shared" ref="K46:K51" si="65">J46/I46</f>
        <v>117.64705882352941</v>
      </c>
      <c r="L46" s="324">
        <v>17</v>
      </c>
      <c r="M46" s="11">
        <f t="shared" ref="M46:M51" si="66">F46/V46*60</f>
        <v>1903.5714285714278</v>
      </c>
      <c r="N46" s="11">
        <f>M46/L46</f>
        <v>111.97478991596634</v>
      </c>
      <c r="O46" s="12">
        <f>L46-I46</f>
        <v>0</v>
      </c>
      <c r="P46" s="13">
        <f>N46-K46</f>
        <v>-5.6722689075630655</v>
      </c>
      <c r="Q46" s="318">
        <f>N46/K46</f>
        <v>0.9517857142857139</v>
      </c>
      <c r="R46" s="442">
        <f>Q52</f>
        <v>0.95034157709619782</v>
      </c>
      <c r="S46" s="28">
        <v>0.29166666666666669</v>
      </c>
      <c r="T46" s="28">
        <v>0.35000000000000003</v>
      </c>
      <c r="U46" s="18"/>
      <c r="V46" s="325">
        <f t="shared" ref="V46:V51" si="67">(T46-S46)*24*60</f>
        <v>84.000000000000028</v>
      </c>
      <c r="W46" s="18"/>
      <c r="X46" s="18"/>
      <c r="Y46" s="443"/>
      <c r="Z46" s="443"/>
      <c r="AA46" s="12">
        <f t="shared" si="2"/>
        <v>-96.428571428572241</v>
      </c>
      <c r="AB46" s="318">
        <f t="shared" si="54"/>
        <v>0.9517857142857139</v>
      </c>
      <c r="AC46" s="442">
        <f>AB52</f>
        <v>0.95034157709619771</v>
      </c>
    </row>
    <row r="47" spans="1:29" ht="15.75" customHeight="1">
      <c r="A47" s="451" t="s">
        <v>48</v>
      </c>
      <c r="B47" s="31" t="s">
        <v>53</v>
      </c>
      <c r="C47" s="441" t="s">
        <v>88</v>
      </c>
      <c r="D47" s="441"/>
      <c r="E47" s="31">
        <v>46</v>
      </c>
      <c r="F47" s="35">
        <v>2836</v>
      </c>
      <c r="G47" s="316">
        <f t="shared" si="64"/>
        <v>130456</v>
      </c>
      <c r="H47" s="327" t="s">
        <v>103</v>
      </c>
      <c r="I47" s="324">
        <v>17</v>
      </c>
      <c r="J47" s="26">
        <v>2000</v>
      </c>
      <c r="K47" s="10">
        <f t="shared" si="65"/>
        <v>117.64705882352941</v>
      </c>
      <c r="L47" s="324">
        <v>17</v>
      </c>
      <c r="M47" s="11">
        <f t="shared" si="66"/>
        <v>1890.6666666666667</v>
      </c>
      <c r="N47" s="11">
        <f t="shared" ref="N47:N51" si="68">M47/L47</f>
        <v>111.21568627450981</v>
      </c>
      <c r="O47" s="12">
        <f t="shared" ref="O47:O51" si="69">L47-I47</f>
        <v>0</v>
      </c>
      <c r="P47" s="13">
        <f t="shared" ref="P47:P51" si="70">N47-K47</f>
        <v>-6.4313725490195992</v>
      </c>
      <c r="Q47" s="318">
        <f t="shared" ref="Q47:Q51" si="71">N47/K47</f>
        <v>0.94533333333333336</v>
      </c>
      <c r="R47" s="442"/>
      <c r="S47" s="28">
        <v>0.35347222222222224</v>
      </c>
      <c r="T47" s="28">
        <v>0.41597222222222224</v>
      </c>
      <c r="U47" s="316">
        <f>IF(S47=TIME(17,0,0),"",(S47-T46)*24*60)</f>
        <v>4.9999999999999822</v>
      </c>
      <c r="V47" s="325">
        <f t="shared" si="67"/>
        <v>90</v>
      </c>
      <c r="W47" s="16"/>
      <c r="X47" s="16"/>
      <c r="Y47" s="443"/>
      <c r="Z47" s="443"/>
      <c r="AA47" s="12">
        <f t="shared" si="2"/>
        <v>-109.33333333333326</v>
      </c>
      <c r="AB47" s="318">
        <f t="shared" si="54"/>
        <v>0.94533333333333336</v>
      </c>
      <c r="AC47" s="442"/>
    </row>
    <row r="48" spans="1:29" ht="15.75" customHeight="1">
      <c r="A48" s="451" t="s">
        <v>1466</v>
      </c>
      <c r="B48" s="31" t="s">
        <v>58</v>
      </c>
      <c r="C48" s="444" t="s">
        <v>168</v>
      </c>
      <c r="D48" s="445"/>
      <c r="E48" s="31">
        <v>54.09</v>
      </c>
      <c r="F48" s="35">
        <v>2167</v>
      </c>
      <c r="G48" s="316">
        <f t="shared" si="64"/>
        <v>117213.03000000001</v>
      </c>
      <c r="H48" s="327" t="s">
        <v>103</v>
      </c>
      <c r="I48" s="324">
        <v>16</v>
      </c>
      <c r="J48" s="26">
        <v>2000</v>
      </c>
      <c r="K48" s="10">
        <f t="shared" si="65"/>
        <v>125</v>
      </c>
      <c r="L48" s="324">
        <v>16</v>
      </c>
      <c r="M48" s="11">
        <f t="shared" si="66"/>
        <v>1912.0588235294117</v>
      </c>
      <c r="N48" s="11">
        <f t="shared" si="68"/>
        <v>119.50367647058823</v>
      </c>
      <c r="O48" s="12">
        <f t="shared" si="69"/>
        <v>0</v>
      </c>
      <c r="P48" s="13">
        <f t="shared" si="70"/>
        <v>-5.496323529411768</v>
      </c>
      <c r="Q48" s="318">
        <f t="shared" si="71"/>
        <v>0.95602941176470591</v>
      </c>
      <c r="R48" s="442"/>
      <c r="S48" s="28">
        <v>0.4201388888888889</v>
      </c>
      <c r="T48" s="28">
        <v>0.46736111111111112</v>
      </c>
      <c r="U48" s="316">
        <f t="shared" ref="U48:U51" si="72">IF(S48=TIME(17,0,0),"",(S48-T47)*24*60)</f>
        <v>5.9999999999999787</v>
      </c>
      <c r="V48" s="325">
        <f t="shared" si="67"/>
        <v>68</v>
      </c>
      <c r="W48" s="16"/>
      <c r="X48" s="16"/>
      <c r="Y48" s="321"/>
      <c r="Z48" s="322"/>
      <c r="AA48" s="12">
        <f t="shared" si="2"/>
        <v>-87.941176470588289</v>
      </c>
      <c r="AB48" s="318">
        <f t="shared" si="54"/>
        <v>0.95602941176470591</v>
      </c>
      <c r="AC48" s="442"/>
    </row>
    <row r="49" spans="1:29" ht="15.75" customHeight="1">
      <c r="A49" s="451" t="s">
        <v>48</v>
      </c>
      <c r="B49" s="31" t="s">
        <v>58</v>
      </c>
      <c r="C49" s="319" t="s">
        <v>89</v>
      </c>
      <c r="D49" s="320"/>
      <c r="E49" s="31">
        <v>55.56</v>
      </c>
      <c r="F49" s="35">
        <v>2087</v>
      </c>
      <c r="G49" s="316">
        <f t="shared" si="64"/>
        <v>115953.72</v>
      </c>
      <c r="H49" s="327" t="s">
        <v>103</v>
      </c>
      <c r="I49" s="324">
        <v>17</v>
      </c>
      <c r="J49" s="26">
        <v>2000</v>
      </c>
      <c r="K49" s="10">
        <f t="shared" si="65"/>
        <v>117.64705882352941</v>
      </c>
      <c r="L49" s="324">
        <v>17</v>
      </c>
      <c r="M49" s="11">
        <f t="shared" si="66"/>
        <v>1897.2727272727293</v>
      </c>
      <c r="N49" s="11">
        <f t="shared" si="68"/>
        <v>111.60427807486643</v>
      </c>
      <c r="O49" s="12">
        <f t="shared" si="69"/>
        <v>0</v>
      </c>
      <c r="P49" s="13">
        <f t="shared" si="70"/>
        <v>-6.0427807486629774</v>
      </c>
      <c r="Q49" s="318">
        <f t="shared" si="71"/>
        <v>0.94863636363636472</v>
      </c>
      <c r="R49" s="442"/>
      <c r="S49" s="28">
        <v>0.70833333333333337</v>
      </c>
      <c r="T49" s="28">
        <v>0.75416666666666665</v>
      </c>
      <c r="U49" s="316" t="str">
        <f t="shared" si="72"/>
        <v/>
      </c>
      <c r="V49" s="325">
        <f t="shared" si="67"/>
        <v>65.999999999999929</v>
      </c>
      <c r="W49" s="16"/>
      <c r="X49" s="16"/>
      <c r="Y49" s="321"/>
      <c r="Z49" s="322"/>
      <c r="AA49" s="12">
        <f t="shared" si="2"/>
        <v>-102.7272727272707</v>
      </c>
      <c r="AB49" s="318">
        <f t="shared" si="54"/>
        <v>0.94863636363636461</v>
      </c>
      <c r="AC49" s="442"/>
    </row>
    <row r="50" spans="1:29" ht="15.75" customHeight="1">
      <c r="A50" s="451" t="s">
        <v>1467</v>
      </c>
      <c r="B50" s="31" t="s">
        <v>58</v>
      </c>
      <c r="C50" s="319" t="s">
        <v>90</v>
      </c>
      <c r="D50" s="320"/>
      <c r="E50" s="31">
        <v>55.32</v>
      </c>
      <c r="F50" s="35">
        <v>1676</v>
      </c>
      <c r="G50" s="316">
        <f t="shared" si="64"/>
        <v>92716.32</v>
      </c>
      <c r="H50" s="327" t="s">
        <v>103</v>
      </c>
      <c r="I50" s="324">
        <v>15</v>
      </c>
      <c r="J50" s="26">
        <v>2000</v>
      </c>
      <c r="K50" s="10">
        <f t="shared" si="65"/>
        <v>133.33333333333334</v>
      </c>
      <c r="L50" s="324">
        <v>15</v>
      </c>
      <c r="M50" s="11">
        <f t="shared" si="66"/>
        <v>1897.3584905660387</v>
      </c>
      <c r="N50" s="11">
        <f t="shared" si="68"/>
        <v>126.49056603773592</v>
      </c>
      <c r="O50" s="12">
        <f t="shared" si="69"/>
        <v>0</v>
      </c>
      <c r="P50" s="13">
        <f t="shared" si="70"/>
        <v>-6.8427672955974259</v>
      </c>
      <c r="Q50" s="318">
        <f t="shared" si="71"/>
        <v>0.94867924528301928</v>
      </c>
      <c r="R50" s="442"/>
      <c r="S50" s="28">
        <v>0.75902777777777775</v>
      </c>
      <c r="T50" s="28">
        <v>0.79583333333333328</v>
      </c>
      <c r="U50" s="316">
        <f t="shared" si="72"/>
        <v>6.9999999999999751</v>
      </c>
      <c r="V50" s="325">
        <f t="shared" si="67"/>
        <v>52.999999999999972</v>
      </c>
      <c r="W50" s="16"/>
      <c r="X50" s="16"/>
      <c r="Y50" s="321"/>
      <c r="Z50" s="322"/>
      <c r="AA50" s="12">
        <f t="shared" si="2"/>
        <v>-102.64150943396135</v>
      </c>
      <c r="AB50" s="318">
        <f t="shared" si="54"/>
        <v>0.94867924528301928</v>
      </c>
      <c r="AC50" s="442"/>
    </row>
    <row r="51" spans="1:29" ht="15.75" customHeight="1">
      <c r="A51" s="451" t="s">
        <v>1466</v>
      </c>
      <c r="B51" s="31" t="s">
        <v>58</v>
      </c>
      <c r="C51" s="444" t="s">
        <v>91</v>
      </c>
      <c r="D51" s="445"/>
      <c r="E51" s="31">
        <v>57.73</v>
      </c>
      <c r="F51" s="35">
        <v>1190</v>
      </c>
      <c r="G51" s="316">
        <f t="shared" si="64"/>
        <v>68698.7</v>
      </c>
      <c r="H51" s="327" t="s">
        <v>103</v>
      </c>
      <c r="I51" s="324">
        <v>16</v>
      </c>
      <c r="J51" s="26">
        <v>1500</v>
      </c>
      <c r="K51" s="10">
        <f t="shared" si="65"/>
        <v>93.75</v>
      </c>
      <c r="L51" s="324">
        <v>16</v>
      </c>
      <c r="M51" s="11">
        <f t="shared" si="66"/>
        <v>1428.0000000000005</v>
      </c>
      <c r="N51" s="11">
        <f t="shared" si="68"/>
        <v>89.250000000000028</v>
      </c>
      <c r="O51" s="12">
        <f t="shared" si="69"/>
        <v>0</v>
      </c>
      <c r="P51" s="13">
        <f t="shared" si="70"/>
        <v>-4.4999999999999716</v>
      </c>
      <c r="Q51" s="318">
        <f t="shared" si="71"/>
        <v>0.95200000000000029</v>
      </c>
      <c r="R51" s="442"/>
      <c r="S51" s="28">
        <v>0.80069444444444438</v>
      </c>
      <c r="T51" s="28">
        <v>0.83541666666666659</v>
      </c>
      <c r="U51" s="316">
        <f t="shared" si="72"/>
        <v>6.9999999999999751</v>
      </c>
      <c r="V51" s="325">
        <f t="shared" si="67"/>
        <v>49.999999999999986</v>
      </c>
      <c r="W51" s="16"/>
      <c r="X51" s="16"/>
      <c r="Y51" s="447"/>
      <c r="Z51" s="448"/>
      <c r="AA51" s="12">
        <f t="shared" si="2"/>
        <v>-71.999999999999545</v>
      </c>
      <c r="AB51" s="318">
        <f t="shared" si="54"/>
        <v>0.95200000000000029</v>
      </c>
      <c r="AC51" s="442"/>
    </row>
    <row r="52" spans="1:29">
      <c r="A52" s="452" t="s">
        <v>1466</v>
      </c>
      <c r="B52" s="31" t="s">
        <v>1468</v>
      </c>
      <c r="C52" s="446"/>
      <c r="D52" s="446"/>
      <c r="E52" s="317"/>
      <c r="F52" s="33"/>
      <c r="G52" s="10"/>
      <c r="H52" s="326"/>
      <c r="I52" s="19">
        <v>16.333333333333332</v>
      </c>
      <c r="J52" s="26">
        <v>1916.6666666666667</v>
      </c>
      <c r="K52" s="10">
        <f>J52/I52</f>
        <v>117.34693877551021</v>
      </c>
      <c r="L52" s="19">
        <v>16.333333333333332</v>
      </c>
      <c r="M52" s="11">
        <f>AVERAGE(M46:M51)</f>
        <v>1821.4880227677124</v>
      </c>
      <c r="N52" s="10">
        <f>M52/L52</f>
        <v>111.51967486332934</v>
      </c>
      <c r="O52" s="12">
        <f>L52-I52</f>
        <v>0</v>
      </c>
      <c r="P52" s="13">
        <f>N52-K52</f>
        <v>-5.827263912180868</v>
      </c>
      <c r="Q52" s="318">
        <f>N52/K52</f>
        <v>0.95034157709619782</v>
      </c>
      <c r="R52" s="442"/>
      <c r="S52" s="29"/>
      <c r="T52" s="28"/>
      <c r="U52" s="10"/>
      <c r="V52" s="325"/>
      <c r="W52" s="10"/>
      <c r="X52" s="10"/>
      <c r="Y52" s="443"/>
      <c r="Z52" s="443"/>
      <c r="AA52" s="12">
        <f t="shared" si="2"/>
        <v>-95.178643898954306</v>
      </c>
      <c r="AB52" s="318">
        <f t="shared" si="54"/>
        <v>0.95034157709619771</v>
      </c>
      <c r="AC52" s="442"/>
    </row>
    <row r="53" spans="1:29" ht="15.75" customHeight="1">
      <c r="A53" s="449" t="s">
        <v>1469</v>
      </c>
      <c r="B53" s="326" t="s">
        <v>79</v>
      </c>
      <c r="C53" s="441" t="s">
        <v>94</v>
      </c>
      <c r="D53" s="441"/>
      <c r="E53" s="31">
        <v>26.78</v>
      </c>
      <c r="F53" s="35">
        <v>2392</v>
      </c>
      <c r="G53" s="316">
        <f t="shared" ref="G53:G56" si="73">E53*F53</f>
        <v>64057.760000000002</v>
      </c>
      <c r="H53" s="327" t="s">
        <v>103</v>
      </c>
      <c r="I53" s="324">
        <v>10</v>
      </c>
      <c r="J53" s="26">
        <v>3000</v>
      </c>
      <c r="K53" s="10">
        <f t="shared" ref="K53:K56" si="74">J53/I53</f>
        <v>300</v>
      </c>
      <c r="L53" s="19">
        <v>10</v>
      </c>
      <c r="M53" s="11">
        <f t="shared" ref="M53:M56" si="75">F53/V53*60</f>
        <v>2870.4</v>
      </c>
      <c r="N53" s="10">
        <f>M53/L53</f>
        <v>287.04000000000002</v>
      </c>
      <c r="O53" s="12">
        <f t="shared" ref="O53:O56" si="76">L53-I53</f>
        <v>0</v>
      </c>
      <c r="P53" s="13">
        <f t="shared" ref="P53:P56" si="77">N53-K53</f>
        <v>-12.95999999999998</v>
      </c>
      <c r="Q53" s="318">
        <f>N53/K53</f>
        <v>0.95680000000000009</v>
      </c>
      <c r="R53" s="442">
        <f>Q57</f>
        <v>0.95715444976076569</v>
      </c>
      <c r="S53" s="28">
        <v>8.3333333333333329E-2</v>
      </c>
      <c r="T53" s="28">
        <v>0.11805555555555555</v>
      </c>
      <c r="U53" s="316"/>
      <c r="V53" s="325">
        <f t="shared" ref="V53:V56" si="78">(T53-S53)*24*60</f>
        <v>50</v>
      </c>
      <c r="W53" s="18"/>
      <c r="X53" s="18"/>
      <c r="Y53" s="443"/>
      <c r="Z53" s="443"/>
      <c r="AA53" s="12">
        <f t="shared" si="2"/>
        <v>-129.59999999999991</v>
      </c>
      <c r="AB53" s="318">
        <f t="shared" si="54"/>
        <v>0.95679999999999998</v>
      </c>
      <c r="AC53" s="442">
        <f>AB57</f>
        <v>0.95715444976076569</v>
      </c>
    </row>
    <row r="54" spans="1:29" ht="15.75" customHeight="1">
      <c r="A54" s="449" t="s">
        <v>1470</v>
      </c>
      <c r="B54" s="326" t="s">
        <v>79</v>
      </c>
      <c r="C54" s="441" t="s">
        <v>97</v>
      </c>
      <c r="D54" s="441"/>
      <c r="E54" s="31">
        <v>35.119999999999997</v>
      </c>
      <c r="F54" s="35">
        <v>1071</v>
      </c>
      <c r="G54" s="316">
        <f t="shared" si="73"/>
        <v>37613.519999999997</v>
      </c>
      <c r="H54" s="327" t="s">
        <v>103</v>
      </c>
      <c r="I54" s="324">
        <v>13</v>
      </c>
      <c r="J54" s="26">
        <v>2000</v>
      </c>
      <c r="K54" s="10">
        <f t="shared" si="74"/>
        <v>153.84615384615384</v>
      </c>
      <c r="L54" s="19">
        <v>13</v>
      </c>
      <c r="M54" s="11">
        <f t="shared" si="75"/>
        <v>1947.2727272727273</v>
      </c>
      <c r="N54" s="10">
        <f t="shared" ref="N54:N56" si="79">M54/L54</f>
        <v>149.79020979020979</v>
      </c>
      <c r="O54" s="12">
        <f t="shared" si="76"/>
        <v>0</v>
      </c>
      <c r="P54" s="13">
        <f t="shared" si="77"/>
        <v>-4.0559440559440532</v>
      </c>
      <c r="Q54" s="318">
        <f t="shared" ref="Q54:Q56" si="80">N54/K54</f>
        <v>0.97363636363636363</v>
      </c>
      <c r="R54" s="442"/>
      <c r="S54" s="28">
        <v>0.13611111111111113</v>
      </c>
      <c r="T54" s="28">
        <v>0.1590277777777778</v>
      </c>
      <c r="U54" s="316">
        <f>(S54-T53)*24*60</f>
        <v>26.000000000000028</v>
      </c>
      <c r="V54" s="325">
        <f t="shared" si="78"/>
        <v>33</v>
      </c>
      <c r="W54" s="316"/>
      <c r="X54" s="316"/>
      <c r="Y54" s="443"/>
      <c r="Z54" s="443"/>
      <c r="AA54" s="12">
        <f t="shared" si="2"/>
        <v>-52.727272727272748</v>
      </c>
      <c r="AB54" s="318">
        <f t="shared" si="54"/>
        <v>0.97363636363636363</v>
      </c>
      <c r="AC54" s="442"/>
    </row>
    <row r="55" spans="1:29" ht="15.75" customHeight="1">
      <c r="A55" s="449" t="s">
        <v>1469</v>
      </c>
      <c r="B55" s="326" t="s">
        <v>79</v>
      </c>
      <c r="C55" s="441" t="s">
        <v>98</v>
      </c>
      <c r="D55" s="441"/>
      <c r="E55" s="31">
        <v>35.869999999999997</v>
      </c>
      <c r="F55" s="35">
        <v>2094</v>
      </c>
      <c r="G55" s="316">
        <f t="shared" si="73"/>
        <v>75111.78</v>
      </c>
      <c r="H55" s="327" t="s">
        <v>103</v>
      </c>
      <c r="I55" s="324">
        <v>10</v>
      </c>
      <c r="J55" s="26">
        <v>3000</v>
      </c>
      <c r="K55" s="10">
        <f t="shared" si="74"/>
        <v>300</v>
      </c>
      <c r="L55" s="19">
        <v>10</v>
      </c>
      <c r="M55" s="11">
        <f t="shared" si="75"/>
        <v>2855.4545454545455</v>
      </c>
      <c r="N55" s="10">
        <f t="shared" si="79"/>
        <v>285.54545454545456</v>
      </c>
      <c r="O55" s="12">
        <f t="shared" si="76"/>
        <v>0</v>
      </c>
      <c r="P55" s="13">
        <f t="shared" si="77"/>
        <v>-14.454545454545439</v>
      </c>
      <c r="Q55" s="318">
        <f t="shared" si="80"/>
        <v>0.9518181818181819</v>
      </c>
      <c r="R55" s="442"/>
      <c r="S55" s="28">
        <v>0.16458333333333336</v>
      </c>
      <c r="T55" s="28">
        <v>0.19513888888888892</v>
      </c>
      <c r="U55" s="316">
        <f t="shared" ref="U55:U56" si="81">(S55-T54)*24*60</f>
        <v>8.0000000000000107</v>
      </c>
      <c r="V55" s="325">
        <f t="shared" si="78"/>
        <v>44</v>
      </c>
      <c r="W55" s="316"/>
      <c r="X55" s="316"/>
      <c r="Y55" s="443"/>
      <c r="Z55" s="443"/>
      <c r="AA55" s="12">
        <f t="shared" si="2"/>
        <v>-144.5454545454545</v>
      </c>
      <c r="AB55" s="318">
        <f t="shared" si="54"/>
        <v>0.95181818181818179</v>
      </c>
      <c r="AC55" s="442"/>
    </row>
    <row r="56" spans="1:29" ht="15.75" customHeight="1">
      <c r="A56" s="449" t="s">
        <v>1470</v>
      </c>
      <c r="B56" s="326" t="s">
        <v>53</v>
      </c>
      <c r="C56" s="441" t="s">
        <v>96</v>
      </c>
      <c r="D56" s="441"/>
      <c r="E56" s="31">
        <v>26.97</v>
      </c>
      <c r="F56" s="35">
        <v>2958</v>
      </c>
      <c r="G56" s="316">
        <f t="shared" si="73"/>
        <v>79777.259999999995</v>
      </c>
      <c r="H56" s="327" t="s">
        <v>103</v>
      </c>
      <c r="I56" s="324">
        <v>8</v>
      </c>
      <c r="J56" s="26">
        <v>1500</v>
      </c>
      <c r="K56" s="10">
        <f t="shared" si="74"/>
        <v>187.5</v>
      </c>
      <c r="L56" s="19">
        <v>8</v>
      </c>
      <c r="M56" s="11">
        <f t="shared" si="75"/>
        <v>1419.8400000000001</v>
      </c>
      <c r="N56" s="10">
        <f t="shared" si="79"/>
        <v>177.48000000000002</v>
      </c>
      <c r="O56" s="12">
        <f t="shared" si="76"/>
        <v>0</v>
      </c>
      <c r="P56" s="13">
        <f t="shared" si="77"/>
        <v>-10.019999999999982</v>
      </c>
      <c r="Q56" s="318">
        <f t="shared" si="80"/>
        <v>0.94656000000000007</v>
      </c>
      <c r="R56" s="442"/>
      <c r="S56" s="28">
        <v>0.20000000000000004</v>
      </c>
      <c r="T56" s="28">
        <v>0.28680555555555559</v>
      </c>
      <c r="U56" s="316">
        <f t="shared" si="81"/>
        <v>7.0000000000000151</v>
      </c>
      <c r="V56" s="325">
        <f t="shared" si="78"/>
        <v>124.99999999999999</v>
      </c>
      <c r="W56" s="316"/>
      <c r="X56" s="316"/>
      <c r="Y56" s="443"/>
      <c r="Z56" s="443"/>
      <c r="AA56" s="12">
        <f t="shared" si="2"/>
        <v>-80.159999999999854</v>
      </c>
      <c r="AB56" s="318">
        <f t="shared" si="54"/>
        <v>0.94656000000000007</v>
      </c>
      <c r="AC56" s="442"/>
    </row>
    <row r="57" spans="1:29">
      <c r="A57" s="450" t="s">
        <v>49</v>
      </c>
      <c r="B57" s="31" t="s">
        <v>1471</v>
      </c>
      <c r="C57" s="446"/>
      <c r="D57" s="446"/>
      <c r="E57" s="317"/>
      <c r="F57" s="33"/>
      <c r="G57" s="10"/>
      <c r="H57" s="326"/>
      <c r="I57" s="19">
        <v>10.25</v>
      </c>
      <c r="J57" s="26">
        <v>2375</v>
      </c>
      <c r="K57" s="10">
        <f>J57/I57</f>
        <v>231.70731707317074</v>
      </c>
      <c r="L57" s="19">
        <v>10.25</v>
      </c>
      <c r="M57" s="11">
        <f>AVERAGE(M53:M56)</f>
        <v>2273.2418181818184</v>
      </c>
      <c r="N57" s="10">
        <f>M57/L57</f>
        <v>221.779689578714</v>
      </c>
      <c r="O57" s="12">
        <f>L57-I57</f>
        <v>0</v>
      </c>
      <c r="P57" s="13">
        <f>N57-K57</f>
        <v>-9.9276274944567433</v>
      </c>
      <c r="Q57" s="318">
        <f>N57/K57</f>
        <v>0.95715444976076569</v>
      </c>
      <c r="R57" s="442"/>
      <c r="S57" s="28"/>
      <c r="T57" s="28"/>
      <c r="U57" s="10"/>
      <c r="V57" s="325"/>
      <c r="W57" s="10"/>
      <c r="X57" s="10"/>
      <c r="Y57" s="443"/>
      <c r="Z57" s="443"/>
      <c r="AA57" s="12">
        <f t="shared" si="2"/>
        <v>-101.75818181818158</v>
      </c>
      <c r="AB57" s="318">
        <f t="shared" si="54"/>
        <v>0.95715444976076569</v>
      </c>
      <c r="AC57" s="442"/>
    </row>
    <row r="58" spans="1:29" ht="15.75" customHeight="1">
      <c r="A58" s="439" t="s">
        <v>1472</v>
      </c>
      <c r="B58" s="326" t="s">
        <v>67</v>
      </c>
      <c r="C58" s="441" t="s">
        <v>99</v>
      </c>
      <c r="D58" s="441"/>
      <c r="E58" s="31">
        <v>20.2</v>
      </c>
      <c r="F58" s="326">
        <v>2051</v>
      </c>
      <c r="G58" s="316">
        <f t="shared" ref="G58:G63" si="82">E58*F58</f>
        <v>41430.199999999997</v>
      </c>
      <c r="H58" s="327" t="s">
        <v>103</v>
      </c>
      <c r="I58" s="324">
        <v>19</v>
      </c>
      <c r="J58" s="26">
        <v>2400</v>
      </c>
      <c r="K58" s="10">
        <f t="shared" ref="K58:K60" si="83">J58/I58</f>
        <v>126.31578947368421</v>
      </c>
      <c r="L58" s="19">
        <v>19</v>
      </c>
      <c r="M58" s="11">
        <f>F58/V58*60</f>
        <v>2278.8888888888891</v>
      </c>
      <c r="N58" s="10">
        <f t="shared" ref="N58:N63" si="84">M58/L58</f>
        <v>119.94152046783627</v>
      </c>
      <c r="O58" s="12">
        <f t="shared" ref="O58:O63" si="85">L58-I58</f>
        <v>0</v>
      </c>
      <c r="P58" s="13">
        <f t="shared" ref="P58:P63" si="86">N58-K58</f>
        <v>-6.3742690058479354</v>
      </c>
      <c r="Q58" s="318">
        <f>N58/K58</f>
        <v>0.94953703703703718</v>
      </c>
      <c r="R58" s="442">
        <f>Q64</f>
        <v>0.95161132360900169</v>
      </c>
      <c r="S58" s="28">
        <v>8.3333333333333329E-2</v>
      </c>
      <c r="T58" s="28">
        <v>0.12083333333333332</v>
      </c>
      <c r="U58" s="18"/>
      <c r="V58" s="325">
        <f t="shared" ref="V58:V63" si="87">(T58-S58)*24*60</f>
        <v>53.999999999999986</v>
      </c>
      <c r="W58" s="16">
        <f>T58</f>
        <v>0.12083333333333332</v>
      </c>
      <c r="X58" s="16">
        <f>S59</f>
        <v>0.14097222222222222</v>
      </c>
      <c r="Y58" s="443"/>
      <c r="Z58" s="443"/>
      <c r="AA58" s="12">
        <f t="shared" si="2"/>
        <v>-121.11111111111086</v>
      </c>
      <c r="AB58" s="318">
        <f>M58/J58</f>
        <v>0.94953703703703718</v>
      </c>
      <c r="AC58" s="442">
        <f>AB64</f>
        <v>0.95161132360900169</v>
      </c>
    </row>
    <row r="59" spans="1:29" ht="15.75" customHeight="1">
      <c r="A59" s="439" t="s">
        <v>51</v>
      </c>
      <c r="B59" s="326" t="s">
        <v>67</v>
      </c>
      <c r="C59" s="441" t="s">
        <v>100</v>
      </c>
      <c r="D59" s="441"/>
      <c r="E59" s="31">
        <v>19.02</v>
      </c>
      <c r="F59" s="326">
        <v>4100</v>
      </c>
      <c r="G59" s="316">
        <f t="shared" si="82"/>
        <v>77982</v>
      </c>
      <c r="H59" s="327">
        <v>2</v>
      </c>
      <c r="I59" s="324">
        <v>15</v>
      </c>
      <c r="J59" s="26">
        <v>2400</v>
      </c>
      <c r="K59" s="10">
        <f t="shared" si="83"/>
        <v>160</v>
      </c>
      <c r="L59" s="19">
        <v>15</v>
      </c>
      <c r="M59" s="11">
        <f t="shared" ref="M59:M63" si="88">F59/V59*60</f>
        <v>2277.7777777777774</v>
      </c>
      <c r="N59" s="10">
        <f t="shared" si="84"/>
        <v>151.85185185185182</v>
      </c>
      <c r="O59" s="12">
        <f t="shared" si="85"/>
        <v>0</v>
      </c>
      <c r="P59" s="13">
        <f t="shared" si="86"/>
        <v>-8.1481481481481808</v>
      </c>
      <c r="Q59" s="318">
        <f t="shared" ref="Q59:Q64" si="89">N59/K59</f>
        <v>0.94907407407407385</v>
      </c>
      <c r="R59" s="442"/>
      <c r="S59" s="28">
        <v>0.14097222222222222</v>
      </c>
      <c r="T59" s="28">
        <v>0.21597222222222223</v>
      </c>
      <c r="U59" s="316">
        <f>(S59-T58)*24*60</f>
        <v>29.000000000000018</v>
      </c>
      <c r="V59" s="325">
        <f t="shared" si="87"/>
        <v>108.00000000000001</v>
      </c>
      <c r="W59" s="16"/>
      <c r="X59" s="16"/>
      <c r="Y59" s="443"/>
      <c r="Z59" s="443"/>
      <c r="AA59" s="12">
        <f t="shared" si="2"/>
        <v>-122.22222222222263</v>
      </c>
      <c r="AB59" s="318">
        <f t="shared" ref="AB59:AB64" si="90">M59/J59</f>
        <v>0.94907407407407396</v>
      </c>
      <c r="AC59" s="442"/>
    </row>
    <row r="60" spans="1:29" ht="15.75" customHeight="1">
      <c r="A60" s="439" t="s">
        <v>1472</v>
      </c>
      <c r="B60" s="326" t="s">
        <v>67</v>
      </c>
      <c r="C60" s="441" t="s">
        <v>70</v>
      </c>
      <c r="D60" s="441"/>
      <c r="E60" s="31">
        <v>24.25</v>
      </c>
      <c r="F60" s="326">
        <v>2831</v>
      </c>
      <c r="G60" s="316">
        <f t="shared" si="82"/>
        <v>68651.75</v>
      </c>
      <c r="H60" s="327" t="s">
        <v>103</v>
      </c>
      <c r="I60" s="324">
        <v>18</v>
      </c>
      <c r="J60" s="26">
        <v>2400</v>
      </c>
      <c r="K60" s="10">
        <f t="shared" si="83"/>
        <v>133.33333333333334</v>
      </c>
      <c r="L60" s="19">
        <v>18</v>
      </c>
      <c r="M60" s="11">
        <f t="shared" si="88"/>
        <v>2295.405405405405</v>
      </c>
      <c r="N60" s="10">
        <f t="shared" si="84"/>
        <v>127.52252252252249</v>
      </c>
      <c r="O60" s="12">
        <f t="shared" si="85"/>
        <v>0</v>
      </c>
      <c r="P60" s="13">
        <f t="shared" si="86"/>
        <v>-5.8108108108108496</v>
      </c>
      <c r="Q60" s="318">
        <f t="shared" si="89"/>
        <v>0.95641891891891861</v>
      </c>
      <c r="R60" s="442"/>
      <c r="S60" s="28">
        <v>0.22013888888888891</v>
      </c>
      <c r="T60" s="28">
        <v>0.27152777777777781</v>
      </c>
      <c r="U60" s="316">
        <f t="shared" ref="U60:U63" si="91">(S60-T59)*24*60</f>
        <v>6.0000000000000187</v>
      </c>
      <c r="V60" s="325">
        <f t="shared" si="87"/>
        <v>74.000000000000014</v>
      </c>
      <c r="W60" s="16"/>
      <c r="X60" s="16"/>
      <c r="Y60" s="443"/>
      <c r="Z60" s="443"/>
      <c r="AA60" s="12">
        <f t="shared" si="2"/>
        <v>-104.59459459459504</v>
      </c>
      <c r="AB60" s="318">
        <f t="shared" si="90"/>
        <v>0.95641891891891873</v>
      </c>
      <c r="AC60" s="442"/>
    </row>
    <row r="61" spans="1:29" ht="15.75" customHeight="1">
      <c r="A61" s="439" t="s">
        <v>1472</v>
      </c>
      <c r="B61" s="326" t="s">
        <v>67</v>
      </c>
      <c r="C61" s="441" t="s">
        <v>102</v>
      </c>
      <c r="D61" s="441"/>
      <c r="E61" s="31">
        <v>20.52</v>
      </c>
      <c r="F61" s="326">
        <v>3609</v>
      </c>
      <c r="G61" s="316">
        <f t="shared" si="82"/>
        <v>74056.679999999993</v>
      </c>
      <c r="H61" s="327" t="s">
        <v>103</v>
      </c>
      <c r="I61" s="324">
        <v>18</v>
      </c>
      <c r="J61" s="26">
        <v>2400</v>
      </c>
      <c r="K61" s="10">
        <f>J61/I61</f>
        <v>133.33333333333334</v>
      </c>
      <c r="L61" s="19">
        <v>18</v>
      </c>
      <c r="M61" s="11">
        <f t="shared" si="88"/>
        <v>2279.3684210526317</v>
      </c>
      <c r="N61" s="10">
        <f t="shared" si="84"/>
        <v>126.63157894736842</v>
      </c>
      <c r="O61" s="12">
        <f t="shared" si="85"/>
        <v>0</v>
      </c>
      <c r="P61" s="13">
        <f t="shared" si="86"/>
        <v>-6.701754385964918</v>
      </c>
      <c r="Q61" s="318">
        <f t="shared" si="89"/>
        <v>0.9497368421052631</v>
      </c>
      <c r="R61" s="442"/>
      <c r="S61" s="28">
        <v>0.27708333333333335</v>
      </c>
      <c r="T61" s="28">
        <v>0.34305555555555556</v>
      </c>
      <c r="U61" s="316">
        <f t="shared" si="91"/>
        <v>7.9999999999999716</v>
      </c>
      <c r="V61" s="325">
        <f t="shared" si="87"/>
        <v>94.999999999999986</v>
      </c>
      <c r="W61" s="16"/>
      <c r="X61" s="16"/>
      <c r="Y61" s="443"/>
      <c r="Z61" s="443"/>
      <c r="AA61" s="12">
        <f t="shared" si="2"/>
        <v>-120.63157894736833</v>
      </c>
      <c r="AB61" s="318">
        <f t="shared" si="90"/>
        <v>0.94973684210526321</v>
      </c>
      <c r="AC61" s="442"/>
    </row>
    <row r="62" spans="1:29" ht="15.75" customHeight="1">
      <c r="A62" s="439" t="s">
        <v>51</v>
      </c>
      <c r="B62" s="326" t="s">
        <v>67</v>
      </c>
      <c r="C62" s="441" t="s">
        <v>1161</v>
      </c>
      <c r="D62" s="441"/>
      <c r="E62" s="31">
        <v>24.25</v>
      </c>
      <c r="F62" s="326">
        <v>7109</v>
      </c>
      <c r="G62" s="316">
        <f t="shared" si="82"/>
        <v>172393.25</v>
      </c>
      <c r="H62" s="327" t="s">
        <v>103</v>
      </c>
      <c r="I62" s="324">
        <v>17</v>
      </c>
      <c r="J62" s="26">
        <v>2400</v>
      </c>
      <c r="K62" s="10">
        <f t="shared" ref="K62:K64" si="92">J62/I62</f>
        <v>141.1764705882353</v>
      </c>
      <c r="L62" s="19">
        <v>17</v>
      </c>
      <c r="M62" s="11">
        <f t="shared" si="88"/>
        <v>2280.9625668449203</v>
      </c>
      <c r="N62" s="10">
        <f t="shared" si="84"/>
        <v>134.17426863793648</v>
      </c>
      <c r="O62" s="12">
        <f t="shared" si="85"/>
        <v>0</v>
      </c>
      <c r="P62" s="13">
        <f t="shared" si="86"/>
        <v>-7.0022019502988257</v>
      </c>
      <c r="Q62" s="318">
        <f t="shared" si="89"/>
        <v>0.95040106951871661</v>
      </c>
      <c r="R62" s="442"/>
      <c r="S62" s="28">
        <v>0.34791666666666665</v>
      </c>
      <c r="T62" s="28">
        <v>0.47777777777777775</v>
      </c>
      <c r="U62" s="316">
        <f t="shared" si="91"/>
        <v>6.9999999999999751</v>
      </c>
      <c r="V62" s="325">
        <f t="shared" si="87"/>
        <v>186.99999999999997</v>
      </c>
      <c r="W62" s="16">
        <f>T62</f>
        <v>0.47777777777777775</v>
      </c>
      <c r="X62" s="16">
        <f>S63</f>
        <v>0.51805555555555549</v>
      </c>
      <c r="Y62" s="443"/>
      <c r="Z62" s="443"/>
      <c r="AA62" s="12">
        <f t="shared" si="2"/>
        <v>-119.03743315507973</v>
      </c>
      <c r="AB62" s="318">
        <f t="shared" si="90"/>
        <v>0.95040106951871683</v>
      </c>
      <c r="AC62" s="442"/>
    </row>
    <row r="63" spans="1:29" ht="15.75" customHeight="1">
      <c r="A63" s="439" t="s">
        <v>1473</v>
      </c>
      <c r="B63" s="326" t="s">
        <v>67</v>
      </c>
      <c r="C63" s="441" t="s">
        <v>100</v>
      </c>
      <c r="D63" s="441"/>
      <c r="E63" s="31">
        <v>19.02</v>
      </c>
      <c r="F63" s="326">
        <v>3818</v>
      </c>
      <c r="G63" s="316">
        <f t="shared" si="82"/>
        <v>72618.36</v>
      </c>
      <c r="H63" s="327" t="s">
        <v>103</v>
      </c>
      <c r="I63" s="324">
        <v>15</v>
      </c>
      <c r="J63" s="26">
        <v>2400</v>
      </c>
      <c r="K63" s="10">
        <f t="shared" si="92"/>
        <v>160</v>
      </c>
      <c r="L63" s="19">
        <v>15</v>
      </c>
      <c r="M63" s="11">
        <f t="shared" si="88"/>
        <v>2290.8000000000006</v>
      </c>
      <c r="N63" s="10">
        <f t="shared" si="84"/>
        <v>152.72000000000006</v>
      </c>
      <c r="O63" s="12">
        <f t="shared" si="85"/>
        <v>0</v>
      </c>
      <c r="P63" s="13">
        <f t="shared" si="86"/>
        <v>-7.2799999999999443</v>
      </c>
      <c r="Q63" s="318">
        <f t="shared" si="89"/>
        <v>0.95450000000000035</v>
      </c>
      <c r="R63" s="442"/>
      <c r="S63" s="28">
        <v>0.51805555555555549</v>
      </c>
      <c r="T63" s="28">
        <v>0.58749999999999991</v>
      </c>
      <c r="U63" s="316">
        <f t="shared" si="91"/>
        <v>57.999999999999957</v>
      </c>
      <c r="V63" s="325">
        <f t="shared" si="87"/>
        <v>99.999999999999972</v>
      </c>
      <c r="W63" s="16"/>
      <c r="X63" s="16"/>
      <c r="Y63" s="443"/>
      <c r="Z63" s="443"/>
      <c r="AA63" s="12">
        <f t="shared" si="2"/>
        <v>-109.19999999999936</v>
      </c>
      <c r="AB63" s="318">
        <f t="shared" si="90"/>
        <v>0.95450000000000024</v>
      </c>
      <c r="AC63" s="442"/>
    </row>
    <row r="64" spans="1:29" ht="16.5" customHeight="1">
      <c r="A64" s="440" t="s">
        <v>1473</v>
      </c>
      <c r="B64" s="31" t="s">
        <v>1474</v>
      </c>
      <c r="C64" s="446"/>
      <c r="D64" s="446"/>
      <c r="E64" s="317"/>
      <c r="F64" s="33"/>
      <c r="G64" s="10"/>
      <c r="H64" s="326"/>
      <c r="I64" s="19">
        <v>17</v>
      </c>
      <c r="J64" s="26">
        <v>2400</v>
      </c>
      <c r="K64" s="10">
        <f t="shared" si="92"/>
        <v>141.1764705882353</v>
      </c>
      <c r="L64" s="19">
        <v>17</v>
      </c>
      <c r="M64" s="11">
        <f>AVERAGE(M58:M63)</f>
        <v>2283.8671766616039</v>
      </c>
      <c r="N64" s="10">
        <f>M64/L64</f>
        <v>134.34512803891789</v>
      </c>
      <c r="O64" s="12">
        <f>L64-I64</f>
        <v>0</v>
      </c>
      <c r="P64" s="13">
        <f>N64-K64</f>
        <v>-6.8313425493174122</v>
      </c>
      <c r="Q64" s="318">
        <f t="shared" si="89"/>
        <v>0.95161132360900169</v>
      </c>
      <c r="R64" s="442"/>
      <c r="S64" s="28"/>
      <c r="T64" s="28"/>
      <c r="U64" s="10"/>
      <c r="V64" s="325"/>
      <c r="W64" s="10"/>
      <c r="X64" s="10"/>
      <c r="Y64" s="443"/>
      <c r="Z64" s="443"/>
      <c r="AA64" s="12">
        <f t="shared" si="2"/>
        <v>-116.13282333839607</v>
      </c>
      <c r="AB64" s="318">
        <f t="shared" si="90"/>
        <v>0.95161132360900169</v>
      </c>
      <c r="AC64" s="442"/>
    </row>
    <row r="65" spans="4:5">
      <c r="D65" s="22"/>
      <c r="E65" s="22"/>
    </row>
  </sheetData>
  <mergeCells count="17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C27:D27"/>
    <mergeCell ref="Y27:Z27"/>
    <mergeCell ref="C28:D28"/>
    <mergeCell ref="Y28:Z28"/>
    <mergeCell ref="C29:D29"/>
    <mergeCell ref="Y29:Z29"/>
    <mergeCell ref="AC17:AC22"/>
    <mergeCell ref="A17:A22"/>
    <mergeCell ref="C17:D17"/>
    <mergeCell ref="R17:R22"/>
    <mergeCell ref="Y17:Z17"/>
    <mergeCell ref="Y22:Z22"/>
    <mergeCell ref="Y24:Z24"/>
    <mergeCell ref="C25:D25"/>
    <mergeCell ref="Y25:Z25"/>
    <mergeCell ref="C26:D26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6:Z26"/>
    <mergeCell ref="AC39:AC45"/>
    <mergeCell ref="C40:D40"/>
    <mergeCell ref="Y40:Z40"/>
    <mergeCell ref="C41:D41"/>
    <mergeCell ref="Y41:Z41"/>
    <mergeCell ref="C45:D45"/>
    <mergeCell ref="Y45:Z45"/>
    <mergeCell ref="A23:A30"/>
    <mergeCell ref="C23:D23"/>
    <mergeCell ref="R23:R30"/>
    <mergeCell ref="Y23:Z23"/>
    <mergeCell ref="C30:D30"/>
    <mergeCell ref="Y30:Z30"/>
    <mergeCell ref="A31:A38"/>
    <mergeCell ref="C31:D31"/>
    <mergeCell ref="R31:R38"/>
    <mergeCell ref="Y31:Z31"/>
    <mergeCell ref="Y36:Z36"/>
    <mergeCell ref="C37:D37"/>
    <mergeCell ref="Y37:Z37"/>
    <mergeCell ref="C38:D38"/>
    <mergeCell ref="Y38:Z38"/>
    <mergeCell ref="AC23:AC30"/>
    <mergeCell ref="C24:D24"/>
    <mergeCell ref="AC31:AC38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A46:A52"/>
    <mergeCell ref="C46:D46"/>
    <mergeCell ref="R46:R52"/>
    <mergeCell ref="Y46:Z46"/>
    <mergeCell ref="C42:D42"/>
    <mergeCell ref="Y42:Z42"/>
    <mergeCell ref="C43:D43"/>
    <mergeCell ref="Y43:Z43"/>
    <mergeCell ref="C44:D44"/>
    <mergeCell ref="Y44:Z44"/>
    <mergeCell ref="A39:A45"/>
    <mergeCell ref="C39:D39"/>
    <mergeCell ref="R39:R45"/>
    <mergeCell ref="Y39:Z39"/>
    <mergeCell ref="AC53:AC57"/>
    <mergeCell ref="C54:D54"/>
    <mergeCell ref="Y54:Z54"/>
    <mergeCell ref="C55:D55"/>
    <mergeCell ref="Y55:Z55"/>
    <mergeCell ref="C56:D56"/>
    <mergeCell ref="AC46:AC52"/>
    <mergeCell ref="C47:D47"/>
    <mergeCell ref="Y47:Z47"/>
    <mergeCell ref="C48:D48"/>
    <mergeCell ref="C51:D51"/>
    <mergeCell ref="Y51:Z51"/>
    <mergeCell ref="C52:D52"/>
    <mergeCell ref="Y52:Z52"/>
    <mergeCell ref="Y56:Z56"/>
    <mergeCell ref="C57:D57"/>
    <mergeCell ref="Y57:Z57"/>
    <mergeCell ref="A58:A64"/>
    <mergeCell ref="C58:D58"/>
    <mergeCell ref="R58:R64"/>
    <mergeCell ref="Y58:Z58"/>
    <mergeCell ref="Y63:Z63"/>
    <mergeCell ref="C64:D64"/>
    <mergeCell ref="Y64:Z64"/>
    <mergeCell ref="A53:A57"/>
    <mergeCell ref="C53:D53"/>
    <mergeCell ref="R53:R57"/>
    <mergeCell ref="Y53:Z53"/>
    <mergeCell ref="AC58:AC64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</mergeCells>
  <phoneticPr fontId="3" type="noConversion"/>
  <conditionalFormatting sqref="O56:O64 O5:O12 O16:O53">
    <cfRule type="cellIs" dxfId="1136" priority="32" operator="greaterThan">
      <formula>0</formula>
    </cfRule>
  </conditionalFormatting>
  <conditionalFormatting sqref="P5:P7 P56 AA56 P58:P63 P23:P29 P53 P9:P12 P17:P21 P46:P51 P31:P44 AA5:AA53 AA58:AA64">
    <cfRule type="cellIs" dxfId="1135" priority="36" operator="lessThan">
      <formula>0</formula>
    </cfRule>
  </conditionalFormatting>
  <conditionalFormatting sqref="AB56 Q56:Q64 Q5:Q12 Q16:Q53 AB5:AB53 AB58:AB64">
    <cfRule type="cellIs" dxfId="1134" priority="33" operator="greaterThan">
      <formula>1</formula>
    </cfRule>
    <cfRule type="cellIs" dxfId="1133" priority="34" operator="lessThan">
      <formula>0.8</formula>
    </cfRule>
  </conditionalFormatting>
  <conditionalFormatting sqref="AC11:AC12 R11:R12 AC56 R56:R64 AC5:AC9 R5:R9 AC16:AC53 R16:R53">
    <cfRule type="cellIs" dxfId="1132" priority="38" operator="lessThan">
      <formula>0.8</formula>
    </cfRule>
  </conditionalFormatting>
  <conditionalFormatting sqref="AC39">
    <cfRule type="cellIs" dxfId="1131" priority="40" operator="lessThan">
      <formula>0.8</formula>
    </cfRule>
  </conditionalFormatting>
  <conditionalFormatting sqref="AC17:AC21">
    <cfRule type="cellIs" dxfId="1130" priority="37" operator="lessThan">
      <formula>0.8</formula>
    </cfRule>
  </conditionalFormatting>
  <conditionalFormatting sqref="AC23">
    <cfRule type="cellIs" dxfId="1129" priority="39" operator="lessThan">
      <formula>0.8</formula>
    </cfRule>
  </conditionalFormatting>
  <conditionalFormatting sqref="AC31:AC37">
    <cfRule type="cellIs" dxfId="1128" priority="35" operator="lessThan">
      <formula>0.8</formula>
    </cfRule>
  </conditionalFormatting>
  <conditionalFormatting sqref="AA57">
    <cfRule type="cellIs" dxfId="1127" priority="31" operator="lessThan">
      <formula>0</formula>
    </cfRule>
  </conditionalFormatting>
  <conditionalFormatting sqref="AB57">
    <cfRule type="cellIs" dxfId="1126" priority="29" operator="greaterThan">
      <formula>1</formula>
    </cfRule>
    <cfRule type="cellIs" dxfId="1125" priority="30" operator="lessThan">
      <formula>0.8</formula>
    </cfRule>
  </conditionalFormatting>
  <conditionalFormatting sqref="O13:O14">
    <cfRule type="cellIs" dxfId="1124" priority="24" operator="greaterThan">
      <formula>0</formula>
    </cfRule>
  </conditionalFormatting>
  <conditionalFormatting sqref="P13:P14">
    <cfRule type="cellIs" dxfId="1123" priority="27" operator="lessThan">
      <formula>0</formula>
    </cfRule>
  </conditionalFormatting>
  <conditionalFormatting sqref="Q13:Q14">
    <cfRule type="cellIs" dxfId="1122" priority="25" operator="greaterThan">
      <formula>1</formula>
    </cfRule>
    <cfRule type="cellIs" dxfId="1121" priority="26" operator="lessThan">
      <formula>0.8</formula>
    </cfRule>
  </conditionalFormatting>
  <conditionalFormatting sqref="R13:R14 AC13:AC14">
    <cfRule type="cellIs" dxfId="1120" priority="28" operator="lessThan">
      <formula>0.8</formula>
    </cfRule>
  </conditionalFormatting>
  <conditionalFormatting sqref="O55">
    <cfRule type="cellIs" dxfId="1119" priority="19" operator="greaterThan">
      <formula>0</formula>
    </cfRule>
  </conditionalFormatting>
  <conditionalFormatting sqref="P55 AA55">
    <cfRule type="cellIs" dxfId="1118" priority="22" operator="lessThan">
      <formula>0</formula>
    </cfRule>
  </conditionalFormatting>
  <conditionalFormatting sqref="Q55 AB55">
    <cfRule type="cellIs" dxfId="1117" priority="20" operator="greaterThan">
      <formula>1</formula>
    </cfRule>
    <cfRule type="cellIs" dxfId="1116" priority="21" operator="lessThan">
      <formula>0.8</formula>
    </cfRule>
  </conditionalFormatting>
  <conditionalFormatting sqref="R55 AC55">
    <cfRule type="cellIs" dxfId="1115" priority="23" operator="lessThan">
      <formula>0.8</formula>
    </cfRule>
  </conditionalFormatting>
  <conditionalFormatting sqref="O15">
    <cfRule type="cellIs" dxfId="1114" priority="14" operator="greaterThan">
      <formula>0</formula>
    </cfRule>
  </conditionalFormatting>
  <conditionalFormatting sqref="P15">
    <cfRule type="cellIs" dxfId="1113" priority="17" operator="lessThan">
      <formula>0</formula>
    </cfRule>
  </conditionalFormatting>
  <conditionalFormatting sqref="Q15">
    <cfRule type="cellIs" dxfId="1112" priority="15" operator="greaterThan">
      <formula>1</formula>
    </cfRule>
    <cfRule type="cellIs" dxfId="1111" priority="16" operator="lessThan">
      <formula>0.8</formula>
    </cfRule>
  </conditionalFormatting>
  <conditionalFormatting sqref="R15 AC15">
    <cfRule type="cellIs" dxfId="1110" priority="18" operator="lessThan">
      <formula>0.8</formula>
    </cfRule>
  </conditionalFormatting>
  <conditionalFormatting sqref="O54">
    <cfRule type="cellIs" dxfId="1109" priority="9" operator="greaterThan">
      <formula>0</formula>
    </cfRule>
  </conditionalFormatting>
  <conditionalFormatting sqref="P54 AA54">
    <cfRule type="cellIs" dxfId="1108" priority="12" operator="lessThan">
      <formula>0</formula>
    </cfRule>
  </conditionalFormatting>
  <conditionalFormatting sqref="Q54 AB54">
    <cfRule type="cellIs" dxfId="1107" priority="10" operator="greaterThan">
      <formula>1</formula>
    </cfRule>
    <cfRule type="cellIs" dxfId="1106" priority="11" operator="lessThan">
      <formula>0.8</formula>
    </cfRule>
  </conditionalFormatting>
  <conditionalFormatting sqref="R54 AC54">
    <cfRule type="cellIs" dxfId="1105" priority="13" operator="lessThan">
      <formula>0.8</formula>
    </cfRule>
  </conditionalFormatting>
  <conditionalFormatting sqref="P8">
    <cfRule type="cellIs" dxfId="1104" priority="8" operator="lessThan">
      <formula>0</formula>
    </cfRule>
  </conditionalFormatting>
  <conditionalFormatting sqref="P16">
    <cfRule type="cellIs" dxfId="1103" priority="7" operator="lessThan">
      <formula>0</formula>
    </cfRule>
  </conditionalFormatting>
  <conditionalFormatting sqref="P22">
    <cfRule type="cellIs" dxfId="1102" priority="6" operator="lessThan">
      <formula>0</formula>
    </cfRule>
  </conditionalFormatting>
  <conditionalFormatting sqref="P30">
    <cfRule type="cellIs" dxfId="1101" priority="5" operator="lessThan">
      <formula>0</formula>
    </cfRule>
  </conditionalFormatting>
  <conditionalFormatting sqref="P45">
    <cfRule type="cellIs" dxfId="1100" priority="4" operator="lessThan">
      <formula>0</formula>
    </cfRule>
  </conditionalFormatting>
  <conditionalFormatting sqref="P52">
    <cfRule type="cellIs" dxfId="1099" priority="3" operator="lessThan">
      <formula>0</formula>
    </cfRule>
  </conditionalFormatting>
  <conditionalFormatting sqref="P57">
    <cfRule type="cellIs" dxfId="1098" priority="2" operator="lessThan">
      <formula>0</formula>
    </cfRule>
  </conditionalFormatting>
  <conditionalFormatting sqref="P64">
    <cfRule type="cellIs" dxfId="1097" priority="1" operator="lessThan">
      <formula>0</formula>
    </cfRule>
  </conditionalFormatting>
  <dataValidations count="1">
    <dataValidation type="list" allowBlank="1" showInputMessage="1" showErrorMessage="1" sqref="Z8 Y5:Z7 Y8:Y56 Z10:Z53 Y57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1509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28" t="s">
        <v>109</v>
      </c>
      <c r="C3" s="420" t="str">
        <f>TEXT('0919 4度C'!A2,"yyyy.mm.ddaaaa")</f>
        <v>2025.09.19星期五</v>
      </c>
      <c r="D3" s="421"/>
      <c r="E3" s="328" t="s">
        <v>110</v>
      </c>
      <c r="F3" s="422">
        <f>'0919 4度C'!D1</f>
        <v>142595</v>
      </c>
      <c r="G3" s="423"/>
      <c r="H3" s="328" t="s">
        <v>111</v>
      </c>
      <c r="I3" s="424">
        <f>'0919 4度C'!F1</f>
        <v>4674568.3200000012</v>
      </c>
      <c r="J3" s="425"/>
      <c r="K3" s="45"/>
      <c r="L3" s="46"/>
      <c r="M3" s="47"/>
      <c r="N3" s="47"/>
    </row>
    <row r="4" spans="2:17" ht="28.5" customHeight="1">
      <c r="B4" s="426" t="s">
        <v>112</v>
      </c>
      <c r="C4" s="429" t="s">
        <v>1510</v>
      </c>
      <c r="D4" s="430"/>
      <c r="E4" s="431" t="s">
        <v>1511</v>
      </c>
      <c r="F4" s="432"/>
      <c r="G4" s="431" t="s">
        <v>115</v>
      </c>
      <c r="H4" s="432"/>
      <c r="I4" s="431" t="s">
        <v>1512</v>
      </c>
      <c r="J4" s="432"/>
      <c r="L4" s="47"/>
      <c r="M4" s="47"/>
      <c r="N4" s="47"/>
    </row>
    <row r="5" spans="2:17" ht="28.5" customHeight="1">
      <c r="B5" s="427"/>
      <c r="C5" s="429" t="s">
        <v>117</v>
      </c>
      <c r="D5" s="430"/>
      <c r="E5" s="429" t="s">
        <v>118</v>
      </c>
      <c r="F5" s="430"/>
      <c r="G5" s="433" t="s">
        <v>119</v>
      </c>
      <c r="H5" s="434"/>
      <c r="I5" s="435" t="s">
        <v>120</v>
      </c>
      <c r="J5" s="436"/>
      <c r="K5" s="47"/>
      <c r="L5" s="47"/>
      <c r="M5" s="47"/>
      <c r="N5" s="47"/>
    </row>
    <row r="6" spans="2:17" ht="28.5" customHeight="1">
      <c r="B6" s="427"/>
      <c r="C6" s="429" t="s">
        <v>121</v>
      </c>
      <c r="D6" s="430"/>
      <c r="E6" s="437">
        <f>AVERAGE(D13:M13)</f>
        <v>149.16721748748535</v>
      </c>
      <c r="F6" s="438">
        <f>AVERAGE(D27:O27,D13:J13)</f>
        <v>154.11758614896158</v>
      </c>
      <c r="G6" s="399">
        <f>AVERAGE(D13:J13)</f>
        <v>154.11758614896158</v>
      </c>
      <c r="H6" s="400"/>
      <c r="I6" s="399">
        <f>AVERAGE(K13:M13)</f>
        <v>137.61635727737425</v>
      </c>
      <c r="J6" s="400"/>
      <c r="K6" s="47"/>
      <c r="L6" s="47"/>
      <c r="M6" s="47"/>
      <c r="N6" s="47"/>
    </row>
    <row r="7" spans="2:17" ht="28.5" customHeight="1">
      <c r="B7" s="427"/>
      <c r="C7" s="403" t="s">
        <v>122</v>
      </c>
      <c r="D7" s="404"/>
      <c r="E7" s="405">
        <f>AVERAGE(D14:M14)</f>
        <v>142.54211278480813</v>
      </c>
      <c r="F7" s="406">
        <f>AVERAGE(D28:O28,D14:J14)</f>
        <v>147.45681724365326</v>
      </c>
      <c r="G7" s="407">
        <f>AVERAGE(D14:J14)</f>
        <v>147.45681724365326</v>
      </c>
      <c r="H7" s="408"/>
      <c r="I7" s="407">
        <f>AVERAGE(K14:M14)</f>
        <v>131.07446904750273</v>
      </c>
      <c r="J7" s="408"/>
      <c r="K7" s="47"/>
      <c r="L7" s="47"/>
      <c r="M7" s="47"/>
      <c r="N7" s="47"/>
    </row>
    <row r="8" spans="2:17" ht="28.5" customHeight="1">
      <c r="B8" s="428"/>
      <c r="C8" s="403" t="s">
        <v>123</v>
      </c>
      <c r="D8" s="404"/>
      <c r="E8" s="409">
        <f>AVERAGE(D15:M15)</f>
        <v>0.95482743689220828</v>
      </c>
      <c r="F8" s="410">
        <f>AVERAGE(D15:J15,D29:O29)</f>
        <v>0.95583041323054163</v>
      </c>
      <c r="G8" s="411">
        <f>AVERAGE(D15:J15)</f>
        <v>0.95583041323054163</v>
      </c>
      <c r="H8" s="412"/>
      <c r="I8" s="411">
        <f>AVERAGE(K15:M15)</f>
        <v>0.95248715876943058</v>
      </c>
      <c r="J8" s="412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1513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392" t="s">
        <v>128</v>
      </c>
      <c r="C11" s="393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394"/>
      <c r="C12" s="395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396" t="s">
        <v>10</v>
      </c>
      <c r="C13" s="58" t="s">
        <v>140</v>
      </c>
      <c r="D13" s="59">
        <f>SUMIFS('0919 4度C'!$K:$K,'0919 4度C'!$A:$A,"新豐6線",'0919 4度C'!$B:$B,"平均")</f>
        <v>125</v>
      </c>
      <c r="E13" s="60">
        <f>SUMIFS('0919 4度C'!$K:$K,'0919 4度C'!$A:$A,"新豐2線",'0919 4度C'!$B:$B,"平均")</f>
        <v>88.235294117647058</v>
      </c>
      <c r="F13" s="61">
        <f>SUMIFS('0919 4度C'!$K:$K,'0919 4度C'!$A:$A,"新豐5線",'0919 4度C'!$B:$B,"平均")</f>
        <v>88.541666666666671</v>
      </c>
      <c r="G13" s="61">
        <f>SUMIFS('0919 4度C'!$K:$K,'0919 4度C'!$A:$A,"新豐7線",'0919 4度C'!$B:$B,"平均")</f>
        <v>117.64705882352941</v>
      </c>
      <c r="H13" s="61">
        <f>SUMIFS('0919 4度C'!$K:$K,'0919 4度C'!$A:$A,"新豐3線",'0919 4度C'!$B:$B,"平均")</f>
        <v>310.34482758620692</v>
      </c>
      <c r="I13" s="61">
        <f>SUMIFS('0919 4度C'!$K:$K,'0919 4度C'!$A:$A,"新豐1線",'0919 4度C'!$B:$B,"平均")</f>
        <v>117.34693877551021</v>
      </c>
      <c r="J13" s="62">
        <f>SUMIFS('0919 4度C'!$K:$K,'0919 4度C'!$A:$A,"新豐10線",'0919 4度C'!$B:$B,"平均")</f>
        <v>231.70731707317074</v>
      </c>
      <c r="K13" s="63">
        <f>SUMIFS('0919 4度C'!$K:$K,'0919 4度C'!$A:$A,"新豐8線",'0919 4度C'!$B:$B,"平均")</f>
        <v>133.33333333333334</v>
      </c>
      <c r="L13" s="64">
        <f>SUMIFS('0919 4度C'!$K:$K,'0919 4度C'!$A:$A,"新豐9線",'0919 4度C'!$B:$B,"平均")</f>
        <v>137.14285714285714</v>
      </c>
      <c r="M13" s="62">
        <f>SUMIFS('0919 4度C'!$K:$K,'0919 4度C'!$A:$A,"新豐4線",'0919 4度C'!$B:$B,"平均")</f>
        <v>142.37288135593221</v>
      </c>
    </row>
    <row r="14" spans="2:17" ht="39.6" customHeight="1">
      <c r="B14" s="397"/>
      <c r="C14" s="65" t="s">
        <v>141</v>
      </c>
      <c r="D14" s="66">
        <f>SUMIFS('0919 4度C'!$N:$N,'0919 4度C'!$A:$A,"新豐6線",'0919 4度C'!$B:$B,"平均")</f>
        <v>120.45780632411056</v>
      </c>
      <c r="E14" s="67">
        <f>SUMIFS('0919 4度C'!$N:$N,'0919 4度C'!$A:$A,"新豐2線",'0919 4度C'!$B:$B,"平均")</f>
        <v>83.876319758672679</v>
      </c>
      <c r="F14" s="67">
        <f>SUMIFS('0919 4度C'!$N:$N,'0919 4度C'!$A:$A,"新豐5線",'0919 4度C'!$B:$B,"平均")</f>
        <v>84.418078731747414</v>
      </c>
      <c r="G14" s="67">
        <f>SUMIFS('0919 4度C'!$N:$N,'0919 4度C'!$A:$A,"新豐7線",'0919 4度C'!$B:$B,"平均")</f>
        <v>111.83530319584577</v>
      </c>
      <c r="H14" s="67">
        <f>SUMIFS('0919 4度C'!$N:$N,'0919 4度C'!$A:$A,"新豐3線",'0919 4度C'!$B:$B,"平均")</f>
        <v>297.59315564400686</v>
      </c>
      <c r="I14" s="67">
        <f>SUMIFS('0919 4度C'!$N:$N,'0919 4度C'!$A:$A,"新豐1線",'0919 4度C'!$B:$B,"平均")</f>
        <v>112.23762096518958</v>
      </c>
      <c r="J14" s="68">
        <f>SUMIFS('0919 4度C'!$N:$N,'0919 4度C'!$A:$A,"新豐10線",'0919 4度C'!$B:$B,"平均")</f>
        <v>221.77943608600006</v>
      </c>
      <c r="K14" s="69">
        <f>SUMIFS('0919 4度C'!$N:$N,'0919 4度C'!$A:$A,"新豐8線",'0919 4度C'!$B:$B,"平均")</f>
        <v>127.18078458206712</v>
      </c>
      <c r="L14" s="70">
        <f>SUMIFS('0919 4度C'!$N:$N,'0919 4度C'!$A:$A,"新豐9線",'0919 4度C'!$B:$B,"平均")</f>
        <v>130.56544055706618</v>
      </c>
      <c r="M14" s="68">
        <f>SUMIFS('0919 4度C'!$N:$N,'0919 4度C'!$A:$A,"新豐4線",'0919 4度C'!$B:$B,"平均")</f>
        <v>135.47718200337491</v>
      </c>
    </row>
    <row r="15" spans="2:17" ht="40.15" customHeight="1">
      <c r="B15" s="398"/>
      <c r="C15" s="71" t="s">
        <v>1514</v>
      </c>
      <c r="D15" s="72">
        <f t="shared" ref="D15:M15" si="0">D14/D13</f>
        <v>0.96366245059288447</v>
      </c>
      <c r="E15" s="73">
        <f t="shared" si="0"/>
        <v>0.95059829059829037</v>
      </c>
      <c r="F15" s="73">
        <f t="shared" si="0"/>
        <v>0.95342771273502958</v>
      </c>
      <c r="G15" s="73">
        <f t="shared" si="0"/>
        <v>0.95060007716468908</v>
      </c>
      <c r="H15" s="73">
        <f t="shared" si="0"/>
        <v>0.95891127929735531</v>
      </c>
      <c r="I15" s="73">
        <f t="shared" si="0"/>
        <v>0.95645972648596334</v>
      </c>
      <c r="J15" s="74">
        <f t="shared" si="0"/>
        <v>0.95715335573957916</v>
      </c>
      <c r="K15" s="72">
        <f t="shared" si="0"/>
        <v>0.95385588436550328</v>
      </c>
      <c r="L15" s="73">
        <f t="shared" si="0"/>
        <v>0.95203967072860762</v>
      </c>
      <c r="M15" s="74">
        <f t="shared" si="0"/>
        <v>0.95156592121418082</v>
      </c>
    </row>
    <row r="16" spans="2:17" ht="17.25" customHeight="1">
      <c r="B16" s="401" t="s">
        <v>143</v>
      </c>
      <c r="C16" s="329" t="s">
        <v>144</v>
      </c>
      <c r="D16" s="76">
        <f>VLOOKUP("新豐6線",'0919 4度C'!$A:$T,19,0)</f>
        <v>0.70833333333333337</v>
      </c>
      <c r="E16" s="28">
        <f>VLOOKUP("新豐2線",'0919 4度C'!$A:$T,19,0)</f>
        <v>0.20833333333333334</v>
      </c>
      <c r="F16" s="28">
        <f>VLOOKUP("新豐5線",'0919 4度C'!$A:$T,19,0)</f>
        <v>8.3333333333333329E-2</v>
      </c>
      <c r="G16" s="28">
        <f>VLOOKUP("新豐7線",'0919 4度C'!$A:$T,19,0)</f>
        <v>0.20833333333333334</v>
      </c>
      <c r="H16" s="28">
        <f>VLOOKUP("新豐3線",'0919 4度C'!$A:$T,19,0)</f>
        <v>8.3333333333333329E-2</v>
      </c>
      <c r="I16" s="28">
        <f>VLOOKUP("新豐1線",'0919 4度C'!$A:$T,19,0)</f>
        <v>0.29166666666666669</v>
      </c>
      <c r="J16" s="77">
        <f>VLOOKUP("新豐10線",'0919 4度C'!$A:$T,19,0)</f>
        <v>8.3333333333333329E-2</v>
      </c>
      <c r="K16" s="78">
        <f>VLOOKUP("新豐8線",'0919 4度C'!$A:$T,19,0)</f>
        <v>8.3333333333333329E-2</v>
      </c>
      <c r="L16" s="79">
        <f>VLOOKUP("新豐9線",'0919 4度C'!$A:$T,19,0)</f>
        <v>8.3333333333333329E-2</v>
      </c>
      <c r="M16" s="80">
        <f>VLOOKUP("新豐4線",'0919 4度C'!$A:$T,19,0)</f>
        <v>8.3333333333333329E-2</v>
      </c>
    </row>
    <row r="17" spans="2:13" ht="17.25" customHeight="1">
      <c r="B17" s="402"/>
      <c r="C17" s="329" t="s">
        <v>145</v>
      </c>
      <c r="D17" s="78">
        <f>LOOKUP(2,1/(('0919 4度C'!$A:$A="新豐6線")*('0919 4度C'!$T:$T&lt;&gt;"")),'0919 4度C'!$T:$T)</f>
        <v>0.80555555555555558</v>
      </c>
      <c r="E17" s="28">
        <f>LOOKUP(2,1/(('0919 4度C'!$A:$A="新豐2線")*('0919 4度C'!$T:$T&lt;&gt;"")),'0919 4度C'!$T:$T)</f>
        <v>0.37083333333333335</v>
      </c>
      <c r="F17" s="28">
        <f>LOOKUP(2,1/(('0919 4度C'!$A:$A="新豐5線")*('0919 4度C'!$T:$T&lt;&gt;"")),'0919 4度C'!$T:$T)</f>
        <v>0.80972222222222223</v>
      </c>
      <c r="G17" s="28">
        <f>LOOKUP(2,1/(('0919 4度C'!$A:$A="新豐7線")*('0919 4度C'!$T:$T&lt;&gt;"")),'0919 4度C'!$T:$T)</f>
        <v>0.76180555555555562</v>
      </c>
      <c r="H17" s="28">
        <f>LOOKUP(2,1/(('0919 4度C'!$A:$A="新豐3線")*('0919 4度C'!$T:$T&lt;&gt;"")),'0919 4度C'!$T:$T)</f>
        <v>0.39444444444444432</v>
      </c>
      <c r="I17" s="28">
        <f>LOOKUP(2,1/(('0919 4度C'!$A:$A="新豐1線")*('0919 4度C'!$T:$T&lt;&gt;"")),'0919 4度C'!$T:$T)</f>
        <v>0.81874999999999998</v>
      </c>
      <c r="J17" s="77">
        <f>LOOKUP(2,1/(('0919 4度C'!$A:$A="新豐10線")*('0919 4度C'!$T:$T&lt;&gt;"")),'0919 4度C'!$T:$T)</f>
        <v>0.27777777777777779</v>
      </c>
      <c r="K17" s="76">
        <f>LOOKUP(2,1/(('0919 4度C'!$A:$A="新豐8線")*('0919 4度C'!$T:$T&lt;&gt;"")),'0919 4度C'!$T:$T)</f>
        <v>0.59166666666666656</v>
      </c>
      <c r="L17" s="28">
        <f>LOOKUP(2,1/(('0919 4度C'!$A:$A="新豐9線")*('0919 4度C'!$T:$T&lt;&gt;"")),'0919 4度C'!$T:$T)</f>
        <v>0.59027777777777779</v>
      </c>
      <c r="M17" s="77">
        <f>LOOKUP(2,1/(('0919 4度C'!$A:$A="新豐4線")*('0919 4度C'!$T:$T&lt;&gt;"")),'0919 4度C'!$T:$T)</f>
        <v>0.59444444444444433</v>
      </c>
    </row>
    <row r="18" spans="2:13" ht="17.25" customHeight="1">
      <c r="B18" s="383" t="s">
        <v>1515</v>
      </c>
      <c r="C18" s="384"/>
      <c r="D18" s="81">
        <f>SUMIFS('0919 4度C'!$I:$I,'0919 4度C'!$A:$A,"新豐6線",'0919 4度C'!$B:$B,"平均")</f>
        <v>16</v>
      </c>
      <c r="E18" s="82">
        <f>SUMIFS('0919 4度C'!$I:$I,'0919 4度C'!$A:$A,"新豐2線",'0919 4度C'!$B:$B,"平均")</f>
        <v>17</v>
      </c>
      <c r="F18" s="82">
        <f>SUMIFS('0919 4度C'!$I:$I,'0919 4度C'!$A:$A,"新豐5線",'0919 4度C'!$B:$B,"平均")</f>
        <v>19.2</v>
      </c>
      <c r="G18" s="82">
        <f>SUMIFS('0919 4度C'!$I:$I,'0919 4度C'!$A:$A,"新豐7線",'0919 4度C'!$B:$B,"平均")</f>
        <v>17</v>
      </c>
      <c r="H18" s="82">
        <f>SUMIFS('0919 4度C'!$I:$I,'0919 4度C'!$A:$A,"新豐3線",'0919 4度C'!$B:$B,"平均")</f>
        <v>9.6666666666666661</v>
      </c>
      <c r="I18" s="82">
        <f>SUMIFS('0919 4度C'!$I:$I,'0919 4度C'!$A:$A,"新豐1線",'0919 4度C'!$B:$B,"平均")</f>
        <v>16.333333333333332</v>
      </c>
      <c r="J18" s="83">
        <f>SUMIFS('0919 4度C'!$I:$I,'0919 4度C'!$A:$A,"新豐10線",'0919 4度C'!$B:$B,"平均")</f>
        <v>10.25</v>
      </c>
      <c r="K18" s="81">
        <f>SUMIFS('0919 4度C'!$I:$I,'0919 4度C'!$A:$A,"新豐8線",'0919 4度C'!$B:$B,"平均")</f>
        <v>18</v>
      </c>
      <c r="L18" s="82">
        <f>SUMIFS('0919 4度C'!$I:$I,'0919 4度C'!$A:$A,"新豐9線",'0919 4度C'!$B:$B,"平均")</f>
        <v>17.5</v>
      </c>
      <c r="M18" s="83">
        <f>SUMIFS('0919 4度C'!$I:$I,'0919 4度C'!$A:$A,"新豐4線",'0919 4度C'!$B:$B,"平均")</f>
        <v>16.857142857142858</v>
      </c>
    </row>
    <row r="19" spans="2:13" ht="17.25" customHeight="1">
      <c r="B19" s="383" t="s">
        <v>1516</v>
      </c>
      <c r="C19" s="384"/>
      <c r="D19" s="84" t="s">
        <v>148</v>
      </c>
      <c r="E19" s="85" t="s">
        <v>149</v>
      </c>
      <c r="F19" s="85" t="s">
        <v>150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1517</v>
      </c>
      <c r="L19" s="85" t="s">
        <v>152</v>
      </c>
      <c r="M19" s="86" t="s">
        <v>152</v>
      </c>
    </row>
    <row r="20" spans="2:13" ht="17.25" customHeight="1">
      <c r="B20" s="383" t="s">
        <v>153</v>
      </c>
      <c r="C20" s="384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385" t="s">
        <v>155</v>
      </c>
      <c r="C21" s="386"/>
      <c r="D21" s="87"/>
      <c r="E21" s="88" t="s">
        <v>1518</v>
      </c>
      <c r="F21" s="387" t="s">
        <v>157</v>
      </c>
      <c r="G21" s="388"/>
      <c r="H21" s="88" t="s">
        <v>1519</v>
      </c>
      <c r="I21" s="88" t="s">
        <v>159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09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>
    <pageSetUpPr fitToPage="1"/>
  </sheetPr>
  <dimension ref="A1:AC65"/>
  <sheetViews>
    <sheetView zoomScale="80" zoomScaleNormal="80" workbookViewId="0">
      <pane ySplit="4" topLeftCell="A53" activePane="bottomLeft" state="frozen"/>
      <selection activeCell="C3" sqref="C3:D3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1520</v>
      </c>
      <c r="B1" s="1"/>
      <c r="C1" s="2" t="s">
        <v>1521</v>
      </c>
      <c r="D1" s="3">
        <f>SUM(F5:F64)</f>
        <v>142595</v>
      </c>
      <c r="E1" s="316" t="s">
        <v>1522</v>
      </c>
      <c r="F1" s="1">
        <f>SUM(G5:G64)</f>
        <v>4674568.3200000012</v>
      </c>
      <c r="G1" s="1" t="s">
        <v>1523</v>
      </c>
      <c r="H1" s="106">
        <f>L8+L10+L44+L51+L16+L56+L30+L37+L22+L64</f>
        <v>157.80714285714285</v>
      </c>
      <c r="I1" s="482" t="s">
        <v>1524</v>
      </c>
      <c r="J1" s="482"/>
      <c r="K1" s="482"/>
      <c r="L1" s="482" t="s">
        <v>1525</v>
      </c>
      <c r="M1" s="482"/>
      <c r="N1" s="482"/>
      <c r="O1" s="482" t="s">
        <v>1526</v>
      </c>
      <c r="P1" s="482"/>
      <c r="Q1" s="482"/>
      <c r="R1" s="482"/>
      <c r="S1" s="482" t="s">
        <v>1527</v>
      </c>
      <c r="T1" s="482"/>
      <c r="U1" s="482"/>
      <c r="V1" s="482"/>
      <c r="W1" s="482"/>
      <c r="X1" s="482"/>
      <c r="Y1" s="482" t="s">
        <v>1528</v>
      </c>
      <c r="Z1" s="482"/>
      <c r="AA1" s="482" t="s">
        <v>1529</v>
      </c>
      <c r="AB1" s="483"/>
      <c r="AC1" s="483"/>
    </row>
    <row r="2" spans="1:29" ht="26.25" customHeight="1">
      <c r="A2" s="24">
        <v>45919</v>
      </c>
      <c r="B2" s="25" t="s">
        <v>400</v>
      </c>
      <c r="C2" s="2" t="s">
        <v>1530</v>
      </c>
      <c r="D2" s="6">
        <f>AVERAGE(N8,N10,N44,N51,N16,N56,N22,N30,N37,N64)</f>
        <v>142.54211278480813</v>
      </c>
      <c r="E2" s="7" t="s">
        <v>11</v>
      </c>
      <c r="F2" s="8">
        <f>F1/D1</f>
        <v>32.782133454889731</v>
      </c>
      <c r="G2" s="1" t="s">
        <v>1531</v>
      </c>
      <c r="H2" s="344">
        <f>COUNT(H5:H71)</f>
        <v>3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1532</v>
      </c>
      <c r="B3" s="443" t="s">
        <v>1533</v>
      </c>
      <c r="C3" s="443" t="s">
        <v>1534</v>
      </c>
      <c r="D3" s="443"/>
      <c r="E3" s="484" t="s">
        <v>1535</v>
      </c>
      <c r="F3" s="443" t="s">
        <v>1536</v>
      </c>
      <c r="G3" s="484" t="s">
        <v>1537</v>
      </c>
      <c r="H3" s="476" t="s">
        <v>1538</v>
      </c>
      <c r="I3" s="474" t="s">
        <v>1539</v>
      </c>
      <c r="J3" s="479" t="s">
        <v>1540</v>
      </c>
      <c r="K3" s="481" t="s">
        <v>1541</v>
      </c>
      <c r="L3" s="474" t="s">
        <v>1539</v>
      </c>
      <c r="M3" s="479" t="s">
        <v>1542</v>
      </c>
      <c r="N3" s="481" t="s">
        <v>1541</v>
      </c>
      <c r="O3" s="474" t="s">
        <v>1539</v>
      </c>
      <c r="P3" s="481" t="s">
        <v>1541</v>
      </c>
      <c r="Q3" s="480" t="s">
        <v>1543</v>
      </c>
      <c r="R3" s="451" t="s">
        <v>1544</v>
      </c>
      <c r="S3" s="486" t="s">
        <v>25</v>
      </c>
      <c r="T3" s="486"/>
      <c r="U3" s="476" t="s">
        <v>26</v>
      </c>
      <c r="V3" s="476" t="s">
        <v>1545</v>
      </c>
      <c r="W3" s="443" t="s">
        <v>1546</v>
      </c>
      <c r="X3" s="443"/>
      <c r="Y3" s="477" t="s">
        <v>1547</v>
      </c>
      <c r="Z3" s="478"/>
      <c r="AA3" s="479" t="s">
        <v>1542</v>
      </c>
      <c r="AB3" s="480" t="s">
        <v>1543</v>
      </c>
      <c r="AC3" s="451" t="s">
        <v>1548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26" t="s">
        <v>31</v>
      </c>
      <c r="T4" s="326" t="s">
        <v>32</v>
      </c>
      <c r="U4" s="476"/>
      <c r="V4" s="476"/>
      <c r="W4" s="316" t="s">
        <v>1549</v>
      </c>
      <c r="X4" s="316" t="s">
        <v>1550</v>
      </c>
      <c r="Y4" s="478"/>
      <c r="Z4" s="478"/>
      <c r="AA4" s="479"/>
      <c r="AB4" s="480"/>
      <c r="AC4" s="451"/>
    </row>
    <row r="5" spans="1:29">
      <c r="A5" s="473" t="s">
        <v>1551</v>
      </c>
      <c r="B5" s="31" t="s">
        <v>58</v>
      </c>
      <c r="C5" s="475" t="s">
        <v>104</v>
      </c>
      <c r="D5" s="475"/>
      <c r="E5" s="31">
        <v>46.93</v>
      </c>
      <c r="F5" s="326">
        <v>754</v>
      </c>
      <c r="G5" s="316">
        <f>E5*F5</f>
        <v>35385.22</v>
      </c>
      <c r="H5" s="327" t="s">
        <v>103</v>
      </c>
      <c r="I5" s="324">
        <v>16</v>
      </c>
      <c r="J5" s="26">
        <v>2000</v>
      </c>
      <c r="K5" s="10">
        <f>J5/I5</f>
        <v>125</v>
      </c>
      <c r="L5" s="324">
        <v>16</v>
      </c>
      <c r="M5" s="11">
        <f>F5/V5*60</f>
        <v>1966.9565217391239</v>
      </c>
      <c r="N5" s="10">
        <f>M5/L5</f>
        <v>122.93478260869524</v>
      </c>
      <c r="O5" s="12">
        <f t="shared" ref="O5:O7" si="0">L5-I5</f>
        <v>0</v>
      </c>
      <c r="P5" s="13">
        <f t="shared" ref="P5:P7" si="1">N5-K5</f>
        <v>-2.0652173913047562</v>
      </c>
      <c r="Q5" s="318">
        <f>N5/K5</f>
        <v>0.98347826086956192</v>
      </c>
      <c r="R5" s="442">
        <f>Q8</f>
        <v>0.96366245059288447</v>
      </c>
      <c r="S5" s="28">
        <v>0.70833333333333337</v>
      </c>
      <c r="T5" s="28">
        <v>0.72430555555555565</v>
      </c>
      <c r="U5" s="316"/>
      <c r="V5" s="325">
        <f>(T5-S5)*24*60</f>
        <v>23.000000000000078</v>
      </c>
      <c r="W5" s="16"/>
      <c r="X5" s="17"/>
      <c r="Y5" s="443"/>
      <c r="Z5" s="443"/>
      <c r="AA5" s="12">
        <f t="shared" ref="AA5:AA64" si="2">M5-J5</f>
        <v>-33.0434782608761</v>
      </c>
      <c r="AB5" s="318">
        <f t="shared" ref="AB5:AB7" si="3">M5/J5</f>
        <v>0.98347826086956192</v>
      </c>
      <c r="AC5" s="442">
        <f>AB8</f>
        <v>0.96366245059288447</v>
      </c>
    </row>
    <row r="6" spans="1:29">
      <c r="A6" s="474" t="s">
        <v>1551</v>
      </c>
      <c r="B6" s="31" t="s">
        <v>58</v>
      </c>
      <c r="C6" s="475" t="s">
        <v>105</v>
      </c>
      <c r="D6" s="475"/>
      <c r="E6" s="31">
        <v>50.49</v>
      </c>
      <c r="F6" s="326">
        <v>1747</v>
      </c>
      <c r="G6" s="316">
        <f t="shared" ref="G6:G7" si="4">E6*F6</f>
        <v>88206.03</v>
      </c>
      <c r="H6" s="327" t="s">
        <v>103</v>
      </c>
      <c r="I6" s="324">
        <v>15</v>
      </c>
      <c r="J6" s="26">
        <v>2000</v>
      </c>
      <c r="K6" s="10">
        <f t="shared" ref="K6:K7" si="5">J6/I6</f>
        <v>133.33333333333334</v>
      </c>
      <c r="L6" s="324">
        <v>15</v>
      </c>
      <c r="M6" s="11">
        <f>F6/V6*60</f>
        <v>1905.8181818181829</v>
      </c>
      <c r="N6" s="10">
        <f t="shared" ref="N6:N7" si="6">M6/L6</f>
        <v>127.05454545454553</v>
      </c>
      <c r="O6" s="12">
        <f t="shared" si="0"/>
        <v>0</v>
      </c>
      <c r="P6" s="13">
        <f t="shared" si="1"/>
        <v>-6.27878787878781</v>
      </c>
      <c r="Q6" s="318">
        <f t="shared" ref="Q6:Q7" si="7">N6/K6</f>
        <v>0.95290909090909148</v>
      </c>
      <c r="R6" s="442"/>
      <c r="S6" s="28">
        <v>0.72916666666666674</v>
      </c>
      <c r="T6" s="28">
        <v>0.76736111111111116</v>
      </c>
      <c r="U6" s="316">
        <f>(S6-T5)*24*60</f>
        <v>6.9999999999999751</v>
      </c>
      <c r="V6" s="325">
        <f>(T6-S6)*24*60</f>
        <v>54.999999999999964</v>
      </c>
      <c r="W6" s="16"/>
      <c r="X6" s="16"/>
      <c r="Y6" s="443"/>
      <c r="Z6" s="443"/>
      <c r="AA6" s="12">
        <f t="shared" si="2"/>
        <v>-94.181818181817107</v>
      </c>
      <c r="AB6" s="318">
        <f t="shared" si="3"/>
        <v>0.95290909090909148</v>
      </c>
      <c r="AC6" s="442"/>
    </row>
    <row r="7" spans="1:29">
      <c r="A7" s="474" t="s">
        <v>1551</v>
      </c>
      <c r="B7" s="31" t="s">
        <v>58</v>
      </c>
      <c r="C7" s="471" t="s">
        <v>106</v>
      </c>
      <c r="D7" s="472"/>
      <c r="E7" s="31">
        <v>50.67</v>
      </c>
      <c r="F7" s="326">
        <v>1591</v>
      </c>
      <c r="G7" s="316">
        <f t="shared" si="4"/>
        <v>80615.97</v>
      </c>
      <c r="H7" s="327" t="s">
        <v>103</v>
      </c>
      <c r="I7" s="324">
        <v>17</v>
      </c>
      <c r="J7" s="26">
        <v>2000</v>
      </c>
      <c r="K7" s="10">
        <f t="shared" si="5"/>
        <v>117.64705882352941</v>
      </c>
      <c r="L7" s="324">
        <v>17</v>
      </c>
      <c r="M7" s="11">
        <f t="shared" ref="M7" si="8">F7/V7*60</f>
        <v>1909.2000000000005</v>
      </c>
      <c r="N7" s="10">
        <f t="shared" si="6"/>
        <v>112.30588235294121</v>
      </c>
      <c r="O7" s="12">
        <f t="shared" si="0"/>
        <v>0</v>
      </c>
      <c r="P7" s="13">
        <f t="shared" si="1"/>
        <v>-5.341176470588195</v>
      </c>
      <c r="Q7" s="318">
        <f t="shared" si="7"/>
        <v>0.95460000000000034</v>
      </c>
      <c r="R7" s="442"/>
      <c r="S7" s="28">
        <v>0.77083333333333337</v>
      </c>
      <c r="T7" s="28">
        <v>0.80555555555555558</v>
      </c>
      <c r="U7" s="316">
        <f t="shared" ref="U7" si="9">(S7-T6)*24*60</f>
        <v>4.9999999999999822</v>
      </c>
      <c r="V7" s="325">
        <f t="shared" ref="V7" si="10">(T7-S7)*24*60</f>
        <v>49.999999999999986</v>
      </c>
      <c r="W7" s="16"/>
      <c r="X7" s="16"/>
      <c r="Y7" s="447"/>
      <c r="Z7" s="448"/>
      <c r="AA7" s="12">
        <f t="shared" si="2"/>
        <v>-90.7999999999995</v>
      </c>
      <c r="AB7" s="318">
        <f t="shared" si="3"/>
        <v>0.95460000000000023</v>
      </c>
      <c r="AC7" s="442"/>
    </row>
    <row r="8" spans="1:29">
      <c r="A8" s="474" t="s">
        <v>1551</v>
      </c>
      <c r="B8" s="31" t="s">
        <v>1552</v>
      </c>
      <c r="C8" s="446"/>
      <c r="D8" s="446"/>
      <c r="E8" s="317"/>
      <c r="F8" s="33"/>
      <c r="G8" s="10"/>
      <c r="H8" s="326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1927.324901185769</v>
      </c>
      <c r="N8" s="10">
        <f>M8/L8</f>
        <v>120.45780632411056</v>
      </c>
      <c r="O8" s="12">
        <f>L8-I8</f>
        <v>0</v>
      </c>
      <c r="P8" s="13">
        <f>N8-K8</f>
        <v>-4.5421936758894361</v>
      </c>
      <c r="Q8" s="318">
        <f>N8/K8</f>
        <v>0.96366245059288447</v>
      </c>
      <c r="R8" s="442"/>
      <c r="S8" s="28"/>
      <c r="T8" s="28"/>
      <c r="U8" s="316"/>
      <c r="V8" s="325"/>
      <c r="W8" s="10"/>
      <c r="X8" s="10"/>
      <c r="Y8" s="443"/>
      <c r="Z8" s="443"/>
      <c r="AA8" s="12">
        <f t="shared" si="2"/>
        <v>-72.675098814230978</v>
      </c>
      <c r="AB8" s="318">
        <f>M8/J8</f>
        <v>0.96366245059288447</v>
      </c>
      <c r="AC8" s="442"/>
    </row>
    <row r="9" spans="1:29" ht="15.75" customHeight="1">
      <c r="A9" s="439" t="s">
        <v>1553</v>
      </c>
      <c r="B9" s="31" t="s">
        <v>53</v>
      </c>
      <c r="C9" s="471" t="s">
        <v>54</v>
      </c>
      <c r="D9" s="472"/>
      <c r="E9" s="31">
        <v>39.799999999999997</v>
      </c>
      <c r="F9" s="326">
        <v>5561</v>
      </c>
      <c r="G9" s="316">
        <f t="shared" ref="G9" si="11">E9*F9</f>
        <v>221327.8</v>
      </c>
      <c r="H9" s="327" t="s">
        <v>103</v>
      </c>
      <c r="I9" s="324">
        <v>17</v>
      </c>
      <c r="J9" s="26">
        <v>1500</v>
      </c>
      <c r="K9" s="10">
        <f t="shared" ref="K9" si="12">J9/I9</f>
        <v>88.235294117647058</v>
      </c>
      <c r="L9" s="324">
        <v>17</v>
      </c>
      <c r="M9" s="11">
        <f t="shared" ref="M9" si="13">F9/V9*60</f>
        <v>1425.8974358974356</v>
      </c>
      <c r="N9" s="10">
        <f t="shared" ref="N9" si="14">M9/L9</f>
        <v>83.876319758672679</v>
      </c>
      <c r="O9" s="12">
        <f t="shared" ref="O9" si="15">L9-I9</f>
        <v>0</v>
      </c>
      <c r="P9" s="13">
        <f>N9-K9</f>
        <v>-4.358974358974379</v>
      </c>
      <c r="Q9" s="318">
        <f>N9/K9</f>
        <v>0.95059829059829037</v>
      </c>
      <c r="R9" s="442">
        <f>Q10</f>
        <v>0.95059829059829037</v>
      </c>
      <c r="S9" s="28">
        <v>0.20833333333333334</v>
      </c>
      <c r="T9" s="28">
        <v>0.37083333333333335</v>
      </c>
      <c r="U9" s="316"/>
      <c r="V9" s="325">
        <f t="shared" ref="V9" si="16">(T9-S9)*24*60</f>
        <v>234.00000000000003</v>
      </c>
      <c r="W9" s="16"/>
      <c r="X9" s="16"/>
      <c r="Y9" s="443"/>
      <c r="Z9" s="443"/>
      <c r="AA9" s="12">
        <f t="shared" si="2"/>
        <v>-74.102564102564429</v>
      </c>
      <c r="AB9" s="318">
        <f>M9/J9</f>
        <v>0.95059829059829037</v>
      </c>
      <c r="AC9" s="442">
        <f>AB10</f>
        <v>0.95059829059829037</v>
      </c>
    </row>
    <row r="10" spans="1:29" ht="16.5" customHeight="1">
      <c r="A10" s="439" t="s">
        <v>1553</v>
      </c>
      <c r="B10" s="31" t="s">
        <v>1552</v>
      </c>
      <c r="C10" s="446"/>
      <c r="D10" s="446"/>
      <c r="E10" s="317"/>
      <c r="F10" s="26"/>
      <c r="G10" s="11"/>
      <c r="H10" s="326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1425.8974358974356</v>
      </c>
      <c r="N10" s="10">
        <f>M10/L10</f>
        <v>83.876319758672679</v>
      </c>
      <c r="O10" s="12">
        <f>L10-I10</f>
        <v>0</v>
      </c>
      <c r="P10" s="13">
        <f>N10-K10</f>
        <v>-4.358974358974379</v>
      </c>
      <c r="Q10" s="318">
        <f>N10/K10</f>
        <v>0.95059829059829037</v>
      </c>
      <c r="R10" s="442"/>
      <c r="S10" s="28"/>
      <c r="T10" s="28"/>
      <c r="U10" s="10"/>
      <c r="V10" s="325"/>
      <c r="W10" s="10"/>
      <c r="X10" s="10"/>
      <c r="Y10" s="443"/>
      <c r="Z10" s="443"/>
      <c r="AA10" s="12">
        <f t="shared" si="2"/>
        <v>-74.102564102564429</v>
      </c>
      <c r="AB10" s="318">
        <f t="shared" ref="AB10:AB22" si="17">M10/J10</f>
        <v>0.95059829059829037</v>
      </c>
      <c r="AC10" s="442"/>
    </row>
    <row r="11" spans="1:29" ht="16.5" customHeight="1">
      <c r="A11" s="469" t="s">
        <v>1554</v>
      </c>
      <c r="B11" s="326" t="s">
        <v>56</v>
      </c>
      <c r="C11" s="464" t="s">
        <v>57</v>
      </c>
      <c r="D11" s="464"/>
      <c r="E11" s="31">
        <v>41</v>
      </c>
      <c r="F11" s="326">
        <v>1674</v>
      </c>
      <c r="G11" s="316">
        <f t="shared" ref="G11:G15" si="18">E11*F11</f>
        <v>68634</v>
      </c>
      <c r="H11" s="327" t="s">
        <v>103</v>
      </c>
      <c r="I11" s="324">
        <v>26</v>
      </c>
      <c r="J11" s="26">
        <v>1500</v>
      </c>
      <c r="K11" s="10">
        <f>J11/I11</f>
        <v>57.692307692307693</v>
      </c>
      <c r="L11" s="324">
        <v>26</v>
      </c>
      <c r="M11" s="11">
        <f>F11/V11*60</f>
        <v>1434.8571428571427</v>
      </c>
      <c r="N11" s="10">
        <f t="shared" ref="N11:N21" si="19">M11/L11</f>
        <v>55.186813186813183</v>
      </c>
      <c r="O11" s="12">
        <f t="shared" ref="O11" si="20">L11-I11</f>
        <v>0</v>
      </c>
      <c r="P11" s="13">
        <f t="shared" ref="P11" si="21">N11-K11</f>
        <v>-2.5054945054945108</v>
      </c>
      <c r="Q11" s="318">
        <f>N11/K11</f>
        <v>0.95657142857142852</v>
      </c>
      <c r="R11" s="442">
        <f>Q16</f>
        <v>0.95342771273502958</v>
      </c>
      <c r="S11" s="28">
        <v>8.3333333333333329E-2</v>
      </c>
      <c r="T11" s="28">
        <v>0.13194444444444445</v>
      </c>
      <c r="U11" s="316"/>
      <c r="V11" s="325">
        <f>(T11-S11)*24*60</f>
        <v>70.000000000000014</v>
      </c>
      <c r="W11" s="16">
        <f>T11</f>
        <v>0.13194444444444445</v>
      </c>
      <c r="X11" s="16">
        <f>S12</f>
        <v>0.15208333333333335</v>
      </c>
      <c r="Y11" s="443"/>
      <c r="Z11" s="443"/>
      <c r="AA11" s="12">
        <f t="shared" si="2"/>
        <v>-65.142857142857338</v>
      </c>
      <c r="AB11" s="318">
        <f t="shared" si="17"/>
        <v>0.95657142857142841</v>
      </c>
      <c r="AC11" s="442">
        <f>AB16</f>
        <v>0.95342771273502958</v>
      </c>
    </row>
    <row r="12" spans="1:29" ht="16.5" customHeight="1">
      <c r="A12" s="470" t="s">
        <v>1554</v>
      </c>
      <c r="B12" s="326" t="s">
        <v>53</v>
      </c>
      <c r="C12" s="464" t="s">
        <v>107</v>
      </c>
      <c r="D12" s="464"/>
      <c r="E12" s="31">
        <v>39.619999999999997</v>
      </c>
      <c r="F12" s="326">
        <v>4043</v>
      </c>
      <c r="G12" s="316">
        <f t="shared" si="18"/>
        <v>160183.66</v>
      </c>
      <c r="H12" s="327" t="s">
        <v>103</v>
      </c>
      <c r="I12" s="324">
        <v>19</v>
      </c>
      <c r="J12" s="26">
        <v>1500</v>
      </c>
      <c r="K12" s="10">
        <f>J12/I12</f>
        <v>78.94736842105263</v>
      </c>
      <c r="L12" s="324">
        <v>19</v>
      </c>
      <c r="M12" s="11">
        <f>F12/V12*60</f>
        <v>1426.9411764705881</v>
      </c>
      <c r="N12" s="10">
        <f t="shared" si="19"/>
        <v>75.102167182662527</v>
      </c>
      <c r="O12" s="12">
        <f>L12-I12</f>
        <v>0</v>
      </c>
      <c r="P12" s="13">
        <f>N12-K12</f>
        <v>-3.8452012383901035</v>
      </c>
      <c r="Q12" s="318">
        <f>N12/K12</f>
        <v>0.95129411764705873</v>
      </c>
      <c r="R12" s="442"/>
      <c r="S12" s="28">
        <v>0.15208333333333335</v>
      </c>
      <c r="T12" s="28">
        <v>0.27013888888888893</v>
      </c>
      <c r="U12" s="316">
        <f>IF(S12=TIME(17,0,0),"",(S12-T11)*24*60)</f>
        <v>29.000000000000018</v>
      </c>
      <c r="V12" s="325">
        <f>(T12-S12)*24*60</f>
        <v>170.00000000000003</v>
      </c>
      <c r="W12" s="16"/>
      <c r="X12" s="16"/>
      <c r="Y12" s="443"/>
      <c r="Z12" s="443"/>
      <c r="AA12" s="12">
        <f t="shared" si="2"/>
        <v>-73.058823529411939</v>
      </c>
      <c r="AB12" s="318">
        <f t="shared" si="17"/>
        <v>0.95129411764705873</v>
      </c>
      <c r="AC12" s="442"/>
    </row>
    <row r="13" spans="1:29" ht="16.5" customHeight="1">
      <c r="A13" s="470" t="s">
        <v>40</v>
      </c>
      <c r="B13" s="326" t="s">
        <v>53</v>
      </c>
      <c r="C13" s="464" t="s">
        <v>163</v>
      </c>
      <c r="D13" s="464"/>
      <c r="E13" s="31">
        <v>39.36</v>
      </c>
      <c r="F13" s="326">
        <v>3578</v>
      </c>
      <c r="G13" s="316">
        <f t="shared" si="18"/>
        <v>140830.07999999999</v>
      </c>
      <c r="H13" s="327" t="s">
        <v>103</v>
      </c>
      <c r="I13" s="324">
        <v>20</v>
      </c>
      <c r="J13" s="26">
        <v>1500</v>
      </c>
      <c r="K13" s="10">
        <f t="shared" ref="K13:K15" si="22">J13/I13</f>
        <v>75</v>
      </c>
      <c r="L13" s="324">
        <v>20</v>
      </c>
      <c r="M13" s="11">
        <f t="shared" ref="M13:M15" si="23">F13/V13*60</f>
        <v>1421.7218543046354</v>
      </c>
      <c r="N13" s="10">
        <f t="shared" si="19"/>
        <v>71.086092715231771</v>
      </c>
      <c r="O13" s="12">
        <f t="shared" ref="O13:O15" si="24">L13-I13</f>
        <v>0</v>
      </c>
      <c r="P13" s="13">
        <f t="shared" ref="P13:P15" si="25">N13-K13</f>
        <v>-3.9139072847682286</v>
      </c>
      <c r="Q13" s="318">
        <f t="shared" ref="Q13:Q21" si="26">N13/K13</f>
        <v>0.94781456953642362</v>
      </c>
      <c r="R13" s="442"/>
      <c r="S13" s="28">
        <v>0.27430555555555558</v>
      </c>
      <c r="T13" s="28">
        <v>0.37916666666666671</v>
      </c>
      <c r="U13" s="316">
        <f t="shared" ref="U13:U15" si="27">IF(S13=TIME(17,0,0),"",(S13-T12)*24*60)</f>
        <v>5.9999999999999787</v>
      </c>
      <c r="V13" s="325">
        <f t="shared" ref="V13:V15" si="28">(T13-S13)*24*60</f>
        <v>151.00000000000003</v>
      </c>
      <c r="W13" s="16"/>
      <c r="X13" s="16"/>
      <c r="Y13" s="443"/>
      <c r="Z13" s="443"/>
      <c r="AA13" s="12">
        <f t="shared" si="2"/>
        <v>-78.278145695364628</v>
      </c>
      <c r="AB13" s="318">
        <f t="shared" si="17"/>
        <v>0.94781456953642362</v>
      </c>
      <c r="AC13" s="442"/>
    </row>
    <row r="14" spans="1:29" ht="16.5" customHeight="1">
      <c r="A14" s="470" t="s">
        <v>1554</v>
      </c>
      <c r="B14" s="326" t="s">
        <v>58</v>
      </c>
      <c r="C14" s="464" t="s">
        <v>59</v>
      </c>
      <c r="D14" s="464"/>
      <c r="E14" s="31">
        <v>50.98</v>
      </c>
      <c r="F14" s="326">
        <v>2072</v>
      </c>
      <c r="G14" s="316">
        <f t="shared" si="18"/>
        <v>105630.56</v>
      </c>
      <c r="H14" s="327" t="s">
        <v>103</v>
      </c>
      <c r="I14" s="324">
        <v>16</v>
      </c>
      <c r="J14" s="26">
        <v>2000</v>
      </c>
      <c r="K14" s="10">
        <f t="shared" si="22"/>
        <v>125</v>
      </c>
      <c r="L14" s="324">
        <v>16</v>
      </c>
      <c r="M14" s="11">
        <f t="shared" si="23"/>
        <v>1912.6153846153868</v>
      </c>
      <c r="N14" s="10">
        <f t="shared" si="19"/>
        <v>119.53846153846168</v>
      </c>
      <c r="O14" s="12">
        <f t="shared" si="24"/>
        <v>0</v>
      </c>
      <c r="P14" s="13">
        <f t="shared" si="25"/>
        <v>-5.4615384615383249</v>
      </c>
      <c r="Q14" s="318">
        <f t="shared" si="26"/>
        <v>0.95630769230769341</v>
      </c>
      <c r="R14" s="442"/>
      <c r="S14" s="28">
        <v>0.70833333333333337</v>
      </c>
      <c r="T14" s="28">
        <v>0.75347222222222221</v>
      </c>
      <c r="U14" s="316" t="str">
        <f t="shared" si="27"/>
        <v/>
      </c>
      <c r="V14" s="325">
        <f t="shared" si="28"/>
        <v>64.999999999999929</v>
      </c>
      <c r="W14" s="16"/>
      <c r="X14" s="16"/>
      <c r="Y14" s="443"/>
      <c r="Z14" s="443"/>
      <c r="AA14" s="12">
        <f t="shared" si="2"/>
        <v>-87.384615384613198</v>
      </c>
      <c r="AB14" s="318">
        <f t="shared" si="17"/>
        <v>0.95630769230769341</v>
      </c>
      <c r="AC14" s="442"/>
    </row>
    <row r="15" spans="1:29" ht="16.5" customHeight="1">
      <c r="A15" s="470" t="s">
        <v>40</v>
      </c>
      <c r="B15" s="326" t="s">
        <v>58</v>
      </c>
      <c r="C15" s="464" t="s">
        <v>60</v>
      </c>
      <c r="D15" s="464"/>
      <c r="E15" s="31">
        <v>50.92</v>
      </c>
      <c r="F15" s="326">
        <v>2385</v>
      </c>
      <c r="G15" s="316">
        <f t="shared" si="18"/>
        <v>121444.2</v>
      </c>
      <c r="H15" s="327" t="s">
        <v>103</v>
      </c>
      <c r="I15" s="324">
        <v>15</v>
      </c>
      <c r="J15" s="26">
        <v>2000</v>
      </c>
      <c r="K15" s="10">
        <f t="shared" si="22"/>
        <v>133.33333333333334</v>
      </c>
      <c r="L15" s="324">
        <v>15</v>
      </c>
      <c r="M15" s="11">
        <f t="shared" si="23"/>
        <v>1907.9999999999986</v>
      </c>
      <c r="N15" s="10">
        <f t="shared" si="19"/>
        <v>127.1999999999999</v>
      </c>
      <c r="O15" s="12">
        <f t="shared" si="24"/>
        <v>0</v>
      </c>
      <c r="P15" s="13">
        <f t="shared" si="25"/>
        <v>-6.1333333333334394</v>
      </c>
      <c r="Q15" s="318">
        <f t="shared" si="26"/>
        <v>0.95399999999999918</v>
      </c>
      <c r="R15" s="442"/>
      <c r="S15" s="28">
        <v>0.75763888888888886</v>
      </c>
      <c r="T15" s="28">
        <v>0.80972222222222223</v>
      </c>
      <c r="U15" s="316">
        <f t="shared" si="27"/>
        <v>5.9999999999999787</v>
      </c>
      <c r="V15" s="325">
        <f t="shared" si="28"/>
        <v>75.000000000000057</v>
      </c>
      <c r="W15" s="16"/>
      <c r="X15" s="16"/>
      <c r="Y15" s="443"/>
      <c r="Z15" s="443"/>
      <c r="AA15" s="12">
        <f t="shared" si="2"/>
        <v>-92.000000000001364</v>
      </c>
      <c r="AB15" s="318">
        <f t="shared" si="17"/>
        <v>0.95399999999999929</v>
      </c>
      <c r="AC15" s="442"/>
    </row>
    <row r="16" spans="1:29" ht="16.5" customHeight="1">
      <c r="A16" s="470" t="s">
        <v>1554</v>
      </c>
      <c r="B16" s="31" t="s">
        <v>36</v>
      </c>
      <c r="C16" s="446"/>
      <c r="D16" s="446"/>
      <c r="E16" s="317"/>
      <c r="F16" s="33"/>
      <c r="G16" s="10"/>
      <c r="H16" s="326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1620.8271116495503</v>
      </c>
      <c r="N16" s="10">
        <f t="shared" si="19"/>
        <v>84.418078731747414</v>
      </c>
      <c r="O16" s="12">
        <f>L16-I16</f>
        <v>0</v>
      </c>
      <c r="P16" s="13">
        <f>N16-K16</f>
        <v>-4.1235879349192572</v>
      </c>
      <c r="Q16" s="318">
        <f t="shared" si="26"/>
        <v>0.95342771273502958</v>
      </c>
      <c r="R16" s="442"/>
      <c r="S16" s="28"/>
      <c r="T16" s="28"/>
      <c r="U16" s="316"/>
      <c r="V16" s="325"/>
      <c r="W16" s="10"/>
      <c r="X16" s="10"/>
      <c r="Y16" s="443"/>
      <c r="Z16" s="443"/>
      <c r="AA16" s="12">
        <f t="shared" si="2"/>
        <v>-79.172888350449739</v>
      </c>
      <c r="AB16" s="318">
        <f t="shared" si="17"/>
        <v>0.95342771273502958</v>
      </c>
      <c r="AC16" s="442"/>
    </row>
    <row r="17" spans="1:29" ht="15.75" customHeight="1">
      <c r="A17" s="467" t="s">
        <v>1555</v>
      </c>
      <c r="B17" s="31" t="s">
        <v>56</v>
      </c>
      <c r="C17" s="464" t="s">
        <v>61</v>
      </c>
      <c r="D17" s="464"/>
      <c r="E17" s="31">
        <v>43.14</v>
      </c>
      <c r="F17" s="326">
        <v>918</v>
      </c>
      <c r="G17" s="316">
        <f t="shared" ref="G17:G21" si="29">E17*F17</f>
        <v>39602.520000000004</v>
      </c>
      <c r="H17" s="327" t="s">
        <v>103</v>
      </c>
      <c r="I17" s="324">
        <v>17</v>
      </c>
      <c r="J17" s="26">
        <v>2000</v>
      </c>
      <c r="K17" s="10">
        <f t="shared" ref="K17:K22" si="30">J17/I17</f>
        <v>117.64705882352941</v>
      </c>
      <c r="L17" s="324">
        <v>17</v>
      </c>
      <c r="M17" s="11">
        <f t="shared" ref="M17:M21" si="31">F17/V17*60</f>
        <v>1899.3103448275851</v>
      </c>
      <c r="N17" s="10">
        <f t="shared" si="19"/>
        <v>111.72413793103442</v>
      </c>
      <c r="O17" s="12">
        <f t="shared" ref="O17:O21" si="32">L17-I17</f>
        <v>0</v>
      </c>
      <c r="P17" s="13">
        <f t="shared" ref="P17:P21" si="33">N17-K17</f>
        <v>-5.9229208924949859</v>
      </c>
      <c r="Q17" s="318">
        <f t="shared" si="26"/>
        <v>0.9496551724137926</v>
      </c>
      <c r="R17" s="442">
        <f>Q22</f>
        <v>0.95060007716468908</v>
      </c>
      <c r="S17" s="28">
        <v>0.20833333333333334</v>
      </c>
      <c r="T17" s="28">
        <v>0.22847222222222224</v>
      </c>
      <c r="U17" s="316"/>
      <c r="V17" s="325">
        <f>(T17-S17)*24*60</f>
        <v>29.000000000000018</v>
      </c>
      <c r="W17" s="18"/>
      <c r="X17" s="18"/>
      <c r="Y17" s="443"/>
      <c r="Z17" s="443"/>
      <c r="AA17" s="12">
        <f t="shared" si="2"/>
        <v>-100.68965517241486</v>
      </c>
      <c r="AB17" s="318">
        <f t="shared" si="17"/>
        <v>0.9496551724137926</v>
      </c>
      <c r="AC17" s="442">
        <f>AB22</f>
        <v>0.95060007716468897</v>
      </c>
    </row>
    <row r="18" spans="1:29" ht="15.75" customHeight="1">
      <c r="A18" s="468" t="s">
        <v>1555</v>
      </c>
      <c r="B18" s="31" t="s">
        <v>58</v>
      </c>
      <c r="C18" s="464" t="s">
        <v>62</v>
      </c>
      <c r="D18" s="464"/>
      <c r="E18" s="31">
        <v>57.73</v>
      </c>
      <c r="F18" s="326">
        <v>1947</v>
      </c>
      <c r="G18" s="316">
        <f t="shared" si="29"/>
        <v>112400.31</v>
      </c>
      <c r="H18" s="327" t="s">
        <v>103</v>
      </c>
      <c r="I18" s="324">
        <v>15</v>
      </c>
      <c r="J18" s="26">
        <v>2000</v>
      </c>
      <c r="K18" s="10">
        <f t="shared" si="30"/>
        <v>133.33333333333334</v>
      </c>
      <c r="L18" s="324">
        <v>15</v>
      </c>
      <c r="M18" s="11">
        <f t="shared" si="31"/>
        <v>1915.0819672131151</v>
      </c>
      <c r="N18" s="10">
        <f t="shared" si="19"/>
        <v>127.67213114754101</v>
      </c>
      <c r="O18" s="12">
        <f t="shared" si="32"/>
        <v>0</v>
      </c>
      <c r="P18" s="13">
        <f t="shared" si="33"/>
        <v>-5.6612021857923338</v>
      </c>
      <c r="Q18" s="318">
        <f t="shared" si="26"/>
        <v>0.95754098360655748</v>
      </c>
      <c r="R18" s="442"/>
      <c r="S18" s="28">
        <v>0.23402777777777781</v>
      </c>
      <c r="T18" s="28">
        <v>0.27638888888888891</v>
      </c>
      <c r="U18" s="316">
        <f>IF(S18=TIME(17,0,0),"",(S18-T17)*24*60)</f>
        <v>8.0000000000000107</v>
      </c>
      <c r="V18" s="325">
        <f t="shared" ref="V18:V21" si="34">(T18-S18)*24*60</f>
        <v>60.999999999999986</v>
      </c>
      <c r="W18" s="16"/>
      <c r="X18" s="316"/>
      <c r="Y18" s="443"/>
      <c r="Z18" s="443"/>
      <c r="AA18" s="12">
        <f t="shared" si="2"/>
        <v>-84.918032786884851</v>
      </c>
      <c r="AB18" s="318">
        <f t="shared" si="17"/>
        <v>0.95754098360655759</v>
      </c>
      <c r="AC18" s="442"/>
    </row>
    <row r="19" spans="1:29" ht="15.75" customHeight="1">
      <c r="A19" s="468" t="s">
        <v>1555</v>
      </c>
      <c r="B19" s="31" t="s">
        <v>58</v>
      </c>
      <c r="C19" s="464" t="s">
        <v>63</v>
      </c>
      <c r="D19" s="464"/>
      <c r="E19" s="31">
        <v>53.68</v>
      </c>
      <c r="F19" s="326">
        <v>1358</v>
      </c>
      <c r="G19" s="316">
        <f t="shared" si="29"/>
        <v>72897.440000000002</v>
      </c>
      <c r="H19" s="327" t="s">
        <v>103</v>
      </c>
      <c r="I19" s="324">
        <v>16</v>
      </c>
      <c r="J19" s="26">
        <v>2000</v>
      </c>
      <c r="K19" s="10">
        <f t="shared" si="30"/>
        <v>125</v>
      </c>
      <c r="L19" s="324">
        <v>16</v>
      </c>
      <c r="M19" s="11">
        <f t="shared" si="31"/>
        <v>1894.8837209302324</v>
      </c>
      <c r="N19" s="10">
        <f t="shared" si="19"/>
        <v>118.43023255813952</v>
      </c>
      <c r="O19" s="12">
        <f t="shared" si="32"/>
        <v>0</v>
      </c>
      <c r="P19" s="13">
        <f t="shared" si="33"/>
        <v>-6.5697674418604777</v>
      </c>
      <c r="Q19" s="318">
        <f t="shared" si="26"/>
        <v>0.94744186046511614</v>
      </c>
      <c r="R19" s="442"/>
      <c r="S19" s="28">
        <v>0.27986111111111112</v>
      </c>
      <c r="T19" s="28">
        <v>0.30972222222222223</v>
      </c>
      <c r="U19" s="316">
        <f t="shared" ref="U19:U21" si="35">IF(S19=TIME(17,0,0),"",(S19-T18)*24*60)</f>
        <v>4.9999999999999822</v>
      </c>
      <c r="V19" s="325">
        <f t="shared" si="34"/>
        <v>43.000000000000007</v>
      </c>
      <c r="W19" s="16"/>
      <c r="X19" s="316"/>
      <c r="Y19" s="443"/>
      <c r="Z19" s="443"/>
      <c r="AA19" s="12">
        <f t="shared" si="2"/>
        <v>-105.11627906976764</v>
      </c>
      <c r="AB19" s="318">
        <f t="shared" si="17"/>
        <v>0.94744186046511614</v>
      </c>
      <c r="AC19" s="442"/>
    </row>
    <row r="20" spans="1:29" ht="15.75" customHeight="1">
      <c r="A20" s="468" t="s">
        <v>1556</v>
      </c>
      <c r="B20" s="31" t="s">
        <v>58</v>
      </c>
      <c r="C20" s="464" t="s">
        <v>1170</v>
      </c>
      <c r="D20" s="464"/>
      <c r="E20" s="31">
        <v>53.27</v>
      </c>
      <c r="F20" s="326">
        <v>2600</v>
      </c>
      <c r="G20" s="316">
        <f t="shared" si="29"/>
        <v>138502</v>
      </c>
      <c r="H20" s="327" t="s">
        <v>103</v>
      </c>
      <c r="I20" s="324">
        <v>17</v>
      </c>
      <c r="J20" s="26">
        <v>2000</v>
      </c>
      <c r="K20" s="10">
        <f t="shared" si="30"/>
        <v>117.64705882352941</v>
      </c>
      <c r="L20" s="324">
        <v>17</v>
      </c>
      <c r="M20" s="11">
        <f t="shared" si="31"/>
        <v>1902.4390243902433</v>
      </c>
      <c r="N20" s="10">
        <f t="shared" si="19"/>
        <v>111.90817790530843</v>
      </c>
      <c r="O20" s="12">
        <f t="shared" si="32"/>
        <v>0</v>
      </c>
      <c r="P20" s="13">
        <f t="shared" si="33"/>
        <v>-5.7388809182209712</v>
      </c>
      <c r="Q20" s="318">
        <f t="shared" si="26"/>
        <v>0.9512195121951218</v>
      </c>
      <c r="R20" s="442"/>
      <c r="S20" s="28">
        <v>0.31527777777777777</v>
      </c>
      <c r="T20" s="28">
        <v>0.37222222222222223</v>
      </c>
      <c r="U20" s="316">
        <f t="shared" si="35"/>
        <v>7.9999999999999716</v>
      </c>
      <c r="V20" s="325">
        <f t="shared" si="34"/>
        <v>82.000000000000028</v>
      </c>
      <c r="W20" s="16"/>
      <c r="X20" s="316"/>
      <c r="Y20" s="443"/>
      <c r="Z20" s="443"/>
      <c r="AA20" s="12">
        <f t="shared" si="2"/>
        <v>-97.560975609756724</v>
      </c>
      <c r="AB20" s="318">
        <f t="shared" si="17"/>
        <v>0.95121951219512169</v>
      </c>
      <c r="AC20" s="442"/>
    </row>
    <row r="21" spans="1:29" ht="15.75" customHeight="1">
      <c r="A21" s="468" t="s">
        <v>1555</v>
      </c>
      <c r="B21" s="31" t="s">
        <v>58</v>
      </c>
      <c r="C21" s="464" t="s">
        <v>65</v>
      </c>
      <c r="D21" s="464"/>
      <c r="E21" s="31">
        <v>54.09</v>
      </c>
      <c r="F21" s="326">
        <v>2431</v>
      </c>
      <c r="G21" s="316">
        <f t="shared" si="29"/>
        <v>131492.79</v>
      </c>
      <c r="H21" s="327" t="s">
        <v>103</v>
      </c>
      <c r="I21" s="324">
        <v>19</v>
      </c>
      <c r="J21" s="26">
        <v>2000</v>
      </c>
      <c r="K21" s="10">
        <f t="shared" si="30"/>
        <v>105.26315789473684</v>
      </c>
      <c r="L21" s="324">
        <v>19</v>
      </c>
      <c r="M21" s="11">
        <f t="shared" si="31"/>
        <v>1894.2857142857133</v>
      </c>
      <c r="N21" s="10">
        <f t="shared" si="19"/>
        <v>99.699248120300695</v>
      </c>
      <c r="O21" s="12">
        <f t="shared" si="32"/>
        <v>0</v>
      </c>
      <c r="P21" s="13">
        <f t="shared" si="33"/>
        <v>-5.5639097744361408</v>
      </c>
      <c r="Q21" s="318">
        <f t="shared" si="26"/>
        <v>0.94714285714285662</v>
      </c>
      <c r="R21" s="442"/>
      <c r="S21" s="28">
        <v>0.70833333333333337</v>
      </c>
      <c r="T21" s="28">
        <v>0.76180555555555562</v>
      </c>
      <c r="U21" s="316" t="str">
        <f t="shared" si="35"/>
        <v/>
      </c>
      <c r="V21" s="325">
        <f t="shared" si="34"/>
        <v>77.000000000000043</v>
      </c>
      <c r="W21" s="16"/>
      <c r="X21" s="316"/>
      <c r="Y21" s="443"/>
      <c r="Z21" s="443"/>
      <c r="AA21" s="12">
        <f t="shared" si="2"/>
        <v>-105.71428571428669</v>
      </c>
      <c r="AB21" s="318">
        <f t="shared" si="17"/>
        <v>0.94714285714285662</v>
      </c>
      <c r="AC21" s="442"/>
    </row>
    <row r="22" spans="1:29" ht="15.75" customHeight="1">
      <c r="A22" s="468" t="s">
        <v>1555</v>
      </c>
      <c r="B22" s="31" t="s">
        <v>1557</v>
      </c>
      <c r="C22" s="446"/>
      <c r="D22" s="446"/>
      <c r="E22" s="317"/>
      <c r="F22" s="326"/>
      <c r="G22" s="316"/>
      <c r="H22" s="326"/>
      <c r="I22" s="19">
        <v>17</v>
      </c>
      <c r="J22" s="26">
        <v>2000</v>
      </c>
      <c r="K22" s="10">
        <f t="shared" si="30"/>
        <v>117.64705882352941</v>
      </c>
      <c r="L22" s="19">
        <v>17</v>
      </c>
      <c r="M22" s="11">
        <f>AVERAGE(M17:M21)</f>
        <v>1901.2001543293779</v>
      </c>
      <c r="N22" s="10">
        <f>M22/L22</f>
        <v>111.83530319584577</v>
      </c>
      <c r="O22" s="12">
        <f>L22-I22</f>
        <v>0</v>
      </c>
      <c r="P22" s="13">
        <f>N22-K22</f>
        <v>-5.8117556276836382</v>
      </c>
      <c r="Q22" s="318">
        <f>N22/K22</f>
        <v>0.95060007716468908</v>
      </c>
      <c r="R22" s="442"/>
      <c r="S22" s="28"/>
      <c r="T22" s="28"/>
      <c r="U22" s="10"/>
      <c r="V22" s="325"/>
      <c r="W22" s="10"/>
      <c r="X22" s="10"/>
      <c r="Y22" s="443"/>
      <c r="Z22" s="443"/>
      <c r="AA22" s="12">
        <f t="shared" si="2"/>
        <v>-98.799845670622062</v>
      </c>
      <c r="AB22" s="318">
        <f t="shared" si="17"/>
        <v>0.95060007716468897</v>
      </c>
      <c r="AC22" s="442"/>
    </row>
    <row r="23" spans="1:29" ht="15.75" customHeight="1">
      <c r="A23" s="463" t="s">
        <v>1558</v>
      </c>
      <c r="B23" s="31" t="s">
        <v>67</v>
      </c>
      <c r="C23" s="464" t="s">
        <v>68</v>
      </c>
      <c r="D23" s="464"/>
      <c r="E23" s="31">
        <v>26.2</v>
      </c>
      <c r="F23" s="326">
        <v>3430</v>
      </c>
      <c r="G23" s="316">
        <f t="shared" ref="G23:G29" si="36">E23*F23</f>
        <v>89866</v>
      </c>
      <c r="H23" s="327" t="s">
        <v>103</v>
      </c>
      <c r="I23" s="324">
        <v>20</v>
      </c>
      <c r="J23" s="26">
        <v>2400</v>
      </c>
      <c r="K23" s="10">
        <f>J23/I23</f>
        <v>120</v>
      </c>
      <c r="L23" s="324">
        <v>20</v>
      </c>
      <c r="M23" s="11">
        <f t="shared" ref="M23:M29" si="37">F23/V23*60</f>
        <v>2286.6666666666674</v>
      </c>
      <c r="N23" s="10">
        <f t="shared" ref="N23:N29" si="38">M23/L23</f>
        <v>114.33333333333337</v>
      </c>
      <c r="O23" s="12">
        <f t="shared" ref="O23:O29" si="39">L23-I23</f>
        <v>0</v>
      </c>
      <c r="P23" s="13">
        <f t="shared" ref="P23:P29" si="40">N23-K23</f>
        <v>-5.6666666666666288</v>
      </c>
      <c r="Q23" s="318">
        <f t="shared" ref="Q23:Q28" si="41">N23/K23</f>
        <v>0.95277777777777806</v>
      </c>
      <c r="R23" s="442">
        <f>Q30</f>
        <v>0.95385588436550328</v>
      </c>
      <c r="S23" s="28">
        <v>8.3333333333333329E-2</v>
      </c>
      <c r="T23" s="28">
        <v>0.14583333333333331</v>
      </c>
      <c r="U23" s="316"/>
      <c r="V23" s="325">
        <f t="shared" ref="V23:V29" si="42">(T23-S23)*24*60</f>
        <v>89.999999999999972</v>
      </c>
      <c r="W23" s="16">
        <f>T23</f>
        <v>0.14583333333333331</v>
      </c>
      <c r="X23" s="16">
        <f>S24</f>
        <v>0.1645833333333333</v>
      </c>
      <c r="Y23" s="443"/>
      <c r="Z23" s="443"/>
      <c r="AA23" s="12">
        <f t="shared" si="2"/>
        <v>-113.33333333333258</v>
      </c>
      <c r="AB23" s="318">
        <f>M23/J23</f>
        <v>0.95277777777777806</v>
      </c>
      <c r="AC23" s="442">
        <f>AB30</f>
        <v>0.95385588436550339</v>
      </c>
    </row>
    <row r="24" spans="1:29" ht="15.75" customHeight="1">
      <c r="A24" s="463" t="s">
        <v>1559</v>
      </c>
      <c r="B24" s="31" t="s">
        <v>67</v>
      </c>
      <c r="C24" s="464" t="s">
        <v>69</v>
      </c>
      <c r="D24" s="464"/>
      <c r="E24" s="31">
        <v>31.29</v>
      </c>
      <c r="F24" s="326">
        <v>4300</v>
      </c>
      <c r="G24" s="316">
        <f t="shared" si="36"/>
        <v>134547</v>
      </c>
      <c r="H24" s="327">
        <v>2</v>
      </c>
      <c r="I24" s="324">
        <v>18</v>
      </c>
      <c r="J24" s="26">
        <v>2400</v>
      </c>
      <c r="K24" s="10">
        <f t="shared" ref="K24:K30" si="43">J24/I24</f>
        <v>133.33333333333334</v>
      </c>
      <c r="L24" s="324">
        <v>18</v>
      </c>
      <c r="M24" s="11">
        <f t="shared" si="37"/>
        <v>2283.1858407079644</v>
      </c>
      <c r="N24" s="10">
        <f t="shared" si="38"/>
        <v>126.84365781710913</v>
      </c>
      <c r="O24" s="12">
        <f t="shared" si="39"/>
        <v>0</v>
      </c>
      <c r="P24" s="13">
        <f t="shared" si="40"/>
        <v>-6.4896755162242101</v>
      </c>
      <c r="Q24" s="318">
        <f t="shared" si="41"/>
        <v>0.9513274336283184</v>
      </c>
      <c r="R24" s="442"/>
      <c r="S24" s="28">
        <v>0.1645833333333333</v>
      </c>
      <c r="T24" s="28">
        <v>0.24305555555555552</v>
      </c>
      <c r="U24" s="316">
        <f>(S24-T23)*24*60</f>
        <v>26.999999999999986</v>
      </c>
      <c r="V24" s="325">
        <f t="shared" si="42"/>
        <v>113</v>
      </c>
      <c r="W24" s="16"/>
      <c r="X24" s="16"/>
      <c r="Y24" s="443"/>
      <c r="Z24" s="443"/>
      <c r="AA24" s="12">
        <f t="shared" si="2"/>
        <v>-116.81415929203558</v>
      </c>
      <c r="AB24" s="318">
        <f t="shared" ref="AB24:AB29" si="44">M24/J24</f>
        <v>0.95132743362831851</v>
      </c>
      <c r="AC24" s="442"/>
    </row>
    <row r="25" spans="1:29" ht="15.75" customHeight="1">
      <c r="A25" s="463" t="s">
        <v>1558</v>
      </c>
      <c r="B25" s="31" t="s">
        <v>67</v>
      </c>
      <c r="C25" s="464" t="s">
        <v>101</v>
      </c>
      <c r="D25" s="464"/>
      <c r="E25" s="31">
        <v>25</v>
      </c>
      <c r="F25" s="326">
        <v>3359</v>
      </c>
      <c r="G25" s="316">
        <f t="shared" si="36"/>
        <v>83975</v>
      </c>
      <c r="H25" s="327" t="s">
        <v>103</v>
      </c>
      <c r="I25" s="324">
        <v>15</v>
      </c>
      <c r="J25" s="26">
        <v>2400</v>
      </c>
      <c r="K25" s="10">
        <f t="shared" si="43"/>
        <v>160</v>
      </c>
      <c r="L25" s="324">
        <v>15</v>
      </c>
      <c r="M25" s="11">
        <f t="shared" si="37"/>
        <v>2290.2272727272739</v>
      </c>
      <c r="N25" s="10">
        <f t="shared" si="38"/>
        <v>152.68181818181827</v>
      </c>
      <c r="O25" s="12">
        <f t="shared" si="39"/>
        <v>0</v>
      </c>
      <c r="P25" s="13">
        <f t="shared" si="40"/>
        <v>-7.3181818181817277</v>
      </c>
      <c r="Q25" s="318">
        <f t="shared" si="41"/>
        <v>0.95426136363636416</v>
      </c>
      <c r="R25" s="442"/>
      <c r="S25" s="28">
        <v>0.24861111111111109</v>
      </c>
      <c r="T25" s="28">
        <v>0.30972222222222218</v>
      </c>
      <c r="U25" s="316">
        <f t="shared" ref="U25:U29" si="45">(S25-T24)*24*60</f>
        <v>8.0000000000000107</v>
      </c>
      <c r="V25" s="325">
        <f t="shared" si="42"/>
        <v>87.999999999999972</v>
      </c>
      <c r="W25" s="16"/>
      <c r="X25" s="16"/>
      <c r="Y25" s="443"/>
      <c r="Z25" s="443"/>
      <c r="AA25" s="12">
        <f t="shared" si="2"/>
        <v>-109.77272727272612</v>
      </c>
      <c r="AB25" s="318">
        <f t="shared" si="44"/>
        <v>0.95426136363636416</v>
      </c>
      <c r="AC25" s="442"/>
    </row>
    <row r="26" spans="1:29" ht="15.75" customHeight="1">
      <c r="A26" s="463" t="s">
        <v>1558</v>
      </c>
      <c r="B26" s="31" t="s">
        <v>67</v>
      </c>
      <c r="C26" s="464" t="s">
        <v>165</v>
      </c>
      <c r="D26" s="464"/>
      <c r="E26" s="31">
        <v>26.18</v>
      </c>
      <c r="F26" s="326">
        <v>4245</v>
      </c>
      <c r="G26" s="316">
        <f t="shared" si="36"/>
        <v>111134.1</v>
      </c>
      <c r="H26" s="327" t="s">
        <v>103</v>
      </c>
      <c r="I26" s="324">
        <v>19</v>
      </c>
      <c r="J26" s="26">
        <v>2400</v>
      </c>
      <c r="K26" s="10">
        <f t="shared" si="43"/>
        <v>126.31578947368421</v>
      </c>
      <c r="L26" s="324">
        <v>19</v>
      </c>
      <c r="M26" s="11">
        <f t="shared" si="37"/>
        <v>2274.1071428571431</v>
      </c>
      <c r="N26" s="10">
        <f t="shared" si="38"/>
        <v>119.68984962406016</v>
      </c>
      <c r="O26" s="12">
        <f t="shared" si="39"/>
        <v>0</v>
      </c>
      <c r="P26" s="13">
        <f t="shared" si="40"/>
        <v>-6.6259398496240465</v>
      </c>
      <c r="Q26" s="318">
        <f t="shared" si="41"/>
        <v>0.94754464285714302</v>
      </c>
      <c r="R26" s="442"/>
      <c r="S26" s="28">
        <v>0.31388888888888883</v>
      </c>
      <c r="T26" s="28">
        <v>0.39166666666666661</v>
      </c>
      <c r="U26" s="316">
        <f t="shared" si="45"/>
        <v>5.9999999999999787</v>
      </c>
      <c r="V26" s="325">
        <f t="shared" si="42"/>
        <v>112</v>
      </c>
      <c r="W26" s="16"/>
      <c r="X26" s="16"/>
      <c r="Y26" s="443"/>
      <c r="Z26" s="443"/>
      <c r="AA26" s="12">
        <f t="shared" si="2"/>
        <v>-125.89285714285688</v>
      </c>
      <c r="AB26" s="318">
        <f t="shared" si="44"/>
        <v>0.94754464285714302</v>
      </c>
      <c r="AC26" s="442"/>
    </row>
    <row r="27" spans="1:29" ht="15.75" customHeight="1">
      <c r="A27" s="463" t="s">
        <v>1558</v>
      </c>
      <c r="B27" s="31" t="s">
        <v>67</v>
      </c>
      <c r="C27" s="464" t="s">
        <v>77</v>
      </c>
      <c r="D27" s="464"/>
      <c r="E27" s="31">
        <v>26.2</v>
      </c>
      <c r="F27" s="326">
        <v>3622</v>
      </c>
      <c r="G27" s="316">
        <f t="shared" si="36"/>
        <v>94896.4</v>
      </c>
      <c r="H27" s="327" t="s">
        <v>103</v>
      </c>
      <c r="I27" s="324">
        <v>19</v>
      </c>
      <c r="J27" s="26">
        <v>2400</v>
      </c>
      <c r="K27" s="10">
        <f t="shared" si="43"/>
        <v>126.31578947368421</v>
      </c>
      <c r="L27" s="324">
        <v>19</v>
      </c>
      <c r="M27" s="11">
        <f t="shared" si="37"/>
        <v>2287.5789473684213</v>
      </c>
      <c r="N27" s="10">
        <f t="shared" si="38"/>
        <v>120.39889196675901</v>
      </c>
      <c r="O27" s="12">
        <f t="shared" si="39"/>
        <v>0</v>
      </c>
      <c r="P27" s="13">
        <f t="shared" si="40"/>
        <v>-5.9168975069251957</v>
      </c>
      <c r="Q27" s="318">
        <f t="shared" si="41"/>
        <v>0.9531578947368422</v>
      </c>
      <c r="R27" s="442"/>
      <c r="S27" s="28">
        <v>0.39583333333333326</v>
      </c>
      <c r="T27" s="28">
        <v>0.46180555555555547</v>
      </c>
      <c r="U27" s="316">
        <f t="shared" si="45"/>
        <v>5.9999999999999787</v>
      </c>
      <c r="V27" s="325">
        <f t="shared" si="42"/>
        <v>94.999999999999986</v>
      </c>
      <c r="W27" s="16"/>
      <c r="X27" s="16"/>
      <c r="Y27" s="443"/>
      <c r="Z27" s="443"/>
      <c r="AA27" s="12">
        <f t="shared" si="2"/>
        <v>-112.42105263157873</v>
      </c>
      <c r="AB27" s="318">
        <f t="shared" si="44"/>
        <v>0.9531578947368422</v>
      </c>
      <c r="AC27" s="442"/>
    </row>
    <row r="28" spans="1:29" ht="15.75" customHeight="1">
      <c r="A28" s="463" t="s">
        <v>1558</v>
      </c>
      <c r="B28" s="31" t="s">
        <v>67</v>
      </c>
      <c r="C28" s="464" t="s">
        <v>78</v>
      </c>
      <c r="D28" s="464"/>
      <c r="E28" s="31">
        <v>25.98</v>
      </c>
      <c r="F28" s="326">
        <v>2109</v>
      </c>
      <c r="G28" s="316">
        <f t="shared" si="36"/>
        <v>54791.82</v>
      </c>
      <c r="H28" s="327" t="s">
        <v>103</v>
      </c>
      <c r="I28" s="324">
        <v>17</v>
      </c>
      <c r="J28" s="26">
        <v>2400</v>
      </c>
      <c r="K28" s="10">
        <f t="shared" si="43"/>
        <v>141.1764705882353</v>
      </c>
      <c r="L28" s="324">
        <v>17</v>
      </c>
      <c r="M28" s="11">
        <f t="shared" si="37"/>
        <v>2300.7272727272743</v>
      </c>
      <c r="N28" s="10">
        <f t="shared" si="38"/>
        <v>135.33689839572202</v>
      </c>
      <c r="O28" s="12">
        <f t="shared" si="39"/>
        <v>0</v>
      </c>
      <c r="P28" s="13">
        <f t="shared" si="40"/>
        <v>-5.8395721925132875</v>
      </c>
      <c r="Q28" s="318">
        <f t="shared" si="41"/>
        <v>0.95863636363636417</v>
      </c>
      <c r="R28" s="442"/>
      <c r="S28" s="28">
        <v>0.46527777777777768</v>
      </c>
      <c r="T28" s="28">
        <v>0.5034722222222221</v>
      </c>
      <c r="U28" s="316">
        <f t="shared" si="45"/>
        <v>4.9999999999999822</v>
      </c>
      <c r="V28" s="325">
        <f t="shared" si="42"/>
        <v>54.999999999999964</v>
      </c>
      <c r="W28" s="16">
        <f>T28</f>
        <v>0.5034722222222221</v>
      </c>
      <c r="X28" s="16">
        <f>S29</f>
        <v>0.5430555555555554</v>
      </c>
      <c r="Y28" s="443"/>
      <c r="Z28" s="443"/>
      <c r="AA28" s="12">
        <f t="shared" si="2"/>
        <v>-99.27272727272566</v>
      </c>
      <c r="AB28" s="318">
        <f t="shared" si="44"/>
        <v>0.95863636363636429</v>
      </c>
      <c r="AC28" s="442"/>
    </row>
    <row r="29" spans="1:29" ht="15.75" customHeight="1">
      <c r="A29" s="463" t="s">
        <v>1560</v>
      </c>
      <c r="B29" s="31" t="s">
        <v>67</v>
      </c>
      <c r="C29" s="464" t="s">
        <v>69</v>
      </c>
      <c r="D29" s="464"/>
      <c r="E29" s="31">
        <v>31.29</v>
      </c>
      <c r="F29" s="326">
        <v>2686</v>
      </c>
      <c r="G29" s="316">
        <f t="shared" si="36"/>
        <v>84044.94</v>
      </c>
      <c r="H29" s="327" t="s">
        <v>103</v>
      </c>
      <c r="I29" s="324">
        <v>18</v>
      </c>
      <c r="J29" s="26">
        <v>2400</v>
      </c>
      <c r="K29" s="10">
        <f t="shared" si="43"/>
        <v>133.33333333333334</v>
      </c>
      <c r="L29" s="324">
        <v>18</v>
      </c>
      <c r="M29" s="11">
        <f t="shared" si="37"/>
        <v>2302.2857142857119</v>
      </c>
      <c r="N29" s="10">
        <f t="shared" si="38"/>
        <v>127.90476190476177</v>
      </c>
      <c r="O29" s="12">
        <f t="shared" si="39"/>
        <v>0</v>
      </c>
      <c r="P29" s="13">
        <f t="shared" si="40"/>
        <v>-5.4285714285715727</v>
      </c>
      <c r="Q29" s="318">
        <f>N29/K29</f>
        <v>0.95928571428571319</v>
      </c>
      <c r="R29" s="442"/>
      <c r="S29" s="28">
        <v>0.5430555555555554</v>
      </c>
      <c r="T29" s="28">
        <v>0.59166666666666656</v>
      </c>
      <c r="U29" s="316">
        <f t="shared" si="45"/>
        <v>56.999999999999957</v>
      </c>
      <c r="V29" s="325">
        <f t="shared" si="42"/>
        <v>70.000000000000071</v>
      </c>
      <c r="W29" s="16"/>
      <c r="X29" s="16"/>
      <c r="Y29" s="443"/>
      <c r="Z29" s="443"/>
      <c r="AA29" s="12">
        <f t="shared" si="2"/>
        <v>-97.714285714288053</v>
      </c>
      <c r="AB29" s="318">
        <f t="shared" si="44"/>
        <v>0.9592857142857133</v>
      </c>
      <c r="AC29" s="442"/>
    </row>
    <row r="30" spans="1:29" ht="15.75" customHeight="1">
      <c r="A30" s="463" t="s">
        <v>1558</v>
      </c>
      <c r="B30" s="31" t="s">
        <v>1561</v>
      </c>
      <c r="C30" s="446"/>
      <c r="D30" s="446"/>
      <c r="E30" s="317"/>
      <c r="F30" s="326"/>
      <c r="G30" s="316"/>
      <c r="H30" s="326"/>
      <c r="I30" s="19">
        <v>18</v>
      </c>
      <c r="J30" s="26">
        <v>2400</v>
      </c>
      <c r="K30" s="10">
        <f t="shared" si="43"/>
        <v>133.33333333333334</v>
      </c>
      <c r="L30" s="19">
        <v>18</v>
      </c>
      <c r="M30" s="11">
        <f>AVERAGE(M23:M29)</f>
        <v>2289.2541224772081</v>
      </c>
      <c r="N30" s="10">
        <f>M30/L30</f>
        <v>127.18078458206712</v>
      </c>
      <c r="O30" s="12">
        <f>L30-I30</f>
        <v>0</v>
      </c>
      <c r="P30" s="13">
        <f>N30-K30</f>
        <v>-6.1525487512662238</v>
      </c>
      <c r="Q30" s="318">
        <f>N30/K30</f>
        <v>0.95385588436550328</v>
      </c>
      <c r="R30" s="442"/>
      <c r="S30" s="28"/>
      <c r="T30" s="28"/>
      <c r="U30" s="316"/>
      <c r="V30" s="325"/>
      <c r="W30" s="316"/>
      <c r="X30" s="316"/>
      <c r="Y30" s="443"/>
      <c r="Z30" s="443"/>
      <c r="AA30" s="12">
        <f t="shared" si="2"/>
        <v>-110.74587752279194</v>
      </c>
      <c r="AB30" s="318">
        <f>M30/J30</f>
        <v>0.95385588436550339</v>
      </c>
      <c r="AC30" s="442"/>
    </row>
    <row r="31" spans="1:29" ht="15.75" customHeight="1">
      <c r="A31" s="461" t="s">
        <v>44</v>
      </c>
      <c r="B31" s="31" t="s">
        <v>67</v>
      </c>
      <c r="C31" s="441" t="s">
        <v>73</v>
      </c>
      <c r="D31" s="441"/>
      <c r="E31" s="31">
        <v>26.2</v>
      </c>
      <c r="F31" s="326">
        <v>5266</v>
      </c>
      <c r="G31" s="316">
        <f t="shared" ref="G31:G36" si="46">E31*F31</f>
        <v>137969.19999999998</v>
      </c>
      <c r="H31" s="327" t="s">
        <v>103</v>
      </c>
      <c r="I31" s="324">
        <v>18</v>
      </c>
      <c r="J31" s="26">
        <v>2400</v>
      </c>
      <c r="K31" s="10">
        <f>J31/I31</f>
        <v>133.33333333333334</v>
      </c>
      <c r="L31" s="324">
        <v>18</v>
      </c>
      <c r="M31" s="11">
        <f>F31/V31*60</f>
        <v>2273.093525179856</v>
      </c>
      <c r="N31" s="10">
        <f>M31/L31</f>
        <v>126.28297362110311</v>
      </c>
      <c r="O31" s="12">
        <f t="shared" ref="O31:O36" si="47">L31-I31</f>
        <v>0</v>
      </c>
      <c r="P31" s="13">
        <f t="shared" ref="P31:P44" si="48">N31-K31</f>
        <v>-7.0503597122302324</v>
      </c>
      <c r="Q31" s="318">
        <f t="shared" ref="Q31:Q41" si="49">N31/K31</f>
        <v>0.94712230215827331</v>
      </c>
      <c r="R31" s="442">
        <f>Q37</f>
        <v>0.95203967072860762</v>
      </c>
      <c r="S31" s="28">
        <v>8.3333333333333329E-2</v>
      </c>
      <c r="T31" s="28">
        <v>0.17986111111111111</v>
      </c>
      <c r="U31" s="316"/>
      <c r="V31" s="325">
        <f t="shared" ref="V31:V36" si="50">(T31-S31)*24*60</f>
        <v>139</v>
      </c>
      <c r="W31" s="18">
        <f>T31</f>
        <v>0.17986111111111111</v>
      </c>
      <c r="X31" s="18">
        <f>S32</f>
        <v>0.2013888888888889</v>
      </c>
      <c r="Y31" s="443"/>
      <c r="Z31" s="443"/>
      <c r="AA31" s="12">
        <f t="shared" si="2"/>
        <v>-126.90647482014401</v>
      </c>
      <c r="AB31" s="318">
        <f>M31/J31</f>
        <v>0.94712230215827331</v>
      </c>
      <c r="AC31" s="442">
        <f>AB37</f>
        <v>0.95203967072860751</v>
      </c>
    </row>
    <row r="32" spans="1:29" ht="15.75" customHeight="1">
      <c r="A32" s="461" t="s">
        <v>1562</v>
      </c>
      <c r="B32" s="31" t="s">
        <v>67</v>
      </c>
      <c r="C32" s="441" t="s">
        <v>74</v>
      </c>
      <c r="D32" s="441"/>
      <c r="E32" s="31">
        <v>24.45</v>
      </c>
      <c r="F32" s="326">
        <v>1860</v>
      </c>
      <c r="G32" s="316">
        <f t="shared" si="46"/>
        <v>45477</v>
      </c>
      <c r="H32" s="327" t="s">
        <v>103</v>
      </c>
      <c r="I32" s="324">
        <v>20</v>
      </c>
      <c r="J32" s="26">
        <v>2400</v>
      </c>
      <c r="K32" s="10">
        <f t="shared" ref="K32:K43" si="51">J32/I32</f>
        <v>120</v>
      </c>
      <c r="L32" s="324">
        <v>20</v>
      </c>
      <c r="M32" s="11">
        <f t="shared" ref="M32:M36" si="52">F32/V32*60</f>
        <v>2277.5510204081638</v>
      </c>
      <c r="N32" s="10">
        <f t="shared" ref="N32:N36" si="53">M32/L32</f>
        <v>113.87755102040819</v>
      </c>
      <c r="O32" s="12">
        <f t="shared" si="47"/>
        <v>0</v>
      </c>
      <c r="P32" s="13">
        <f t="shared" si="48"/>
        <v>-6.1224489795918089</v>
      </c>
      <c r="Q32" s="318">
        <f t="shared" si="49"/>
        <v>0.94897959183673497</v>
      </c>
      <c r="R32" s="442"/>
      <c r="S32" s="28">
        <v>0.2013888888888889</v>
      </c>
      <c r="T32" s="28">
        <v>0.23541666666666666</v>
      </c>
      <c r="U32" s="316">
        <f>(S32-T31)*24*60</f>
        <v>31.000000000000011</v>
      </c>
      <c r="V32" s="325">
        <f t="shared" si="50"/>
        <v>48.999999999999986</v>
      </c>
      <c r="W32" s="316"/>
      <c r="X32" s="316"/>
      <c r="Y32" s="443"/>
      <c r="Z32" s="443"/>
      <c r="AA32" s="12">
        <f t="shared" si="2"/>
        <v>-122.44897959183618</v>
      </c>
      <c r="AB32" s="318">
        <f t="shared" ref="AB32:AB56" si="54">M32/J32</f>
        <v>0.94897959183673497</v>
      </c>
      <c r="AC32" s="442"/>
    </row>
    <row r="33" spans="1:29">
      <c r="A33" s="462" t="s">
        <v>1562</v>
      </c>
      <c r="B33" s="31" t="s">
        <v>67</v>
      </c>
      <c r="C33" s="441" t="s">
        <v>75</v>
      </c>
      <c r="D33" s="441"/>
      <c r="E33" s="31">
        <v>26.39</v>
      </c>
      <c r="F33" s="326">
        <v>4806</v>
      </c>
      <c r="G33" s="316">
        <f t="shared" si="46"/>
        <v>126830.34</v>
      </c>
      <c r="H33" s="327" t="s">
        <v>103</v>
      </c>
      <c r="I33" s="324">
        <v>19</v>
      </c>
      <c r="J33" s="26">
        <v>2400</v>
      </c>
      <c r="K33" s="10">
        <f t="shared" si="51"/>
        <v>126.31578947368421</v>
      </c>
      <c r="L33" s="324">
        <v>19</v>
      </c>
      <c r="M33" s="11">
        <f t="shared" si="52"/>
        <v>2288.5714285714294</v>
      </c>
      <c r="N33" s="10">
        <f t="shared" si="53"/>
        <v>120.45112781954892</v>
      </c>
      <c r="O33" s="12">
        <f t="shared" si="47"/>
        <v>0</v>
      </c>
      <c r="P33" s="13">
        <f t="shared" si="48"/>
        <v>-5.8646616541352898</v>
      </c>
      <c r="Q33" s="318">
        <f t="shared" si="49"/>
        <v>0.95357142857142896</v>
      </c>
      <c r="R33" s="442"/>
      <c r="S33" s="28">
        <v>0.24027777777777778</v>
      </c>
      <c r="T33" s="28">
        <v>0.32777777777777778</v>
      </c>
      <c r="U33" s="316">
        <f t="shared" ref="U33:U36" si="55">(S33-T32)*24*60</f>
        <v>7.0000000000000151</v>
      </c>
      <c r="V33" s="325">
        <f t="shared" si="50"/>
        <v>125.99999999999997</v>
      </c>
      <c r="W33" s="316"/>
      <c r="X33" s="316"/>
      <c r="Y33" s="443"/>
      <c r="Z33" s="443"/>
      <c r="AA33" s="12">
        <f t="shared" si="2"/>
        <v>-111.42857142857065</v>
      </c>
      <c r="AB33" s="318">
        <f t="shared" si="54"/>
        <v>0.95357142857142885</v>
      </c>
      <c r="AC33" s="442"/>
    </row>
    <row r="34" spans="1:29">
      <c r="A34" s="462" t="s">
        <v>1562</v>
      </c>
      <c r="B34" s="31" t="s">
        <v>67</v>
      </c>
      <c r="C34" s="441" t="s">
        <v>76</v>
      </c>
      <c r="D34" s="441"/>
      <c r="E34" s="31">
        <v>20.52</v>
      </c>
      <c r="F34" s="326">
        <v>2828</v>
      </c>
      <c r="G34" s="316">
        <f t="shared" si="46"/>
        <v>58030.559999999998</v>
      </c>
      <c r="H34" s="327" t="s">
        <v>103</v>
      </c>
      <c r="I34" s="324">
        <v>18</v>
      </c>
      <c r="J34" s="26">
        <v>2400</v>
      </c>
      <c r="K34" s="10">
        <f t="shared" si="51"/>
        <v>133.33333333333334</v>
      </c>
      <c r="L34" s="324">
        <v>18</v>
      </c>
      <c r="M34" s="11">
        <f t="shared" si="52"/>
        <v>2292.9729729729738</v>
      </c>
      <c r="N34" s="10">
        <f t="shared" si="53"/>
        <v>127.38738738738743</v>
      </c>
      <c r="O34" s="12">
        <f t="shared" si="47"/>
        <v>0</v>
      </c>
      <c r="P34" s="13">
        <f t="shared" si="48"/>
        <v>-5.9459459459459083</v>
      </c>
      <c r="Q34" s="318">
        <f t="shared" si="49"/>
        <v>0.95540540540540564</v>
      </c>
      <c r="R34" s="442"/>
      <c r="S34" s="28">
        <v>0.33194444444444443</v>
      </c>
      <c r="T34" s="28">
        <v>0.3833333333333333</v>
      </c>
      <c r="U34" s="316">
        <f t="shared" si="55"/>
        <v>5.9999999999999787</v>
      </c>
      <c r="V34" s="325">
        <f t="shared" si="50"/>
        <v>73.999999999999972</v>
      </c>
      <c r="W34" s="16"/>
      <c r="X34" s="16"/>
      <c r="Y34" s="443"/>
      <c r="Z34" s="443"/>
      <c r="AA34" s="12">
        <f t="shared" si="2"/>
        <v>-107.02702702702618</v>
      </c>
      <c r="AB34" s="318">
        <f t="shared" si="54"/>
        <v>0.95540540540540575</v>
      </c>
      <c r="AC34" s="442"/>
    </row>
    <row r="35" spans="1:29">
      <c r="A35" s="462" t="s">
        <v>44</v>
      </c>
      <c r="B35" s="31" t="s">
        <v>67</v>
      </c>
      <c r="C35" s="441" t="s">
        <v>1167</v>
      </c>
      <c r="D35" s="441"/>
      <c r="E35" s="31">
        <v>24.43</v>
      </c>
      <c r="F35" s="326">
        <v>6000</v>
      </c>
      <c r="G35" s="316">
        <f t="shared" si="46"/>
        <v>146580</v>
      </c>
      <c r="H35" s="327">
        <v>2</v>
      </c>
      <c r="I35" s="324">
        <v>15</v>
      </c>
      <c r="J35" s="26">
        <v>2400</v>
      </c>
      <c r="K35" s="10">
        <f t="shared" si="51"/>
        <v>160</v>
      </c>
      <c r="L35" s="324">
        <v>15</v>
      </c>
      <c r="M35" s="11">
        <f t="shared" si="52"/>
        <v>2278.4810126582279</v>
      </c>
      <c r="N35" s="10">
        <f t="shared" si="53"/>
        <v>151.8987341772152</v>
      </c>
      <c r="O35" s="12">
        <f t="shared" si="47"/>
        <v>0</v>
      </c>
      <c r="P35" s="13">
        <f t="shared" si="48"/>
        <v>-8.1012658227847965</v>
      </c>
      <c r="Q35" s="318">
        <f t="shared" si="49"/>
        <v>0.949367088607595</v>
      </c>
      <c r="R35" s="442"/>
      <c r="S35" s="28">
        <v>0.38749999999999996</v>
      </c>
      <c r="T35" s="28">
        <v>0.49722222222222218</v>
      </c>
      <c r="U35" s="316">
        <f t="shared" si="55"/>
        <v>5.9999999999999787</v>
      </c>
      <c r="V35" s="325">
        <f t="shared" si="50"/>
        <v>158</v>
      </c>
      <c r="W35" s="18">
        <f>T35</f>
        <v>0.49722222222222218</v>
      </c>
      <c r="X35" s="18">
        <f>S36</f>
        <v>0.53680555555555554</v>
      </c>
      <c r="Y35" s="443"/>
      <c r="Z35" s="443"/>
      <c r="AA35" s="12">
        <f t="shared" si="2"/>
        <v>-121.51898734177212</v>
      </c>
      <c r="AB35" s="318">
        <f t="shared" si="54"/>
        <v>0.949367088607595</v>
      </c>
      <c r="AC35" s="442"/>
    </row>
    <row r="36" spans="1:29">
      <c r="A36" s="462" t="s">
        <v>44</v>
      </c>
      <c r="B36" s="31" t="s">
        <v>67</v>
      </c>
      <c r="C36" s="441" t="s">
        <v>1167</v>
      </c>
      <c r="D36" s="441"/>
      <c r="E36" s="31">
        <v>24.43</v>
      </c>
      <c r="F36" s="326">
        <v>2950</v>
      </c>
      <c r="G36" s="316">
        <f t="shared" si="46"/>
        <v>72068.5</v>
      </c>
      <c r="H36" s="327" t="s">
        <v>103</v>
      </c>
      <c r="I36" s="324">
        <v>15</v>
      </c>
      <c r="J36" s="26">
        <v>2400</v>
      </c>
      <c r="K36" s="10">
        <f t="shared" si="51"/>
        <v>160</v>
      </c>
      <c r="L36" s="324">
        <v>15</v>
      </c>
      <c r="M36" s="11">
        <f t="shared" si="52"/>
        <v>2298.7012987012977</v>
      </c>
      <c r="N36" s="10">
        <f t="shared" si="53"/>
        <v>153.24675324675317</v>
      </c>
      <c r="O36" s="12">
        <f t="shared" si="47"/>
        <v>0</v>
      </c>
      <c r="P36" s="13">
        <f t="shared" si="48"/>
        <v>-6.7532467532468274</v>
      </c>
      <c r="Q36" s="318">
        <f t="shared" si="49"/>
        <v>0.95779220779220731</v>
      </c>
      <c r="R36" s="442"/>
      <c r="S36" s="28">
        <v>0.53680555555555554</v>
      </c>
      <c r="T36" s="28">
        <v>0.59027777777777779</v>
      </c>
      <c r="U36" s="316">
        <f t="shared" si="55"/>
        <v>57.000000000000036</v>
      </c>
      <c r="V36" s="325">
        <f t="shared" si="50"/>
        <v>77.000000000000043</v>
      </c>
      <c r="W36" s="16"/>
      <c r="X36" s="16"/>
      <c r="Y36" s="443"/>
      <c r="Z36" s="443"/>
      <c r="AA36" s="12">
        <f t="shared" si="2"/>
        <v>-101.29870129870233</v>
      </c>
      <c r="AB36" s="318">
        <f t="shared" si="54"/>
        <v>0.95779220779220742</v>
      </c>
      <c r="AC36" s="442"/>
    </row>
    <row r="37" spans="1:29">
      <c r="A37" s="462" t="s">
        <v>1563</v>
      </c>
      <c r="B37" s="33" t="s">
        <v>1552</v>
      </c>
      <c r="C37" s="446"/>
      <c r="D37" s="446"/>
      <c r="E37" s="317"/>
      <c r="F37" s="33"/>
      <c r="G37" s="10"/>
      <c r="H37" s="326"/>
      <c r="I37" s="19">
        <v>17.5</v>
      </c>
      <c r="J37" s="26">
        <v>2400</v>
      </c>
      <c r="K37" s="10">
        <f t="shared" si="51"/>
        <v>137.14285714285714</v>
      </c>
      <c r="L37" s="19">
        <v>17.5</v>
      </c>
      <c r="M37" s="11">
        <f>AVERAGE(M31:M36)</f>
        <v>2284.8952097486581</v>
      </c>
      <c r="N37" s="10">
        <f>M37/L37</f>
        <v>130.56544055706618</v>
      </c>
      <c r="O37" s="12">
        <f>L37-I37</f>
        <v>0</v>
      </c>
      <c r="P37" s="13">
        <f t="shared" si="48"/>
        <v>-6.5774165857909566</v>
      </c>
      <c r="Q37" s="318">
        <f t="shared" si="49"/>
        <v>0.95203967072860762</v>
      </c>
      <c r="R37" s="442"/>
      <c r="S37" s="28"/>
      <c r="T37" s="28"/>
      <c r="U37" s="10"/>
      <c r="V37" s="325"/>
      <c r="W37" s="10"/>
      <c r="X37" s="10"/>
      <c r="Y37" s="443"/>
      <c r="Z37" s="443"/>
      <c r="AA37" s="12">
        <f t="shared" si="2"/>
        <v>-115.10479025134191</v>
      </c>
      <c r="AB37" s="318">
        <f t="shared" si="54"/>
        <v>0.95203967072860751</v>
      </c>
      <c r="AC37" s="442"/>
    </row>
    <row r="38" spans="1:29" ht="15.75" customHeight="1">
      <c r="A38" s="453" t="s">
        <v>46</v>
      </c>
      <c r="B38" s="31" t="s">
        <v>79</v>
      </c>
      <c r="C38" s="444" t="s">
        <v>80</v>
      </c>
      <c r="D38" s="445"/>
      <c r="E38" s="31">
        <v>21.13</v>
      </c>
      <c r="F38" s="326">
        <v>4288</v>
      </c>
      <c r="G38" s="316">
        <f t="shared" ref="G38:G43" si="56">E38*F38</f>
        <v>90605.440000000002</v>
      </c>
      <c r="H38" s="327" t="s">
        <v>103</v>
      </c>
      <c r="I38" s="324">
        <v>10</v>
      </c>
      <c r="J38" s="26">
        <v>3000</v>
      </c>
      <c r="K38" s="10">
        <f t="shared" si="51"/>
        <v>300</v>
      </c>
      <c r="L38" s="324">
        <v>10</v>
      </c>
      <c r="M38" s="11">
        <f t="shared" ref="M38:M39" si="57">F38/V38*60</f>
        <v>2858.6666666666674</v>
      </c>
      <c r="N38" s="11">
        <f t="shared" ref="N38:N44" si="58">M38/L38</f>
        <v>285.86666666666673</v>
      </c>
      <c r="O38" s="12">
        <f t="shared" ref="O38:O44" si="59">L38-I38</f>
        <v>0</v>
      </c>
      <c r="P38" s="13">
        <f t="shared" si="48"/>
        <v>-14.133333333333269</v>
      </c>
      <c r="Q38" s="318">
        <f t="shared" si="49"/>
        <v>0.95288888888888912</v>
      </c>
      <c r="R38" s="456">
        <f>Q44</f>
        <v>0.95891127929735531</v>
      </c>
      <c r="S38" s="28">
        <v>8.3333333333333329E-2</v>
      </c>
      <c r="T38" s="28">
        <v>0.14583333333333331</v>
      </c>
      <c r="U38" s="18"/>
      <c r="V38" s="325">
        <f t="shared" ref="V38:V43" si="60">(T38-S38)*24*60</f>
        <v>89.999999999999972</v>
      </c>
      <c r="W38" s="16">
        <f>T38</f>
        <v>0.14583333333333331</v>
      </c>
      <c r="X38" s="16">
        <f>S39</f>
        <v>0.16319444444444439</v>
      </c>
      <c r="Y38" s="447"/>
      <c r="Z38" s="448"/>
      <c r="AA38" s="12">
        <f t="shared" si="2"/>
        <v>-141.33333333333258</v>
      </c>
      <c r="AB38" s="318">
        <f t="shared" si="54"/>
        <v>0.95288888888888912</v>
      </c>
      <c r="AC38" s="456">
        <f>AB44</f>
        <v>0.95891127929735542</v>
      </c>
    </row>
    <row r="39" spans="1:29" ht="15.75" customHeight="1">
      <c r="A39" s="454" t="s">
        <v>1564</v>
      </c>
      <c r="B39" s="31" t="s">
        <v>79</v>
      </c>
      <c r="C39" s="444" t="s">
        <v>81</v>
      </c>
      <c r="D39" s="445"/>
      <c r="E39" s="31">
        <v>27.17</v>
      </c>
      <c r="F39" s="326">
        <v>5145</v>
      </c>
      <c r="G39" s="316">
        <f t="shared" si="56"/>
        <v>139789.65000000002</v>
      </c>
      <c r="H39" s="327" t="s">
        <v>103</v>
      </c>
      <c r="I39" s="324">
        <v>10</v>
      </c>
      <c r="J39" s="26">
        <v>3000</v>
      </c>
      <c r="K39" s="10">
        <f t="shared" si="51"/>
        <v>300</v>
      </c>
      <c r="L39" s="324">
        <v>10</v>
      </c>
      <c r="M39" s="11">
        <f t="shared" si="57"/>
        <v>2858.3333333333339</v>
      </c>
      <c r="N39" s="11">
        <f t="shared" si="58"/>
        <v>285.83333333333337</v>
      </c>
      <c r="O39" s="12">
        <f t="shared" si="59"/>
        <v>0</v>
      </c>
      <c r="P39" s="13">
        <f t="shared" si="48"/>
        <v>-14.166666666666629</v>
      </c>
      <c r="Q39" s="318">
        <f t="shared" si="49"/>
        <v>0.95277777777777795</v>
      </c>
      <c r="R39" s="457"/>
      <c r="S39" s="28">
        <v>0.16319444444444439</v>
      </c>
      <c r="T39" s="28">
        <v>0.23819444444444438</v>
      </c>
      <c r="U39" s="316">
        <f>(S39-T38)*24*60</f>
        <v>24.99999999999995</v>
      </c>
      <c r="V39" s="325">
        <f t="shared" si="60"/>
        <v>107.99999999999997</v>
      </c>
      <c r="W39" s="16"/>
      <c r="X39" s="16"/>
      <c r="Y39" s="447"/>
      <c r="Z39" s="448"/>
      <c r="AA39" s="12">
        <f t="shared" si="2"/>
        <v>-141.66666666666606</v>
      </c>
      <c r="AB39" s="318">
        <f t="shared" si="54"/>
        <v>0.95277777777777795</v>
      </c>
      <c r="AC39" s="457"/>
    </row>
    <row r="40" spans="1:29" ht="15.75" customHeight="1">
      <c r="A40" s="454" t="s">
        <v>46</v>
      </c>
      <c r="B40" s="31" t="s">
        <v>79</v>
      </c>
      <c r="C40" s="444" t="s">
        <v>82</v>
      </c>
      <c r="D40" s="445"/>
      <c r="E40" s="31">
        <v>35.119999999999997</v>
      </c>
      <c r="F40" s="326">
        <v>3770</v>
      </c>
      <c r="G40" s="316">
        <f t="shared" si="56"/>
        <v>132402.4</v>
      </c>
      <c r="H40" s="327" t="s">
        <v>103</v>
      </c>
      <c r="I40" s="324">
        <v>10</v>
      </c>
      <c r="J40" s="26">
        <v>3000</v>
      </c>
      <c r="K40" s="10">
        <f t="shared" si="51"/>
        <v>300</v>
      </c>
      <c r="L40" s="324">
        <v>10</v>
      </c>
      <c r="M40" s="11">
        <f>F40/V40*60</f>
        <v>2863.2911392405063</v>
      </c>
      <c r="N40" s="11">
        <f t="shared" si="58"/>
        <v>286.3291139240506</v>
      </c>
      <c r="O40" s="12">
        <f t="shared" si="59"/>
        <v>0</v>
      </c>
      <c r="P40" s="13">
        <f t="shared" si="48"/>
        <v>-13.670886075949397</v>
      </c>
      <c r="Q40" s="318">
        <f t="shared" si="49"/>
        <v>0.95443037974683531</v>
      </c>
      <c r="R40" s="457"/>
      <c r="S40" s="28">
        <v>0.24374999999999994</v>
      </c>
      <c r="T40" s="28">
        <v>0.29861111111111105</v>
      </c>
      <c r="U40" s="316">
        <f t="shared" ref="U40:U43" si="61">(S40-T39)*24*60</f>
        <v>8.0000000000000107</v>
      </c>
      <c r="V40" s="325">
        <f t="shared" si="60"/>
        <v>79</v>
      </c>
      <c r="W40" s="16"/>
      <c r="X40" s="16"/>
      <c r="Y40" s="447"/>
      <c r="Z40" s="448"/>
      <c r="AA40" s="12">
        <f t="shared" si="2"/>
        <v>-136.70886075949375</v>
      </c>
      <c r="AB40" s="318">
        <f t="shared" si="54"/>
        <v>0.95443037974683542</v>
      </c>
      <c r="AC40" s="457"/>
    </row>
    <row r="41" spans="1:29" ht="15.75" customHeight="1">
      <c r="A41" s="454" t="s">
        <v>1565</v>
      </c>
      <c r="B41" s="31" t="s">
        <v>79</v>
      </c>
      <c r="C41" s="444" t="s">
        <v>85</v>
      </c>
      <c r="D41" s="445"/>
      <c r="E41" s="31">
        <v>35.869999999999997</v>
      </c>
      <c r="F41" s="326">
        <v>2626</v>
      </c>
      <c r="G41" s="316">
        <f t="shared" si="56"/>
        <v>94194.62</v>
      </c>
      <c r="H41" s="327" t="s">
        <v>103</v>
      </c>
      <c r="I41" s="324">
        <v>10</v>
      </c>
      <c r="J41" s="26">
        <v>3000</v>
      </c>
      <c r="K41" s="10">
        <f t="shared" si="51"/>
        <v>300</v>
      </c>
      <c r="L41" s="324">
        <v>10</v>
      </c>
      <c r="M41" s="11">
        <f t="shared" ref="M41:M43" si="62">F41/V41*60</f>
        <v>2864.7272727272748</v>
      </c>
      <c r="N41" s="11">
        <f t="shared" si="58"/>
        <v>286.47272727272747</v>
      </c>
      <c r="O41" s="12">
        <f t="shared" si="59"/>
        <v>0</v>
      </c>
      <c r="P41" s="13">
        <f t="shared" si="48"/>
        <v>-13.527272727272532</v>
      </c>
      <c r="Q41" s="318">
        <f t="shared" si="49"/>
        <v>0.9549090909090916</v>
      </c>
      <c r="R41" s="457"/>
      <c r="S41" s="28">
        <v>0.30208333333333326</v>
      </c>
      <c r="T41" s="28">
        <v>0.34027777777777768</v>
      </c>
      <c r="U41" s="316">
        <f t="shared" si="61"/>
        <v>4.9999999999999822</v>
      </c>
      <c r="V41" s="325">
        <f t="shared" si="60"/>
        <v>54.999999999999964</v>
      </c>
      <c r="W41" s="16"/>
      <c r="X41" s="16"/>
      <c r="Y41" s="447"/>
      <c r="Z41" s="448"/>
      <c r="AA41" s="12">
        <f t="shared" si="2"/>
        <v>-135.27272727272521</v>
      </c>
      <c r="AB41" s="318">
        <f t="shared" si="54"/>
        <v>0.9549090909090916</v>
      </c>
      <c r="AC41" s="457"/>
    </row>
    <row r="42" spans="1:29" ht="15.75" customHeight="1">
      <c r="A42" s="454" t="s">
        <v>1565</v>
      </c>
      <c r="B42" s="31" t="s">
        <v>79</v>
      </c>
      <c r="C42" s="444" t="s">
        <v>86</v>
      </c>
      <c r="D42" s="445"/>
      <c r="E42" s="31">
        <v>36.14</v>
      </c>
      <c r="F42" s="326">
        <v>1824</v>
      </c>
      <c r="G42" s="316">
        <f t="shared" si="56"/>
        <v>65919.360000000001</v>
      </c>
      <c r="H42" s="327" t="s">
        <v>103</v>
      </c>
      <c r="I42" s="324">
        <v>8</v>
      </c>
      <c r="J42" s="26">
        <v>3000</v>
      </c>
      <c r="K42" s="10">
        <f t="shared" si="51"/>
        <v>375</v>
      </c>
      <c r="L42" s="324">
        <v>8</v>
      </c>
      <c r="M42" s="11">
        <f t="shared" si="62"/>
        <v>2879.9999999999977</v>
      </c>
      <c r="N42" s="11">
        <f t="shared" si="58"/>
        <v>359.99999999999972</v>
      </c>
      <c r="O42" s="12">
        <f t="shared" si="59"/>
        <v>0</v>
      </c>
      <c r="P42" s="13">
        <f t="shared" si="48"/>
        <v>-15.000000000000284</v>
      </c>
      <c r="Q42" s="318">
        <f>N42/K42</f>
        <v>0.95999999999999919</v>
      </c>
      <c r="R42" s="457"/>
      <c r="S42" s="28">
        <v>0.34513888888888877</v>
      </c>
      <c r="T42" s="28">
        <v>0.37152777777777768</v>
      </c>
      <c r="U42" s="316">
        <f t="shared" si="61"/>
        <v>6.9999999999999751</v>
      </c>
      <c r="V42" s="325">
        <f t="shared" si="60"/>
        <v>38.000000000000028</v>
      </c>
      <c r="W42" s="16"/>
      <c r="X42" s="16"/>
      <c r="Y42" s="447"/>
      <c r="Z42" s="448"/>
      <c r="AA42" s="12">
        <f t="shared" si="2"/>
        <v>-120.00000000000227</v>
      </c>
      <c r="AB42" s="318">
        <f t="shared" si="54"/>
        <v>0.95999999999999919</v>
      </c>
      <c r="AC42" s="457"/>
    </row>
    <row r="43" spans="1:29" ht="15.75" customHeight="1">
      <c r="A43" s="454" t="s">
        <v>1564</v>
      </c>
      <c r="B43" s="31" t="s">
        <v>79</v>
      </c>
      <c r="C43" s="444" t="s">
        <v>95</v>
      </c>
      <c r="D43" s="445"/>
      <c r="E43" s="31">
        <v>35.369999999999997</v>
      </c>
      <c r="F43" s="326">
        <v>1272</v>
      </c>
      <c r="G43" s="316">
        <f t="shared" si="56"/>
        <v>44990.64</v>
      </c>
      <c r="H43" s="327" t="s">
        <v>103</v>
      </c>
      <c r="I43" s="324">
        <v>10</v>
      </c>
      <c r="J43" s="26">
        <v>3000</v>
      </c>
      <c r="K43" s="10">
        <f t="shared" si="51"/>
        <v>300</v>
      </c>
      <c r="L43" s="324">
        <v>10</v>
      </c>
      <c r="M43" s="11">
        <f t="shared" si="62"/>
        <v>2935.3846153846171</v>
      </c>
      <c r="N43" s="11">
        <f t="shared" si="58"/>
        <v>293.53846153846172</v>
      </c>
      <c r="O43" s="12">
        <f t="shared" si="59"/>
        <v>0</v>
      </c>
      <c r="P43" s="13">
        <f t="shared" si="48"/>
        <v>-6.4615384615382823</v>
      </c>
      <c r="Q43" s="318">
        <f t="shared" ref="Q43:Q44" si="63">N43/K43</f>
        <v>0.97846153846153905</v>
      </c>
      <c r="R43" s="457"/>
      <c r="S43" s="28">
        <v>0.37638888888888877</v>
      </c>
      <c r="T43" s="28">
        <v>0.39444444444444432</v>
      </c>
      <c r="U43" s="316">
        <f t="shared" si="61"/>
        <v>6.9999999999999751</v>
      </c>
      <c r="V43" s="325">
        <f t="shared" si="60"/>
        <v>25.999999999999986</v>
      </c>
      <c r="W43" s="16"/>
      <c r="X43" s="16"/>
      <c r="Y43" s="447"/>
      <c r="Z43" s="448"/>
      <c r="AA43" s="12">
        <f t="shared" si="2"/>
        <v>-64.615384615382936</v>
      </c>
      <c r="AB43" s="318">
        <f t="shared" si="54"/>
        <v>0.97846153846153905</v>
      </c>
      <c r="AC43" s="457"/>
    </row>
    <row r="44" spans="1:29" ht="15.75" customHeight="1">
      <c r="A44" s="455" t="s">
        <v>46</v>
      </c>
      <c r="B44" s="31" t="s">
        <v>36</v>
      </c>
      <c r="C44" s="459"/>
      <c r="D44" s="460"/>
      <c r="E44" s="323"/>
      <c r="F44" s="326"/>
      <c r="G44" s="316"/>
      <c r="H44" s="326"/>
      <c r="I44" s="19">
        <v>9.6666666666666661</v>
      </c>
      <c r="J44" s="26">
        <v>3000</v>
      </c>
      <c r="K44" s="10">
        <f>J44/I44</f>
        <v>310.34482758620692</v>
      </c>
      <c r="L44" s="19">
        <v>9.6666666666666661</v>
      </c>
      <c r="M44" s="11">
        <f>AVERAGE(M38:M43)</f>
        <v>2876.7338378920663</v>
      </c>
      <c r="N44" s="10">
        <f t="shared" si="58"/>
        <v>297.59315564400686</v>
      </c>
      <c r="O44" s="12">
        <f t="shared" si="59"/>
        <v>0</v>
      </c>
      <c r="P44" s="13">
        <f t="shared" si="48"/>
        <v>-12.751671942200062</v>
      </c>
      <c r="Q44" s="318">
        <f t="shared" si="63"/>
        <v>0.95891127929735531</v>
      </c>
      <c r="R44" s="458"/>
      <c r="S44" s="28"/>
      <c r="T44" s="28"/>
      <c r="U44" s="316"/>
      <c r="V44" s="325"/>
      <c r="W44" s="16"/>
      <c r="X44" s="16"/>
      <c r="Y44" s="447"/>
      <c r="Z44" s="448"/>
      <c r="AA44" s="12">
        <f t="shared" si="2"/>
        <v>-123.26616210793372</v>
      </c>
      <c r="AB44" s="318">
        <f t="shared" si="54"/>
        <v>0.95891127929735542</v>
      </c>
      <c r="AC44" s="458"/>
    </row>
    <row r="45" spans="1:29" ht="15.75" customHeight="1">
      <c r="A45" s="451" t="s">
        <v>48</v>
      </c>
      <c r="B45" s="31" t="s">
        <v>53</v>
      </c>
      <c r="C45" s="441" t="s">
        <v>87</v>
      </c>
      <c r="D45" s="441"/>
      <c r="E45" s="31">
        <v>46</v>
      </c>
      <c r="F45" s="35">
        <v>2587</v>
      </c>
      <c r="G45" s="316">
        <f t="shared" ref="G45:G50" si="64">E45*F45</f>
        <v>119002</v>
      </c>
      <c r="H45" s="327" t="s">
        <v>103</v>
      </c>
      <c r="I45" s="324">
        <v>17</v>
      </c>
      <c r="J45" s="26">
        <v>2000</v>
      </c>
      <c r="K45" s="10">
        <f t="shared" ref="K45:K50" si="65">J45/I45</f>
        <v>117.64705882352941</v>
      </c>
      <c r="L45" s="324">
        <v>17</v>
      </c>
      <c r="M45" s="11">
        <f t="shared" ref="M45:M50" si="66">F45/V45*60</f>
        <v>1916.2962962962956</v>
      </c>
      <c r="N45" s="11">
        <f>M45/L45</f>
        <v>112.72331154684092</v>
      </c>
      <c r="O45" s="12">
        <f>L45-I45</f>
        <v>0</v>
      </c>
      <c r="P45" s="13">
        <f>N45-K45</f>
        <v>-4.9237472766884878</v>
      </c>
      <c r="Q45" s="318">
        <f>N45/K45</f>
        <v>0.95814814814814786</v>
      </c>
      <c r="R45" s="442">
        <f>Q51</f>
        <v>0.95645972648596334</v>
      </c>
      <c r="S45" s="28">
        <v>0.29166666666666669</v>
      </c>
      <c r="T45" s="28">
        <v>0.34791666666666671</v>
      </c>
      <c r="U45" s="18"/>
      <c r="V45" s="325">
        <f t="shared" ref="V45:V50" si="67">(T45-S45)*24*60</f>
        <v>81.000000000000028</v>
      </c>
      <c r="W45" s="18"/>
      <c r="X45" s="18"/>
      <c r="Y45" s="443"/>
      <c r="Z45" s="443"/>
      <c r="AA45" s="12">
        <f t="shared" si="2"/>
        <v>-83.703703703704377</v>
      </c>
      <c r="AB45" s="318">
        <f t="shared" si="54"/>
        <v>0.95814814814814786</v>
      </c>
      <c r="AC45" s="442">
        <f>AB51</f>
        <v>0.95645972648596322</v>
      </c>
    </row>
    <row r="46" spans="1:29" ht="15.75" customHeight="1">
      <c r="A46" s="451" t="s">
        <v>1566</v>
      </c>
      <c r="B46" s="31" t="s">
        <v>53</v>
      </c>
      <c r="C46" s="441" t="s">
        <v>88</v>
      </c>
      <c r="D46" s="441"/>
      <c r="E46" s="31">
        <v>46</v>
      </c>
      <c r="F46" s="35">
        <v>2752</v>
      </c>
      <c r="G46" s="316">
        <f t="shared" si="64"/>
        <v>126592</v>
      </c>
      <c r="H46" s="327" t="s">
        <v>103</v>
      </c>
      <c r="I46" s="324">
        <v>17</v>
      </c>
      <c r="J46" s="26">
        <v>2000</v>
      </c>
      <c r="K46" s="10">
        <f t="shared" si="65"/>
        <v>117.64705882352941</v>
      </c>
      <c r="L46" s="324">
        <v>17</v>
      </c>
      <c r="M46" s="11">
        <f t="shared" si="66"/>
        <v>1897.9310344827582</v>
      </c>
      <c r="N46" s="11">
        <f t="shared" ref="N46:N50" si="68">M46/L46</f>
        <v>111.64300202839753</v>
      </c>
      <c r="O46" s="12">
        <f t="shared" ref="O46:O50" si="69">L46-I46</f>
        <v>0</v>
      </c>
      <c r="P46" s="13">
        <f t="shared" ref="P46:P50" si="70">N46-K46</f>
        <v>-6.0040567951318735</v>
      </c>
      <c r="Q46" s="318">
        <f t="shared" ref="Q46:Q50" si="71">N46/K46</f>
        <v>0.94896551724137912</v>
      </c>
      <c r="R46" s="442"/>
      <c r="S46" s="28">
        <v>0.35138888888888892</v>
      </c>
      <c r="T46" s="28">
        <v>0.41180555555555559</v>
      </c>
      <c r="U46" s="316">
        <f>IF(S46=TIME(17,0,0),"",(S46-T45)*24*60)</f>
        <v>4.9999999999999822</v>
      </c>
      <c r="V46" s="325">
        <f t="shared" si="67"/>
        <v>87.000000000000014</v>
      </c>
      <c r="W46" s="16"/>
      <c r="X46" s="16"/>
      <c r="Y46" s="443"/>
      <c r="Z46" s="443"/>
      <c r="AA46" s="12">
        <f t="shared" si="2"/>
        <v>-102.06896551724185</v>
      </c>
      <c r="AB46" s="318">
        <f t="shared" si="54"/>
        <v>0.94896551724137912</v>
      </c>
      <c r="AC46" s="442"/>
    </row>
    <row r="47" spans="1:29" ht="15.75" customHeight="1">
      <c r="A47" s="451" t="s">
        <v>48</v>
      </c>
      <c r="B47" s="31" t="s">
        <v>58</v>
      </c>
      <c r="C47" s="444" t="s">
        <v>168</v>
      </c>
      <c r="D47" s="445"/>
      <c r="E47" s="31">
        <v>54.09</v>
      </c>
      <c r="F47" s="35">
        <v>2014</v>
      </c>
      <c r="G47" s="316">
        <f t="shared" si="64"/>
        <v>108937.26000000001</v>
      </c>
      <c r="H47" s="327" t="s">
        <v>103</v>
      </c>
      <c r="I47" s="324">
        <v>16</v>
      </c>
      <c r="J47" s="26">
        <v>2000</v>
      </c>
      <c r="K47" s="10">
        <f t="shared" si="65"/>
        <v>125</v>
      </c>
      <c r="L47" s="324">
        <v>16</v>
      </c>
      <c r="M47" s="11">
        <f t="shared" si="66"/>
        <v>1918.0952380952376</v>
      </c>
      <c r="N47" s="11">
        <f t="shared" si="68"/>
        <v>119.88095238095235</v>
      </c>
      <c r="O47" s="12">
        <f t="shared" si="69"/>
        <v>0</v>
      </c>
      <c r="P47" s="13">
        <f t="shared" si="70"/>
        <v>-5.1190476190476488</v>
      </c>
      <c r="Q47" s="318">
        <f t="shared" si="71"/>
        <v>0.95904761904761882</v>
      </c>
      <c r="R47" s="442"/>
      <c r="S47" s="28">
        <v>0.4152777777777778</v>
      </c>
      <c r="T47" s="28">
        <v>0.45902777777777781</v>
      </c>
      <c r="U47" s="316">
        <f t="shared" ref="U47:U50" si="72">IF(S47=TIME(17,0,0),"",(S47-T46)*24*60)</f>
        <v>4.9999999999999822</v>
      </c>
      <c r="V47" s="325">
        <f t="shared" si="67"/>
        <v>63.000000000000014</v>
      </c>
      <c r="W47" s="16"/>
      <c r="X47" s="16"/>
      <c r="Y47" s="321"/>
      <c r="Z47" s="322"/>
      <c r="AA47" s="12">
        <f t="shared" si="2"/>
        <v>-81.904761904762381</v>
      </c>
      <c r="AB47" s="318">
        <f t="shared" si="54"/>
        <v>0.95904761904761882</v>
      </c>
      <c r="AC47" s="442"/>
    </row>
    <row r="48" spans="1:29" ht="15.75" customHeight="1">
      <c r="A48" s="451" t="s">
        <v>1567</v>
      </c>
      <c r="B48" s="31" t="s">
        <v>58</v>
      </c>
      <c r="C48" s="319" t="s">
        <v>89</v>
      </c>
      <c r="D48" s="320"/>
      <c r="E48" s="31">
        <v>55.56</v>
      </c>
      <c r="F48" s="35">
        <v>1792</v>
      </c>
      <c r="G48" s="316">
        <f t="shared" si="64"/>
        <v>99563.520000000004</v>
      </c>
      <c r="H48" s="327" t="s">
        <v>103</v>
      </c>
      <c r="I48" s="324">
        <v>17</v>
      </c>
      <c r="J48" s="26">
        <v>2000</v>
      </c>
      <c r="K48" s="10">
        <f t="shared" si="65"/>
        <v>117.64705882352941</v>
      </c>
      <c r="L48" s="324">
        <v>17</v>
      </c>
      <c r="M48" s="11">
        <f t="shared" si="66"/>
        <v>1920.0000000000014</v>
      </c>
      <c r="N48" s="11">
        <f t="shared" si="68"/>
        <v>112.94117647058832</v>
      </c>
      <c r="O48" s="12">
        <f t="shared" si="69"/>
        <v>0</v>
      </c>
      <c r="P48" s="13">
        <f t="shared" si="70"/>
        <v>-4.7058823529410887</v>
      </c>
      <c r="Q48" s="318">
        <f t="shared" si="71"/>
        <v>0.96000000000000074</v>
      </c>
      <c r="R48" s="442"/>
      <c r="S48" s="28">
        <v>0.70833333333333337</v>
      </c>
      <c r="T48" s="28">
        <v>0.74722222222222223</v>
      </c>
      <c r="U48" s="316" t="str">
        <f t="shared" si="72"/>
        <v/>
      </c>
      <c r="V48" s="325">
        <f t="shared" si="67"/>
        <v>55.999999999999957</v>
      </c>
      <c r="W48" s="16"/>
      <c r="X48" s="16"/>
      <c r="Y48" s="321"/>
      <c r="Z48" s="322"/>
      <c r="AA48" s="12">
        <f t="shared" si="2"/>
        <v>-79.999999999998636</v>
      </c>
      <c r="AB48" s="318">
        <f t="shared" si="54"/>
        <v>0.96000000000000063</v>
      </c>
      <c r="AC48" s="442"/>
    </row>
    <row r="49" spans="1:29" ht="15.75" customHeight="1">
      <c r="A49" s="451" t="s">
        <v>48</v>
      </c>
      <c r="B49" s="31" t="s">
        <v>58</v>
      </c>
      <c r="C49" s="319" t="s">
        <v>90</v>
      </c>
      <c r="D49" s="320"/>
      <c r="E49" s="31">
        <v>55.32</v>
      </c>
      <c r="F49" s="35">
        <v>1341</v>
      </c>
      <c r="G49" s="316">
        <f t="shared" si="64"/>
        <v>74184.12</v>
      </c>
      <c r="H49" s="327" t="s">
        <v>103</v>
      </c>
      <c r="I49" s="324">
        <v>15</v>
      </c>
      <c r="J49" s="26">
        <v>2000</v>
      </c>
      <c r="K49" s="10">
        <f t="shared" si="65"/>
        <v>133.33333333333334</v>
      </c>
      <c r="L49" s="324">
        <v>15</v>
      </c>
      <c r="M49" s="11">
        <f t="shared" si="66"/>
        <v>1915.7142857142849</v>
      </c>
      <c r="N49" s="11">
        <f t="shared" si="68"/>
        <v>127.71428571428565</v>
      </c>
      <c r="O49" s="12">
        <f t="shared" si="69"/>
        <v>0</v>
      </c>
      <c r="P49" s="13">
        <f t="shared" si="70"/>
        <v>-5.6190476190476915</v>
      </c>
      <c r="Q49" s="318">
        <f t="shared" si="71"/>
        <v>0.9578571428571423</v>
      </c>
      <c r="R49" s="442"/>
      <c r="S49" s="28">
        <v>0.75277777777777777</v>
      </c>
      <c r="T49" s="28">
        <v>0.78194444444444444</v>
      </c>
      <c r="U49" s="316">
        <f t="shared" si="72"/>
        <v>7.9999999999999716</v>
      </c>
      <c r="V49" s="325">
        <f t="shared" si="67"/>
        <v>42.000000000000014</v>
      </c>
      <c r="W49" s="16"/>
      <c r="X49" s="16"/>
      <c r="Y49" s="321"/>
      <c r="Z49" s="322"/>
      <c r="AA49" s="12">
        <f t="shared" si="2"/>
        <v>-84.28571428571513</v>
      </c>
      <c r="AB49" s="318">
        <f t="shared" si="54"/>
        <v>0.95785714285714241</v>
      </c>
      <c r="AC49" s="442"/>
    </row>
    <row r="50" spans="1:29" ht="15.75" customHeight="1">
      <c r="A50" s="451" t="s">
        <v>1567</v>
      </c>
      <c r="B50" s="31" t="s">
        <v>58</v>
      </c>
      <c r="C50" s="444" t="s">
        <v>91</v>
      </c>
      <c r="D50" s="445"/>
      <c r="E50" s="31">
        <v>57.73</v>
      </c>
      <c r="F50" s="35">
        <v>1145</v>
      </c>
      <c r="G50" s="316">
        <f t="shared" si="64"/>
        <v>66100.849999999991</v>
      </c>
      <c r="H50" s="327" t="s">
        <v>103</v>
      </c>
      <c r="I50" s="324">
        <v>16</v>
      </c>
      <c r="J50" s="26">
        <v>1500</v>
      </c>
      <c r="K50" s="10">
        <f t="shared" si="65"/>
        <v>93.75</v>
      </c>
      <c r="L50" s="324">
        <v>16</v>
      </c>
      <c r="M50" s="11">
        <f t="shared" si="66"/>
        <v>1431.2500000000005</v>
      </c>
      <c r="N50" s="11">
        <f t="shared" si="68"/>
        <v>89.453125000000028</v>
      </c>
      <c r="O50" s="12">
        <f t="shared" si="69"/>
        <v>0</v>
      </c>
      <c r="P50" s="13">
        <f t="shared" si="70"/>
        <v>-4.2968749999999716</v>
      </c>
      <c r="Q50" s="318">
        <f t="shared" si="71"/>
        <v>0.95416666666666694</v>
      </c>
      <c r="R50" s="442"/>
      <c r="S50" s="28">
        <v>0.78541666666666665</v>
      </c>
      <c r="T50" s="28">
        <v>0.81874999999999998</v>
      </c>
      <c r="U50" s="316">
        <f t="shared" si="72"/>
        <v>4.9999999999999822</v>
      </c>
      <c r="V50" s="325">
        <f t="shared" si="67"/>
        <v>47.999999999999986</v>
      </c>
      <c r="W50" s="16"/>
      <c r="X50" s="16"/>
      <c r="Y50" s="447"/>
      <c r="Z50" s="448"/>
      <c r="AA50" s="12">
        <f t="shared" si="2"/>
        <v>-68.749999999999545</v>
      </c>
      <c r="AB50" s="318">
        <f t="shared" si="54"/>
        <v>0.95416666666666694</v>
      </c>
      <c r="AC50" s="442"/>
    </row>
    <row r="51" spans="1:29">
      <c r="A51" s="452" t="s">
        <v>1567</v>
      </c>
      <c r="B51" s="31" t="s">
        <v>1552</v>
      </c>
      <c r="C51" s="446"/>
      <c r="D51" s="446"/>
      <c r="E51" s="317"/>
      <c r="F51" s="33"/>
      <c r="G51" s="10"/>
      <c r="H51" s="326"/>
      <c r="I51" s="19">
        <v>16.333333333333332</v>
      </c>
      <c r="J51" s="26">
        <v>1916.6666666666667</v>
      </c>
      <c r="K51" s="10">
        <f>J51/I51</f>
        <v>117.34693877551021</v>
      </c>
      <c r="L51" s="19">
        <v>16.333333333333332</v>
      </c>
      <c r="M51" s="11">
        <f>AVERAGE(M45:M50)</f>
        <v>1833.2144757647629</v>
      </c>
      <c r="N51" s="10">
        <f>M51/L51</f>
        <v>112.23762096518958</v>
      </c>
      <c r="O51" s="12">
        <f>L51-I51</f>
        <v>0</v>
      </c>
      <c r="P51" s="13">
        <f>N51-K51</f>
        <v>-5.1093178103206327</v>
      </c>
      <c r="Q51" s="318">
        <f>N51/K51</f>
        <v>0.95645972648596334</v>
      </c>
      <c r="R51" s="442"/>
      <c r="S51" s="29"/>
      <c r="T51" s="28"/>
      <c r="U51" s="10"/>
      <c r="V51" s="325"/>
      <c r="W51" s="10"/>
      <c r="X51" s="10"/>
      <c r="Y51" s="443"/>
      <c r="Z51" s="443"/>
      <c r="AA51" s="12">
        <f t="shared" si="2"/>
        <v>-83.452190901903805</v>
      </c>
      <c r="AB51" s="318">
        <f t="shared" si="54"/>
        <v>0.95645972648596322</v>
      </c>
      <c r="AC51" s="442"/>
    </row>
    <row r="52" spans="1:29" ht="15.75" customHeight="1">
      <c r="A52" s="449" t="s">
        <v>1568</v>
      </c>
      <c r="B52" s="326" t="s">
        <v>79</v>
      </c>
      <c r="C52" s="441" t="s">
        <v>94</v>
      </c>
      <c r="D52" s="441"/>
      <c r="E52" s="31">
        <v>26.78</v>
      </c>
      <c r="F52" s="35">
        <v>2327</v>
      </c>
      <c r="G52" s="316">
        <f t="shared" ref="G52:G55" si="73">E52*F52</f>
        <v>62317.060000000005</v>
      </c>
      <c r="H52" s="327" t="s">
        <v>103</v>
      </c>
      <c r="I52" s="324">
        <v>10</v>
      </c>
      <c r="J52" s="26">
        <v>3000</v>
      </c>
      <c r="K52" s="10">
        <f t="shared" ref="K52:K55" si="74">J52/I52</f>
        <v>300</v>
      </c>
      <c r="L52" s="19">
        <v>10</v>
      </c>
      <c r="M52" s="11">
        <f t="shared" ref="M52:M55" si="75">F52/V52*60</f>
        <v>2849.3877551020405</v>
      </c>
      <c r="N52" s="10">
        <f>M52/L52</f>
        <v>284.93877551020404</v>
      </c>
      <c r="O52" s="12">
        <f t="shared" ref="O52:O55" si="76">L52-I52</f>
        <v>0</v>
      </c>
      <c r="P52" s="13">
        <f t="shared" ref="P52:P55" si="77">N52-K52</f>
        <v>-15.061224489795961</v>
      </c>
      <c r="Q52" s="318">
        <f>N52/K52</f>
        <v>0.94979591836734678</v>
      </c>
      <c r="R52" s="442">
        <f>Q56</f>
        <v>0.95715335573957916</v>
      </c>
      <c r="S52" s="28">
        <v>8.3333333333333329E-2</v>
      </c>
      <c r="T52" s="28">
        <v>0.11736111111111111</v>
      </c>
      <c r="U52" s="316"/>
      <c r="V52" s="325">
        <f t="shared" ref="V52:V55" si="78">(T52-S52)*24*60</f>
        <v>49.000000000000007</v>
      </c>
      <c r="W52" s="16">
        <f>T52</f>
        <v>0.11736111111111111</v>
      </c>
      <c r="X52" s="16">
        <f>S53</f>
        <v>0.13541666666666666</v>
      </c>
      <c r="Y52" s="443"/>
      <c r="Z52" s="443"/>
      <c r="AA52" s="12">
        <f t="shared" si="2"/>
        <v>-150.6122448979595</v>
      </c>
      <c r="AB52" s="318">
        <f t="shared" si="54"/>
        <v>0.94979591836734678</v>
      </c>
      <c r="AC52" s="442">
        <f>AB56</f>
        <v>0.95715335573957916</v>
      </c>
    </row>
    <row r="53" spans="1:29" ht="15.75" customHeight="1">
      <c r="A53" s="449" t="s">
        <v>1568</v>
      </c>
      <c r="B53" s="326" t="s">
        <v>79</v>
      </c>
      <c r="C53" s="441" t="s">
        <v>97</v>
      </c>
      <c r="D53" s="441"/>
      <c r="E53" s="31">
        <v>35.119999999999997</v>
      </c>
      <c r="F53" s="35">
        <v>1002</v>
      </c>
      <c r="G53" s="316">
        <f t="shared" si="73"/>
        <v>35190.239999999998</v>
      </c>
      <c r="H53" s="327" t="s">
        <v>103</v>
      </c>
      <c r="I53" s="324">
        <v>13</v>
      </c>
      <c r="J53" s="26">
        <v>2000</v>
      </c>
      <c r="K53" s="10">
        <f t="shared" si="74"/>
        <v>153.84615384615384</v>
      </c>
      <c r="L53" s="19">
        <v>13</v>
      </c>
      <c r="M53" s="11">
        <f t="shared" si="75"/>
        <v>1939.3548387096769</v>
      </c>
      <c r="N53" s="10">
        <f t="shared" ref="N53:N55" si="79">M53/L53</f>
        <v>149.1811414392059</v>
      </c>
      <c r="O53" s="12">
        <f t="shared" si="76"/>
        <v>0</v>
      </c>
      <c r="P53" s="13">
        <f t="shared" si="77"/>
        <v>-4.6650124069479375</v>
      </c>
      <c r="Q53" s="318">
        <f t="shared" ref="Q53:Q55" si="80">N53/K53</f>
        <v>0.96967741935483842</v>
      </c>
      <c r="R53" s="442"/>
      <c r="S53" s="28">
        <v>0.13541666666666666</v>
      </c>
      <c r="T53" s="28">
        <v>0.15694444444444444</v>
      </c>
      <c r="U53" s="316">
        <f>(S53-T52)*24*60</f>
        <v>25.999999999999986</v>
      </c>
      <c r="V53" s="325">
        <f t="shared" si="78"/>
        <v>31.000000000000011</v>
      </c>
      <c r="W53" s="316"/>
      <c r="X53" s="316"/>
      <c r="Y53" s="443"/>
      <c r="Z53" s="443"/>
      <c r="AA53" s="12">
        <f t="shared" si="2"/>
        <v>-60.645161290323131</v>
      </c>
      <c r="AB53" s="318">
        <f t="shared" si="54"/>
        <v>0.96967741935483842</v>
      </c>
      <c r="AC53" s="442"/>
    </row>
    <row r="54" spans="1:29" ht="15.75" customHeight="1">
      <c r="A54" s="449" t="s">
        <v>1568</v>
      </c>
      <c r="B54" s="326" t="s">
        <v>79</v>
      </c>
      <c r="C54" s="441" t="s">
        <v>98</v>
      </c>
      <c r="D54" s="441"/>
      <c r="E54" s="31">
        <v>35.869999999999997</v>
      </c>
      <c r="F54" s="35">
        <v>2013</v>
      </c>
      <c r="G54" s="316">
        <f t="shared" si="73"/>
        <v>72206.31</v>
      </c>
      <c r="H54" s="327" t="s">
        <v>103</v>
      </c>
      <c r="I54" s="324">
        <v>10</v>
      </c>
      <c r="J54" s="26">
        <v>3000</v>
      </c>
      <c r="K54" s="10">
        <f t="shared" si="74"/>
        <v>300</v>
      </c>
      <c r="L54" s="19">
        <v>10</v>
      </c>
      <c r="M54" s="11">
        <f t="shared" si="75"/>
        <v>2875.7142857142844</v>
      </c>
      <c r="N54" s="10">
        <f t="shared" si="79"/>
        <v>287.57142857142844</v>
      </c>
      <c r="O54" s="12">
        <f t="shared" si="76"/>
        <v>0</v>
      </c>
      <c r="P54" s="13">
        <f t="shared" si="77"/>
        <v>-12.428571428571558</v>
      </c>
      <c r="Q54" s="318">
        <f t="shared" si="80"/>
        <v>0.95857142857142819</v>
      </c>
      <c r="R54" s="442"/>
      <c r="S54" s="28">
        <v>0.16041666666666665</v>
      </c>
      <c r="T54" s="28">
        <v>0.18958333333333333</v>
      </c>
      <c r="U54" s="316">
        <f t="shared" ref="U54:U55" si="81">(S54-T53)*24*60</f>
        <v>4.9999999999999822</v>
      </c>
      <c r="V54" s="325">
        <f t="shared" si="78"/>
        <v>42.000000000000014</v>
      </c>
      <c r="W54" s="316"/>
      <c r="X54" s="316"/>
      <c r="Y54" s="443"/>
      <c r="Z54" s="443"/>
      <c r="AA54" s="12">
        <f t="shared" si="2"/>
        <v>-124.28571428571558</v>
      </c>
      <c r="AB54" s="318">
        <f t="shared" si="54"/>
        <v>0.95857142857142819</v>
      </c>
      <c r="AC54" s="442"/>
    </row>
    <row r="55" spans="1:29" ht="15.75" customHeight="1">
      <c r="A55" s="449" t="s">
        <v>49</v>
      </c>
      <c r="B55" s="326" t="s">
        <v>53</v>
      </c>
      <c r="C55" s="441" t="s">
        <v>96</v>
      </c>
      <c r="D55" s="441"/>
      <c r="E55" s="31">
        <v>26.97</v>
      </c>
      <c r="F55" s="35">
        <v>2857</v>
      </c>
      <c r="G55" s="316">
        <f t="shared" si="73"/>
        <v>77053.289999999994</v>
      </c>
      <c r="H55" s="327" t="s">
        <v>103</v>
      </c>
      <c r="I55" s="324">
        <v>8</v>
      </c>
      <c r="J55" s="26">
        <v>1500</v>
      </c>
      <c r="K55" s="10">
        <f t="shared" si="74"/>
        <v>187.5</v>
      </c>
      <c r="L55" s="19">
        <v>8</v>
      </c>
      <c r="M55" s="11">
        <f t="shared" si="75"/>
        <v>1428.5</v>
      </c>
      <c r="N55" s="10">
        <f t="shared" si="79"/>
        <v>178.5625</v>
      </c>
      <c r="O55" s="12">
        <f t="shared" si="76"/>
        <v>0</v>
      </c>
      <c r="P55" s="13">
        <f t="shared" si="77"/>
        <v>-8.9375</v>
      </c>
      <c r="Q55" s="318">
        <f t="shared" si="80"/>
        <v>0.95233333333333337</v>
      </c>
      <c r="R55" s="442"/>
      <c r="S55" s="28">
        <v>0.19444444444444445</v>
      </c>
      <c r="T55" s="28">
        <v>0.27777777777777779</v>
      </c>
      <c r="U55" s="316">
        <f t="shared" si="81"/>
        <v>7.0000000000000151</v>
      </c>
      <c r="V55" s="325">
        <f t="shared" si="78"/>
        <v>120</v>
      </c>
      <c r="W55" s="316"/>
      <c r="X55" s="316"/>
      <c r="Y55" s="443"/>
      <c r="Z55" s="443"/>
      <c r="AA55" s="12">
        <f t="shared" si="2"/>
        <v>-71.5</v>
      </c>
      <c r="AB55" s="318">
        <f t="shared" si="54"/>
        <v>0.95233333333333337</v>
      </c>
      <c r="AC55" s="442"/>
    </row>
    <row r="56" spans="1:29">
      <c r="A56" s="450" t="s">
        <v>1569</v>
      </c>
      <c r="B56" s="31" t="s">
        <v>36</v>
      </c>
      <c r="C56" s="446"/>
      <c r="D56" s="446"/>
      <c r="E56" s="317"/>
      <c r="F56" s="33"/>
      <c r="G56" s="10"/>
      <c r="H56" s="326"/>
      <c r="I56" s="19">
        <v>10.25</v>
      </c>
      <c r="J56" s="26">
        <v>2375</v>
      </c>
      <c r="K56" s="10">
        <f>J56/I56</f>
        <v>231.70731707317074</v>
      </c>
      <c r="L56" s="19">
        <v>10.25</v>
      </c>
      <c r="M56" s="11">
        <f>AVERAGE(M52:M55)</f>
        <v>2273.2392198815005</v>
      </c>
      <c r="N56" s="10">
        <f>M56/L56</f>
        <v>221.77943608600006</v>
      </c>
      <c r="O56" s="12">
        <f>L56-I56</f>
        <v>0</v>
      </c>
      <c r="P56" s="13">
        <f>N56-K56</f>
        <v>-9.9278809871706812</v>
      </c>
      <c r="Q56" s="318">
        <f>N56/K56</f>
        <v>0.95715335573957916</v>
      </c>
      <c r="R56" s="442"/>
      <c r="S56" s="28"/>
      <c r="T56" s="28"/>
      <c r="U56" s="10"/>
      <c r="V56" s="325"/>
      <c r="W56" s="10"/>
      <c r="X56" s="10"/>
      <c r="Y56" s="443"/>
      <c r="Z56" s="443"/>
      <c r="AA56" s="12">
        <f t="shared" si="2"/>
        <v>-101.7607801184995</v>
      </c>
      <c r="AB56" s="318">
        <f t="shared" si="54"/>
        <v>0.95715335573957916</v>
      </c>
      <c r="AC56" s="442"/>
    </row>
    <row r="57" spans="1:29" ht="15.75" customHeight="1">
      <c r="A57" s="439" t="s">
        <v>1570</v>
      </c>
      <c r="B57" s="326" t="s">
        <v>67</v>
      </c>
      <c r="C57" s="441" t="s">
        <v>99</v>
      </c>
      <c r="D57" s="441"/>
      <c r="E57" s="31">
        <v>20.2</v>
      </c>
      <c r="F57" s="326">
        <v>2120</v>
      </c>
      <c r="G57" s="316">
        <f t="shared" ref="G57:G63" si="82">E57*F57</f>
        <v>42824</v>
      </c>
      <c r="H57" s="327" t="s">
        <v>103</v>
      </c>
      <c r="I57" s="324">
        <v>19</v>
      </c>
      <c r="J57" s="26">
        <v>2400</v>
      </c>
      <c r="K57" s="10">
        <f t="shared" ref="K57:K59" si="83">J57/I57</f>
        <v>126.31578947368421</v>
      </c>
      <c r="L57" s="19">
        <v>19</v>
      </c>
      <c r="M57" s="11">
        <f>F57/V57*60</f>
        <v>2312.7272727272734</v>
      </c>
      <c r="N57" s="10">
        <f t="shared" ref="N57:N63" si="84">M57/L57</f>
        <v>121.72248803827755</v>
      </c>
      <c r="O57" s="12">
        <f t="shared" ref="O57:O63" si="85">L57-I57</f>
        <v>0</v>
      </c>
      <c r="P57" s="13">
        <f t="shared" ref="P57:P63" si="86">N57-K57</f>
        <v>-4.5933014354066586</v>
      </c>
      <c r="Q57" s="318">
        <f>N57/K57</f>
        <v>0.96363636363636396</v>
      </c>
      <c r="R57" s="442">
        <f>Q64</f>
        <v>0.95156592121418082</v>
      </c>
      <c r="S57" s="28">
        <v>8.3333333333333329E-2</v>
      </c>
      <c r="T57" s="28">
        <v>0.12152777777777776</v>
      </c>
      <c r="U57" s="18"/>
      <c r="V57" s="325">
        <f t="shared" ref="V57:V63" si="87">(T57-S57)*24*60</f>
        <v>54.999999999999986</v>
      </c>
      <c r="W57" s="16">
        <f>T57</f>
        <v>0.12152777777777776</v>
      </c>
      <c r="X57" s="16">
        <f>S58</f>
        <v>0.14097222222222222</v>
      </c>
      <c r="Y57" s="443"/>
      <c r="Z57" s="443"/>
      <c r="AA57" s="12">
        <f t="shared" si="2"/>
        <v>-87.27272727272657</v>
      </c>
      <c r="AB57" s="318">
        <f>M57/J57</f>
        <v>0.96363636363636396</v>
      </c>
      <c r="AC57" s="442">
        <f>AB64</f>
        <v>0.95156592121418104</v>
      </c>
    </row>
    <row r="58" spans="1:29" ht="15.75" customHeight="1">
      <c r="A58" s="439" t="s">
        <v>51</v>
      </c>
      <c r="B58" s="326" t="s">
        <v>67</v>
      </c>
      <c r="C58" s="441" t="s">
        <v>100</v>
      </c>
      <c r="D58" s="441"/>
      <c r="E58" s="31">
        <v>19.02</v>
      </c>
      <c r="F58" s="326">
        <v>4300</v>
      </c>
      <c r="G58" s="316">
        <f t="shared" si="82"/>
        <v>81786</v>
      </c>
      <c r="H58" s="327">
        <v>2</v>
      </c>
      <c r="I58" s="324">
        <v>15</v>
      </c>
      <c r="J58" s="26">
        <v>2400</v>
      </c>
      <c r="K58" s="10">
        <f t="shared" si="83"/>
        <v>160</v>
      </c>
      <c r="L58" s="19">
        <v>15</v>
      </c>
      <c r="M58" s="11">
        <f t="shared" ref="M58:M63" si="88">F58/V58*60</f>
        <v>2283.1858407079644</v>
      </c>
      <c r="N58" s="10">
        <f t="shared" si="84"/>
        <v>152.21238938053096</v>
      </c>
      <c r="O58" s="12">
        <f t="shared" si="85"/>
        <v>0</v>
      </c>
      <c r="P58" s="13">
        <f t="shared" si="86"/>
        <v>-7.7876106194690351</v>
      </c>
      <c r="Q58" s="318">
        <f t="shared" ref="Q58:Q64" si="89">N58/K58</f>
        <v>0.95132743362831851</v>
      </c>
      <c r="R58" s="442"/>
      <c r="S58" s="28">
        <v>0.14097222222222222</v>
      </c>
      <c r="T58" s="28">
        <v>0.21944444444444444</v>
      </c>
      <c r="U58" s="316">
        <f>(S58-T57)*24*60</f>
        <v>28.000000000000021</v>
      </c>
      <c r="V58" s="325">
        <f t="shared" si="87"/>
        <v>113</v>
      </c>
      <c r="W58" s="16"/>
      <c r="X58" s="16"/>
      <c r="Y58" s="443"/>
      <c r="Z58" s="443"/>
      <c r="AA58" s="12">
        <f t="shared" si="2"/>
        <v>-116.81415929203558</v>
      </c>
      <c r="AB58" s="318">
        <f t="shared" ref="AB58:AB64" si="90">M58/J58</f>
        <v>0.95132743362831851</v>
      </c>
      <c r="AC58" s="442"/>
    </row>
    <row r="59" spans="1:29" ht="15.75" customHeight="1">
      <c r="A59" s="439" t="s">
        <v>51</v>
      </c>
      <c r="B59" s="326" t="s">
        <v>67</v>
      </c>
      <c r="C59" s="441" t="s">
        <v>70</v>
      </c>
      <c r="D59" s="441"/>
      <c r="E59" s="31">
        <v>24.25</v>
      </c>
      <c r="F59" s="326">
        <v>2835</v>
      </c>
      <c r="G59" s="316">
        <f t="shared" si="82"/>
        <v>68748.75</v>
      </c>
      <c r="H59" s="327" t="s">
        <v>103</v>
      </c>
      <c r="I59" s="324">
        <v>18</v>
      </c>
      <c r="J59" s="26">
        <v>2400</v>
      </c>
      <c r="K59" s="10">
        <f t="shared" si="83"/>
        <v>133.33333333333334</v>
      </c>
      <c r="L59" s="19">
        <v>18</v>
      </c>
      <c r="M59" s="11">
        <f t="shared" si="88"/>
        <v>2267.9999999999995</v>
      </c>
      <c r="N59" s="10">
        <f t="shared" si="84"/>
        <v>125.99999999999997</v>
      </c>
      <c r="O59" s="12">
        <f t="shared" si="85"/>
        <v>0</v>
      </c>
      <c r="P59" s="13">
        <f t="shared" si="86"/>
        <v>-7.3333333333333712</v>
      </c>
      <c r="Q59" s="318">
        <f t="shared" si="89"/>
        <v>0.94499999999999973</v>
      </c>
      <c r="R59" s="442"/>
      <c r="S59" s="28">
        <v>0.22361111111111112</v>
      </c>
      <c r="T59" s="28">
        <v>0.27569444444444446</v>
      </c>
      <c r="U59" s="316">
        <f t="shared" ref="U59:U63" si="91">(S59-T58)*24*60</f>
        <v>6.0000000000000187</v>
      </c>
      <c r="V59" s="325">
        <f t="shared" si="87"/>
        <v>75.000000000000014</v>
      </c>
      <c r="W59" s="16"/>
      <c r="X59" s="16"/>
      <c r="Y59" s="443"/>
      <c r="Z59" s="443"/>
      <c r="AA59" s="12">
        <f t="shared" si="2"/>
        <v>-132.00000000000045</v>
      </c>
      <c r="AB59" s="318">
        <f t="shared" si="90"/>
        <v>0.94499999999999984</v>
      </c>
      <c r="AC59" s="442"/>
    </row>
    <row r="60" spans="1:29" ht="15.75" customHeight="1">
      <c r="A60" s="439" t="s">
        <v>1570</v>
      </c>
      <c r="B60" s="326" t="s">
        <v>67</v>
      </c>
      <c r="C60" s="441" t="s">
        <v>102</v>
      </c>
      <c r="D60" s="441"/>
      <c r="E60" s="31">
        <v>20.52</v>
      </c>
      <c r="F60" s="326">
        <v>3565</v>
      </c>
      <c r="G60" s="316">
        <f t="shared" si="82"/>
        <v>73153.8</v>
      </c>
      <c r="H60" s="327" t="s">
        <v>103</v>
      </c>
      <c r="I60" s="324">
        <v>18</v>
      </c>
      <c r="J60" s="26">
        <v>2400</v>
      </c>
      <c r="K60" s="10">
        <f>J60/I60</f>
        <v>133.33333333333334</v>
      </c>
      <c r="L60" s="19">
        <v>18</v>
      </c>
      <c r="M60" s="11">
        <f t="shared" si="88"/>
        <v>2275.5319148936173</v>
      </c>
      <c r="N60" s="10">
        <f t="shared" si="84"/>
        <v>126.41843971631208</v>
      </c>
      <c r="O60" s="12">
        <f t="shared" si="85"/>
        <v>0</v>
      </c>
      <c r="P60" s="13">
        <f t="shared" si="86"/>
        <v>-6.9148936170212636</v>
      </c>
      <c r="Q60" s="318">
        <f t="shared" si="89"/>
        <v>0.9481382978723405</v>
      </c>
      <c r="R60" s="442"/>
      <c r="S60" s="28">
        <v>0.28125</v>
      </c>
      <c r="T60" s="28">
        <v>0.34652777777777777</v>
      </c>
      <c r="U60" s="316">
        <f t="shared" si="91"/>
        <v>7.9999999999999716</v>
      </c>
      <c r="V60" s="325">
        <f t="shared" si="87"/>
        <v>93.999999999999986</v>
      </c>
      <c r="W60" s="16"/>
      <c r="X60" s="16"/>
      <c r="Y60" s="443"/>
      <c r="Z60" s="443"/>
      <c r="AA60" s="12">
        <f t="shared" si="2"/>
        <v>-124.46808510638266</v>
      </c>
      <c r="AB60" s="318">
        <f t="shared" si="90"/>
        <v>0.94813829787234061</v>
      </c>
      <c r="AC60" s="442"/>
    </row>
    <row r="61" spans="1:29" ht="15.75" customHeight="1">
      <c r="A61" s="439" t="s">
        <v>1570</v>
      </c>
      <c r="B61" s="326" t="s">
        <v>67</v>
      </c>
      <c r="C61" s="441" t="s">
        <v>1161</v>
      </c>
      <c r="D61" s="441"/>
      <c r="E61" s="31">
        <v>24.25</v>
      </c>
      <c r="F61" s="326">
        <v>5519</v>
      </c>
      <c r="G61" s="316">
        <f t="shared" si="82"/>
        <v>133835.75</v>
      </c>
      <c r="H61" s="327" t="s">
        <v>103</v>
      </c>
      <c r="I61" s="324">
        <v>17</v>
      </c>
      <c r="J61" s="26">
        <v>2400</v>
      </c>
      <c r="K61" s="10">
        <f t="shared" ref="K61:K64" si="92">J61/I61</f>
        <v>141.1764705882353</v>
      </c>
      <c r="L61" s="19">
        <v>17</v>
      </c>
      <c r="M61" s="11">
        <f t="shared" si="88"/>
        <v>2268.0821917808221</v>
      </c>
      <c r="N61" s="10">
        <f t="shared" si="84"/>
        <v>133.41659951651894</v>
      </c>
      <c r="O61" s="12">
        <f t="shared" si="85"/>
        <v>0</v>
      </c>
      <c r="P61" s="13">
        <f t="shared" si="86"/>
        <v>-7.7598710717163613</v>
      </c>
      <c r="Q61" s="318">
        <f t="shared" si="89"/>
        <v>0.94503424657534241</v>
      </c>
      <c r="R61" s="442"/>
      <c r="S61" s="28">
        <v>0.35069444444444442</v>
      </c>
      <c r="T61" s="28">
        <v>0.45208333333333328</v>
      </c>
      <c r="U61" s="316">
        <f t="shared" si="91"/>
        <v>5.9999999999999787</v>
      </c>
      <c r="V61" s="325">
        <f t="shared" si="87"/>
        <v>145.99999999999997</v>
      </c>
      <c r="W61" s="16"/>
      <c r="X61" s="16"/>
      <c r="Y61" s="443"/>
      <c r="Z61" s="443"/>
      <c r="AA61" s="12">
        <f t="shared" si="2"/>
        <v>-131.91780821917791</v>
      </c>
      <c r="AB61" s="318">
        <f t="shared" si="90"/>
        <v>0.94503424657534252</v>
      </c>
      <c r="AC61" s="442"/>
    </row>
    <row r="62" spans="1:29" ht="15.75" customHeight="1">
      <c r="A62" s="439" t="s">
        <v>51</v>
      </c>
      <c r="B62" s="326" t="s">
        <v>67</v>
      </c>
      <c r="C62" s="441" t="s">
        <v>71</v>
      </c>
      <c r="D62" s="441"/>
      <c r="E62" s="31">
        <v>22.35</v>
      </c>
      <c r="F62" s="326">
        <v>1640</v>
      </c>
      <c r="G62" s="316">
        <f t="shared" si="82"/>
        <v>36654</v>
      </c>
      <c r="H62" s="327" t="s">
        <v>103</v>
      </c>
      <c r="I62" s="324">
        <v>16</v>
      </c>
      <c r="J62" s="26">
        <v>2400</v>
      </c>
      <c r="K62" s="10">
        <f t="shared" si="92"/>
        <v>150</v>
      </c>
      <c r="L62" s="19">
        <v>16</v>
      </c>
      <c r="M62" s="11">
        <f t="shared" si="88"/>
        <v>2288.3720930232557</v>
      </c>
      <c r="N62" s="10">
        <f t="shared" si="84"/>
        <v>143.02325581395348</v>
      </c>
      <c r="O62" s="12">
        <f t="shared" si="85"/>
        <v>0</v>
      </c>
      <c r="P62" s="13">
        <f t="shared" si="86"/>
        <v>-6.9767441860465169</v>
      </c>
      <c r="Q62" s="318">
        <f t="shared" si="89"/>
        <v>0.95348837209302317</v>
      </c>
      <c r="R62" s="442"/>
      <c r="S62" s="28">
        <v>0.45694444444444438</v>
      </c>
      <c r="T62" s="28">
        <v>0.48680555555555549</v>
      </c>
      <c r="U62" s="316">
        <f t="shared" si="91"/>
        <v>6.9999999999999751</v>
      </c>
      <c r="V62" s="325">
        <f t="shared" si="87"/>
        <v>43.000000000000007</v>
      </c>
      <c r="W62" s="16">
        <f>T62</f>
        <v>0.48680555555555549</v>
      </c>
      <c r="X62" s="16">
        <f>S63</f>
        <v>0.5263888888888888</v>
      </c>
      <c r="Y62" s="443"/>
      <c r="Z62" s="443"/>
      <c r="AA62" s="12">
        <f t="shared" si="2"/>
        <v>-111.62790697674427</v>
      </c>
      <c r="AB62" s="318">
        <f t="shared" si="90"/>
        <v>0.95348837209302317</v>
      </c>
      <c r="AC62" s="442"/>
    </row>
    <row r="63" spans="1:29" ht="15.75" customHeight="1">
      <c r="A63" s="439" t="s">
        <v>51</v>
      </c>
      <c r="B63" s="326" t="s">
        <v>67</v>
      </c>
      <c r="C63" s="444" t="s">
        <v>100</v>
      </c>
      <c r="D63" s="445"/>
      <c r="E63" s="31">
        <v>19.02</v>
      </c>
      <c r="F63" s="326">
        <v>3741</v>
      </c>
      <c r="G63" s="316">
        <f t="shared" si="82"/>
        <v>71153.819999999992</v>
      </c>
      <c r="H63" s="327" t="s">
        <v>103</v>
      </c>
      <c r="I63" s="324">
        <v>15</v>
      </c>
      <c r="J63" s="26">
        <v>2400</v>
      </c>
      <c r="K63" s="10">
        <f t="shared" si="92"/>
        <v>160</v>
      </c>
      <c r="L63" s="19">
        <v>15</v>
      </c>
      <c r="M63" s="11">
        <f t="shared" si="88"/>
        <v>2290.4081632653069</v>
      </c>
      <c r="N63" s="10">
        <f t="shared" si="84"/>
        <v>152.69387755102045</v>
      </c>
      <c r="O63" s="12">
        <f t="shared" si="85"/>
        <v>0</v>
      </c>
      <c r="P63" s="13">
        <f t="shared" si="86"/>
        <v>-7.3061224489795507</v>
      </c>
      <c r="Q63" s="318">
        <f t="shared" si="89"/>
        <v>0.95433673469387781</v>
      </c>
      <c r="R63" s="442"/>
      <c r="S63" s="28">
        <v>0.5263888888888888</v>
      </c>
      <c r="T63" s="28">
        <v>0.59444444444444433</v>
      </c>
      <c r="U63" s="316">
        <f t="shared" si="91"/>
        <v>56.999999999999957</v>
      </c>
      <c r="V63" s="325">
        <f t="shared" si="87"/>
        <v>97.999999999999972</v>
      </c>
      <c r="W63" s="16"/>
      <c r="X63" s="16"/>
      <c r="Y63" s="447"/>
      <c r="Z63" s="448"/>
      <c r="AA63" s="12">
        <f t="shared" si="2"/>
        <v>-109.59183673469306</v>
      </c>
      <c r="AB63" s="318">
        <f t="shared" si="90"/>
        <v>0.95433673469387792</v>
      </c>
      <c r="AC63" s="442"/>
    </row>
    <row r="64" spans="1:29" ht="16.5" customHeight="1">
      <c r="A64" s="440" t="s">
        <v>1571</v>
      </c>
      <c r="B64" s="31" t="s">
        <v>1552</v>
      </c>
      <c r="C64" s="446"/>
      <c r="D64" s="446"/>
      <c r="E64" s="317"/>
      <c r="F64" s="33"/>
      <c r="G64" s="10"/>
      <c r="H64" s="326"/>
      <c r="I64" s="19">
        <v>16.857142857142858</v>
      </c>
      <c r="J64" s="26">
        <v>2400</v>
      </c>
      <c r="K64" s="10">
        <f t="shared" si="92"/>
        <v>142.37288135593221</v>
      </c>
      <c r="L64" s="19">
        <v>16.857142857142858</v>
      </c>
      <c r="M64" s="11">
        <f>AVERAGE(M57:M63)</f>
        <v>2283.7582109140344</v>
      </c>
      <c r="N64" s="10">
        <f>M64/L64</f>
        <v>135.47718200337491</v>
      </c>
      <c r="O64" s="12">
        <f>L64-I64</f>
        <v>0</v>
      </c>
      <c r="P64" s="13">
        <f>N64-K64</f>
        <v>-6.8956993525573012</v>
      </c>
      <c r="Q64" s="318">
        <f t="shared" si="89"/>
        <v>0.95156592121418082</v>
      </c>
      <c r="R64" s="442"/>
      <c r="S64" s="28"/>
      <c r="T64" s="28"/>
      <c r="U64" s="10"/>
      <c r="V64" s="325"/>
      <c r="W64" s="10"/>
      <c r="X64" s="10"/>
      <c r="Y64" s="443"/>
      <c r="Z64" s="443"/>
      <c r="AA64" s="12">
        <f t="shared" si="2"/>
        <v>-116.24178908596559</v>
      </c>
      <c r="AB64" s="318">
        <f t="shared" si="90"/>
        <v>0.95156592121418104</v>
      </c>
      <c r="AC64" s="442"/>
    </row>
    <row r="65" spans="4:5">
      <c r="D65" s="22"/>
      <c r="E65" s="22"/>
    </row>
  </sheetData>
  <mergeCells count="17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23:AC30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6:Z26"/>
    <mergeCell ref="C27:D27"/>
    <mergeCell ref="Y27:Z27"/>
    <mergeCell ref="C28:D28"/>
    <mergeCell ref="Y28:Z28"/>
    <mergeCell ref="C29:D29"/>
    <mergeCell ref="Y29:Z29"/>
    <mergeCell ref="A23:A30"/>
    <mergeCell ref="C23:D23"/>
    <mergeCell ref="R23:R30"/>
    <mergeCell ref="Y23:Z23"/>
    <mergeCell ref="C30:D30"/>
    <mergeCell ref="Y30:Z30"/>
    <mergeCell ref="A31:A37"/>
    <mergeCell ref="C31:D31"/>
    <mergeCell ref="R31:R37"/>
    <mergeCell ref="Y31:Z31"/>
    <mergeCell ref="Y36:Z36"/>
    <mergeCell ref="C37:D37"/>
    <mergeCell ref="Y37:Z37"/>
    <mergeCell ref="AC31:AC37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A38:A44"/>
    <mergeCell ref="C38:D38"/>
    <mergeCell ref="R38:R44"/>
    <mergeCell ref="Y38:Z38"/>
    <mergeCell ref="AC38:AC44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Y44:Z44"/>
    <mergeCell ref="Y63:Z63"/>
    <mergeCell ref="C51:D51"/>
    <mergeCell ref="Y51:Z51"/>
    <mergeCell ref="A52:A56"/>
    <mergeCell ref="C52:D52"/>
    <mergeCell ref="R52:R56"/>
    <mergeCell ref="Y52:Z52"/>
    <mergeCell ref="A45:A51"/>
    <mergeCell ref="C45:D45"/>
    <mergeCell ref="R45:R51"/>
    <mergeCell ref="Y45:Z45"/>
    <mergeCell ref="AC52:AC56"/>
    <mergeCell ref="C53:D53"/>
    <mergeCell ref="Y53:Z53"/>
    <mergeCell ref="C54:D54"/>
    <mergeCell ref="Y54:Z54"/>
    <mergeCell ref="C55:D55"/>
    <mergeCell ref="Y55:Z55"/>
    <mergeCell ref="C56:D56"/>
    <mergeCell ref="Y56:Z56"/>
    <mergeCell ref="AC45:AC51"/>
    <mergeCell ref="C46:D46"/>
    <mergeCell ref="Y46:Z46"/>
    <mergeCell ref="C47:D47"/>
    <mergeCell ref="C50:D50"/>
    <mergeCell ref="Y50:Z50"/>
    <mergeCell ref="A57:A64"/>
    <mergeCell ref="C57:D57"/>
    <mergeCell ref="R57:R64"/>
    <mergeCell ref="Y57:Z57"/>
    <mergeCell ref="AC57:AC64"/>
    <mergeCell ref="C58:D58"/>
    <mergeCell ref="Y58:Z58"/>
    <mergeCell ref="C59:D59"/>
    <mergeCell ref="Y59:Z59"/>
    <mergeCell ref="C60:D60"/>
    <mergeCell ref="C64:D64"/>
    <mergeCell ref="Y64:Z64"/>
    <mergeCell ref="Y60:Z60"/>
    <mergeCell ref="C61:D61"/>
    <mergeCell ref="Y61:Z61"/>
    <mergeCell ref="C62:D62"/>
    <mergeCell ref="Y62:Z62"/>
    <mergeCell ref="C63:D63"/>
  </mergeCells>
  <phoneticPr fontId="3" type="noConversion"/>
  <conditionalFormatting sqref="O55:O62 O64 O5:O12 O16:O52">
    <cfRule type="cellIs" dxfId="1095" priority="37" operator="greaterThan">
      <formula>0</formula>
    </cfRule>
  </conditionalFormatting>
  <conditionalFormatting sqref="P5:P7 P55 AA55 P57:P62 P23:P29 P52 P9:P12 P17:P21 P45:P50 P31:P43 AA5:AA52 AA57:AA64">
    <cfRule type="cellIs" dxfId="1094" priority="41" operator="lessThan">
      <formula>0</formula>
    </cfRule>
  </conditionalFormatting>
  <conditionalFormatting sqref="AB55 Q55:Q62 Q64 Q5:Q12 Q16:Q52 AB5:AB52 AB57:AB64">
    <cfRule type="cellIs" dxfId="1093" priority="38" operator="greaterThan">
      <formula>1</formula>
    </cfRule>
    <cfRule type="cellIs" dxfId="1092" priority="39" operator="lessThan">
      <formula>0.8</formula>
    </cfRule>
  </conditionalFormatting>
  <conditionalFormatting sqref="AC11:AC12 R11:R12 AC55 R55:R62 R64 AC5:AC9 R5:R9 AC16:AC52 R16:R52">
    <cfRule type="cellIs" dxfId="1091" priority="43" operator="lessThan">
      <formula>0.8</formula>
    </cfRule>
  </conditionalFormatting>
  <conditionalFormatting sqref="AC38">
    <cfRule type="cellIs" dxfId="1090" priority="45" operator="lessThan">
      <formula>0.8</formula>
    </cfRule>
  </conditionalFormatting>
  <conditionalFormatting sqref="AC17:AC21">
    <cfRule type="cellIs" dxfId="1089" priority="42" operator="lessThan">
      <formula>0.8</formula>
    </cfRule>
  </conditionalFormatting>
  <conditionalFormatting sqref="AC23">
    <cfRule type="cellIs" dxfId="1088" priority="44" operator="lessThan">
      <formula>0.8</formula>
    </cfRule>
  </conditionalFormatting>
  <conditionalFormatting sqref="AC31:AC36">
    <cfRule type="cellIs" dxfId="1087" priority="40" operator="lessThan">
      <formula>0.8</formula>
    </cfRule>
  </conditionalFormatting>
  <conditionalFormatting sqref="AA56">
    <cfRule type="cellIs" dxfId="1086" priority="36" operator="lessThan">
      <formula>0</formula>
    </cfRule>
  </conditionalFormatting>
  <conditionalFormatting sqref="AB56">
    <cfRule type="cellIs" dxfId="1085" priority="34" operator="greaterThan">
      <formula>1</formula>
    </cfRule>
    <cfRule type="cellIs" dxfId="1084" priority="35" operator="lessThan">
      <formula>0.8</formula>
    </cfRule>
  </conditionalFormatting>
  <conditionalFormatting sqref="O13:O14">
    <cfRule type="cellIs" dxfId="1083" priority="29" operator="greaterThan">
      <formula>0</formula>
    </cfRule>
  </conditionalFormatting>
  <conditionalFormatting sqref="P13:P14">
    <cfRule type="cellIs" dxfId="1082" priority="32" operator="lessThan">
      <formula>0</formula>
    </cfRule>
  </conditionalFormatting>
  <conditionalFormatting sqref="Q13:Q14">
    <cfRule type="cellIs" dxfId="1081" priority="30" operator="greaterThan">
      <formula>1</formula>
    </cfRule>
    <cfRule type="cellIs" dxfId="1080" priority="31" operator="lessThan">
      <formula>0.8</formula>
    </cfRule>
  </conditionalFormatting>
  <conditionalFormatting sqref="R13:R14 AC13:AC14">
    <cfRule type="cellIs" dxfId="1079" priority="33" operator="lessThan">
      <formula>0.8</formula>
    </cfRule>
  </conditionalFormatting>
  <conditionalFormatting sqref="O54">
    <cfRule type="cellIs" dxfId="1078" priority="24" operator="greaterThan">
      <formula>0</formula>
    </cfRule>
  </conditionalFormatting>
  <conditionalFormatting sqref="P54 AA54">
    <cfRule type="cellIs" dxfId="1077" priority="27" operator="lessThan">
      <formula>0</formula>
    </cfRule>
  </conditionalFormatting>
  <conditionalFormatting sqref="Q54 AB54">
    <cfRule type="cellIs" dxfId="1076" priority="25" operator="greaterThan">
      <formula>1</formula>
    </cfRule>
    <cfRule type="cellIs" dxfId="1075" priority="26" operator="lessThan">
      <formula>0.8</formula>
    </cfRule>
  </conditionalFormatting>
  <conditionalFormatting sqref="R54 AC54">
    <cfRule type="cellIs" dxfId="1074" priority="28" operator="lessThan">
      <formula>0.8</formula>
    </cfRule>
  </conditionalFormatting>
  <conditionalFormatting sqref="O63">
    <cfRule type="cellIs" dxfId="1073" priority="19" operator="greaterThan">
      <formula>0</formula>
    </cfRule>
  </conditionalFormatting>
  <conditionalFormatting sqref="P63">
    <cfRule type="cellIs" dxfId="1072" priority="22" operator="lessThan">
      <formula>0</formula>
    </cfRule>
  </conditionalFormatting>
  <conditionalFormatting sqref="Q63">
    <cfRule type="cellIs" dxfId="1071" priority="20" operator="greaterThan">
      <formula>1</formula>
    </cfRule>
    <cfRule type="cellIs" dxfId="1070" priority="21" operator="lessThan">
      <formula>0.8</formula>
    </cfRule>
  </conditionalFormatting>
  <conditionalFormatting sqref="R63">
    <cfRule type="cellIs" dxfId="1069" priority="23" operator="lessThan">
      <formula>0.8</formula>
    </cfRule>
  </conditionalFormatting>
  <conditionalFormatting sqref="O15">
    <cfRule type="cellIs" dxfId="1068" priority="14" operator="greaterThan">
      <formula>0</formula>
    </cfRule>
  </conditionalFormatting>
  <conditionalFormatting sqref="P15">
    <cfRule type="cellIs" dxfId="1067" priority="17" operator="lessThan">
      <formula>0</formula>
    </cfRule>
  </conditionalFormatting>
  <conditionalFormatting sqref="Q15">
    <cfRule type="cellIs" dxfId="1066" priority="15" operator="greaterThan">
      <formula>1</formula>
    </cfRule>
    <cfRule type="cellIs" dxfId="1065" priority="16" operator="lessThan">
      <formula>0.8</formula>
    </cfRule>
  </conditionalFormatting>
  <conditionalFormatting sqref="R15 AC15">
    <cfRule type="cellIs" dxfId="1064" priority="18" operator="lessThan">
      <formula>0.8</formula>
    </cfRule>
  </conditionalFormatting>
  <conditionalFormatting sqref="O53">
    <cfRule type="cellIs" dxfId="1063" priority="9" operator="greaterThan">
      <formula>0</formula>
    </cfRule>
  </conditionalFormatting>
  <conditionalFormatting sqref="P53 AA53">
    <cfRule type="cellIs" dxfId="1062" priority="12" operator="lessThan">
      <formula>0</formula>
    </cfRule>
  </conditionalFormatting>
  <conditionalFormatting sqref="Q53 AB53">
    <cfRule type="cellIs" dxfId="1061" priority="10" operator="greaterThan">
      <formula>1</formula>
    </cfRule>
    <cfRule type="cellIs" dxfId="1060" priority="11" operator="lessThan">
      <formula>0.8</formula>
    </cfRule>
  </conditionalFormatting>
  <conditionalFormatting sqref="R53 AC53">
    <cfRule type="cellIs" dxfId="1059" priority="13" operator="lessThan">
      <formula>0.8</formula>
    </cfRule>
  </conditionalFormatting>
  <conditionalFormatting sqref="P8">
    <cfRule type="cellIs" dxfId="1058" priority="8" operator="lessThan">
      <formula>0</formula>
    </cfRule>
  </conditionalFormatting>
  <conditionalFormatting sqref="P16">
    <cfRule type="cellIs" dxfId="1057" priority="7" operator="lessThan">
      <formula>0</formula>
    </cfRule>
  </conditionalFormatting>
  <conditionalFormatting sqref="P22">
    <cfRule type="cellIs" dxfId="1056" priority="6" operator="lessThan">
      <formula>0</formula>
    </cfRule>
  </conditionalFormatting>
  <conditionalFormatting sqref="P30">
    <cfRule type="cellIs" dxfId="1055" priority="5" operator="lessThan">
      <formula>0</formula>
    </cfRule>
  </conditionalFormatting>
  <conditionalFormatting sqref="P44">
    <cfRule type="cellIs" dxfId="1054" priority="4" operator="lessThan">
      <formula>0</formula>
    </cfRule>
  </conditionalFormatting>
  <conditionalFormatting sqref="P51">
    <cfRule type="cellIs" dxfId="1053" priority="3" operator="lessThan">
      <formula>0</formula>
    </cfRule>
  </conditionalFormatting>
  <conditionalFormatting sqref="P56">
    <cfRule type="cellIs" dxfId="1052" priority="2" operator="lessThan">
      <formula>0</formula>
    </cfRule>
  </conditionalFormatting>
  <conditionalFormatting sqref="P64">
    <cfRule type="cellIs" dxfId="1051" priority="1" operator="lessThan">
      <formula>0</formula>
    </cfRule>
  </conditionalFormatting>
  <dataValidations count="1">
    <dataValidation type="list" allowBlank="1" showInputMessage="1" showErrorMessage="1" sqref="Z8 Y5:Z7 Y8:Y55 Z10:Z52 Y56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1:Q28"/>
  <sheetViews>
    <sheetView zoomScale="70" zoomScaleNormal="70" workbookViewId="0">
      <selection activeCell="W16" sqref="W16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108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303" t="s">
        <v>1319</v>
      </c>
      <c r="C3" s="493" t="str">
        <f>TEXT('0918 4度C'!A2,"yyyy.mm.ddaaaa")</f>
        <v>2025.09.18星期四</v>
      </c>
      <c r="D3" s="493"/>
      <c r="E3" s="303" t="s">
        <v>1320</v>
      </c>
      <c r="F3" s="494">
        <f>'0918 4度C'!D1</f>
        <v>177826</v>
      </c>
      <c r="G3" s="494"/>
      <c r="H3" s="303" t="s">
        <v>1321</v>
      </c>
      <c r="I3" s="495">
        <f>'0918 4度C'!F1</f>
        <v>5709151.7199999988</v>
      </c>
      <c r="J3" s="495"/>
      <c r="K3" s="45"/>
      <c r="L3" s="46"/>
      <c r="M3" s="47"/>
      <c r="N3" s="47"/>
    </row>
    <row r="4" spans="2:17" ht="28.5" customHeight="1">
      <c r="B4" s="496" t="s">
        <v>1322</v>
      </c>
      <c r="C4" s="496" t="s">
        <v>1323</v>
      </c>
      <c r="D4" s="496"/>
      <c r="E4" s="497" t="s">
        <v>1324</v>
      </c>
      <c r="F4" s="497"/>
      <c r="G4" s="497" t="s">
        <v>1325</v>
      </c>
      <c r="H4" s="497"/>
      <c r="I4" s="497" t="s">
        <v>1326</v>
      </c>
      <c r="J4" s="497"/>
      <c r="L4" s="47"/>
      <c r="M4" s="47"/>
      <c r="N4" s="47"/>
    </row>
    <row r="5" spans="2:17" ht="28.5" customHeight="1">
      <c r="B5" s="496"/>
      <c r="C5" s="496" t="s">
        <v>1327</v>
      </c>
      <c r="D5" s="496"/>
      <c r="E5" s="496" t="s">
        <v>1328</v>
      </c>
      <c r="F5" s="496"/>
      <c r="G5" s="498" t="s">
        <v>1329</v>
      </c>
      <c r="H5" s="498"/>
      <c r="I5" s="499" t="s">
        <v>1330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149.00266023588478</v>
      </c>
      <c r="F6" s="496">
        <f>AVERAGE(D27:O27,D13:J13)</f>
        <v>154.11758614896158</v>
      </c>
      <c r="G6" s="501">
        <f>AVERAGE(D13:J13)</f>
        <v>154.11758614896158</v>
      </c>
      <c r="H6" s="501"/>
      <c r="I6" s="501">
        <f>AVERAGE(K13:M13)</f>
        <v>137.06783310537219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141.93670101222511</v>
      </c>
      <c r="F7" s="506">
        <f>AVERAGE(D28:O28,D14:J14)</f>
        <v>146.8134654812286</v>
      </c>
      <c r="G7" s="507">
        <f>AVERAGE(D14:J14)</f>
        <v>146.8134654812286</v>
      </c>
      <c r="H7" s="507"/>
      <c r="I7" s="507">
        <f>AVERAGE(K14:M14)</f>
        <v>130.5575839178837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0.95240790334572711</v>
      </c>
      <c r="F8" s="504">
        <f>AVERAGE(D15:J15,D29:O29)</f>
        <v>0.95236056349418408</v>
      </c>
      <c r="G8" s="509">
        <f>AVERAGE(D15:J15)</f>
        <v>0.95236056349418408</v>
      </c>
      <c r="H8" s="509"/>
      <c r="I8" s="509">
        <f>AVERAGE(K15:M15)</f>
        <v>0.95251836299932757</v>
      </c>
      <c r="J8" s="509"/>
      <c r="K8" s="48" t="s">
        <v>1331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1332</v>
      </c>
      <c r="C10" s="414"/>
      <c r="D10" s="415" t="s">
        <v>1333</v>
      </c>
      <c r="E10" s="416"/>
      <c r="F10" s="416"/>
      <c r="G10" s="416"/>
      <c r="H10" s="416"/>
      <c r="I10" s="416"/>
      <c r="J10" s="417"/>
      <c r="K10" s="389" t="s">
        <v>1334</v>
      </c>
      <c r="L10" s="390"/>
      <c r="M10" s="391"/>
      <c r="P10" s="51"/>
      <c r="Q10" s="51"/>
    </row>
    <row r="11" spans="2:17" ht="17.25" customHeight="1">
      <c r="B11" s="503" t="s">
        <v>1335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1336</v>
      </c>
      <c r="C13" s="58" t="s">
        <v>1337</v>
      </c>
      <c r="D13" s="59">
        <f>SUMIFS('0918 4度C'!$K:$K,'0918 4度C'!$A:$A,"新豐6線",'0918 4度C'!$B:$B,"平均")</f>
        <v>125</v>
      </c>
      <c r="E13" s="60">
        <f>SUMIFS('0918 4度C'!$K:$K,'0918 4度C'!$A:$A,"新豐2線",'0918 4度C'!$B:$B,"平均")</f>
        <v>88.235294117647058</v>
      </c>
      <c r="F13" s="61">
        <f>SUMIFS('0918 4度C'!$K:$K,'0918 4度C'!$A:$A,"新豐5線",'0918 4度C'!$B:$B,"平均")</f>
        <v>88.541666666666671</v>
      </c>
      <c r="G13" s="61">
        <f>SUMIFS('0918 4度C'!$K:$K,'0918 4度C'!$A:$A,"新豐7線",'0918 4度C'!$B:$B,"平均")</f>
        <v>117.64705882352941</v>
      </c>
      <c r="H13" s="61">
        <f>SUMIFS('0918 4度C'!$K:$K,'0918 4度C'!$A:$A,"新豐3線",'0918 4度C'!$B:$B,"平均")</f>
        <v>310.34482758620692</v>
      </c>
      <c r="I13" s="61">
        <f>SUMIFS('0918 4度C'!$K:$K,'0918 4度C'!$A:$A,"新豐1線",'0918 4度C'!$B:$B,"平均")</f>
        <v>117.34693877551021</v>
      </c>
      <c r="J13" s="62">
        <f>SUMIFS('0918 4度C'!$K:$K,'0918 4度C'!$A:$A,"新豐10線",'0918 4度C'!$B:$B,"平均")</f>
        <v>231.70731707317074</v>
      </c>
      <c r="K13" s="63">
        <f>SUMIFS('0918 4度C'!$K:$K,'0918 4度C'!$A:$A,"新豐8線",'0918 4度C'!$B:$B,"平均")</f>
        <v>134.69387755102042</v>
      </c>
      <c r="L13" s="64">
        <f>SUMIFS('0918 4度C'!$K:$K,'0918 4度C'!$A:$A,"新豐9線",'0918 4度C'!$B:$B,"平均")</f>
        <v>136.36363636363635</v>
      </c>
      <c r="M13" s="62">
        <f>SUMIFS('0918 4度C'!$K:$K,'0918 4度C'!$A:$A,"新豐4線",'0918 4度C'!$B:$B,"平均")</f>
        <v>140.14598540145985</v>
      </c>
    </row>
    <row r="14" spans="2:17" ht="39.6" customHeight="1">
      <c r="B14" s="515"/>
      <c r="C14" s="65" t="s">
        <v>1338</v>
      </c>
      <c r="D14" s="66">
        <f>SUMIFS('0918 4度C'!$N:$N,'0918 4度C'!$A:$A,"新豐6線",'0918 4度C'!$B:$B,"平均")</f>
        <v>120.0463935574229</v>
      </c>
      <c r="E14" s="67">
        <f>SUMIFS('0918 4度C'!$N:$N,'0918 4度C'!$A:$A,"新豐2線",'0918 4度C'!$B:$B,"平均")</f>
        <v>83.537126325940207</v>
      </c>
      <c r="F14" s="67">
        <f>SUMIFS('0918 4度C'!$N:$N,'0918 4度C'!$A:$A,"新豐5線",'0918 4度C'!$B:$B,"平均")</f>
        <v>83.999639784012757</v>
      </c>
      <c r="G14" s="67">
        <f>SUMIFS('0918 4度C'!$N:$N,'0918 4度C'!$A:$A,"新豐7線",'0918 4度C'!$B:$B,"平均")</f>
        <v>112.193252376747</v>
      </c>
      <c r="H14" s="67">
        <f>SUMIFS('0918 4度C'!$N:$N,'0918 4度C'!$A:$A,"新豐3線",'0918 4度C'!$B:$B,"平均")</f>
        <v>295.10667903525047</v>
      </c>
      <c r="I14" s="67">
        <f>SUMIFS('0918 4度C'!$N:$N,'0918 4度C'!$A:$A,"新豐1線",'0918 4度C'!$B:$B,"平均")</f>
        <v>111.70176657408651</v>
      </c>
      <c r="J14" s="68">
        <f>SUMIFS('0918 4度C'!$N:$N,'0918 4度C'!$A:$A,"新豐10線",'0918 4度C'!$B:$B,"平均")</f>
        <v>221.10940071514042</v>
      </c>
      <c r="K14" s="69">
        <f>SUMIFS('0918 4度C'!$N:$N,'0918 4度C'!$A:$A,"新豐8線",'0918 4度C'!$B:$B,"平均")</f>
        <v>128.67049307477495</v>
      </c>
      <c r="L14" s="70">
        <f>SUMIFS('0918 4度C'!$N:$N,'0918 4度C'!$A:$A,"新豐9線",'0918 4度C'!$B:$B,"平均")</f>
        <v>129.56693363781255</v>
      </c>
      <c r="M14" s="68">
        <f>SUMIFS('0918 4度C'!$N:$N,'0918 4度C'!$A:$A,"新豐4線",'0918 4度C'!$B:$B,"平均")</f>
        <v>133.43532504106358</v>
      </c>
    </row>
    <row r="15" spans="2:17" ht="40.15" customHeight="1">
      <c r="B15" s="515"/>
      <c r="C15" s="71" t="s">
        <v>1339</v>
      </c>
      <c r="D15" s="72">
        <f t="shared" ref="D15:M15" si="0">D14/D13</f>
        <v>0.96037114845938321</v>
      </c>
      <c r="E15" s="73">
        <f t="shared" si="0"/>
        <v>0.94675409836065572</v>
      </c>
      <c r="F15" s="73">
        <f t="shared" si="0"/>
        <v>0.94870181403120291</v>
      </c>
      <c r="G15" s="73">
        <f t="shared" si="0"/>
        <v>0.95364264520234954</v>
      </c>
      <c r="H15" s="73">
        <f t="shared" si="0"/>
        <v>0.95089929911358473</v>
      </c>
      <c r="I15" s="73">
        <f t="shared" si="0"/>
        <v>0.95189331515308495</v>
      </c>
      <c r="J15" s="74">
        <f t="shared" si="0"/>
        <v>0.95426162413902704</v>
      </c>
      <c r="K15" s="72">
        <f t="shared" si="0"/>
        <v>0.95528093343393516</v>
      </c>
      <c r="L15" s="73">
        <f t="shared" si="0"/>
        <v>0.95015751334395881</v>
      </c>
      <c r="M15" s="74">
        <f t="shared" si="0"/>
        <v>0.95211664222008907</v>
      </c>
    </row>
    <row r="16" spans="2:17" ht="17.25" customHeight="1">
      <c r="B16" s="502" t="s">
        <v>1340</v>
      </c>
      <c r="C16" s="302" t="s">
        <v>144</v>
      </c>
      <c r="D16" s="76">
        <f>VLOOKUP("新豐6線",'0918 4度C'!$A:$T,19,0)</f>
        <v>0.70833333333333337</v>
      </c>
      <c r="E16" s="28">
        <f>VLOOKUP("新豐2線",'0918 4度C'!$A:$T,19,0)</f>
        <v>0.20833333333333334</v>
      </c>
      <c r="F16" s="28">
        <f>VLOOKUP("新豐5線",'0918 4度C'!$A:$T,19,0)</f>
        <v>8.3333333333333329E-2</v>
      </c>
      <c r="G16" s="28">
        <f>VLOOKUP("新豐7線",'0918 4度C'!$A:$T,19,0)</f>
        <v>0.20833333333333334</v>
      </c>
      <c r="H16" s="28">
        <f>VLOOKUP("新豐3線",'0918 4度C'!$A:$T,19,0)</f>
        <v>8.3333333333333329E-2</v>
      </c>
      <c r="I16" s="28">
        <f>VLOOKUP("新豐1線",'0918 4度C'!$A:$T,19,0)</f>
        <v>0.29166666666666669</v>
      </c>
      <c r="J16" s="77">
        <f>VLOOKUP("新豐10線",'0918 4度C'!$A:$T,19,0)</f>
        <v>8.3333333333333329E-2</v>
      </c>
      <c r="K16" s="78">
        <f>VLOOKUP("新豐8線",'0918 4度C'!$A:$T,19,0)</f>
        <v>8.3333333333333329E-2</v>
      </c>
      <c r="L16" s="79">
        <f>VLOOKUP("新豐9線",'0918 4度C'!$A:$T,19,0)</f>
        <v>8.3333333333333329E-2</v>
      </c>
      <c r="M16" s="80">
        <f>VLOOKUP("新豐4線",'0918 4度C'!$A:$T,19,0)</f>
        <v>8.3333333333333329E-2</v>
      </c>
    </row>
    <row r="17" spans="2:13" ht="17.25" customHeight="1">
      <c r="B17" s="503"/>
      <c r="C17" s="302" t="s">
        <v>1341</v>
      </c>
      <c r="D17" s="78">
        <f>LOOKUP(2,1/(('0918 4度C'!$A:$A="新豐6線")*('0918 4度C'!$T:$T&lt;&gt;"")),'0918 4度C'!$T:$T)</f>
        <v>0.80833333333333335</v>
      </c>
      <c r="E17" s="28">
        <f>LOOKUP(2,1/(('0918 4度C'!$A:$A="新豐2線")*('0918 4度C'!$T:$T&lt;&gt;"")),'0918 4度C'!$T:$T)</f>
        <v>0.4201388888888889</v>
      </c>
      <c r="F17" s="28">
        <f>LOOKUP(2,1/(('0918 4度C'!$A:$A="新豐5線")*('0918 4度C'!$T:$T&lt;&gt;"")),'0918 4度C'!$T:$T)</f>
        <v>0.82291666666666674</v>
      </c>
      <c r="G17" s="28">
        <f>LOOKUP(2,1/(('0918 4度C'!$A:$A="新豐7線")*('0918 4度C'!$T:$T&lt;&gt;"")),'0918 4度C'!$T:$T)</f>
        <v>0.76250000000000007</v>
      </c>
      <c r="H17" s="28">
        <f>LOOKUP(2,1/(('0918 4度C'!$A:$A="新豐3線")*('0918 4度C'!$T:$T&lt;&gt;"")),'0918 4度C'!$T:$T)</f>
        <v>0.4638888888888888</v>
      </c>
      <c r="I17" s="28">
        <f>LOOKUP(2,1/(('0918 4度C'!$A:$A="新豐1線")*('0918 4度C'!$T:$T&lt;&gt;"")),'0918 4度C'!$T:$T)</f>
        <v>0.82361111111111107</v>
      </c>
      <c r="J17" s="77">
        <f>LOOKUP(2,1/(('0918 4度C'!$A:$A="新豐10線")*('0918 4度C'!$T:$T&lt;&gt;"")),'0918 4度C'!$T:$T)</f>
        <v>0.31875000000000003</v>
      </c>
      <c r="K17" s="76">
        <f>LOOKUP(2,1/(('0918 4度C'!$A:$A="新豐8線")*('0918 4度C'!$T:$T&lt;&gt;"")),'0918 4度C'!$T:$T)</f>
        <v>0.76249999999999984</v>
      </c>
      <c r="L17" s="28">
        <f>LOOKUP(2,1/(('0918 4度C'!$A:$A="新豐9線")*('0918 4度C'!$T:$T&lt;&gt;"")),'0918 4度C'!$T:$T)</f>
        <v>0.73124999999999984</v>
      </c>
      <c r="M17" s="77">
        <f>LOOKUP(2,1/(('0918 4度C'!$A:$A="新豐4線")*('0918 4度C'!$T:$T&lt;&gt;"")),'0918 4度C'!$T:$T)</f>
        <v>0.71111111111111103</v>
      </c>
    </row>
    <row r="18" spans="2:13" ht="17.25" customHeight="1">
      <c r="B18" s="503" t="s">
        <v>1342</v>
      </c>
      <c r="C18" s="514"/>
      <c r="D18" s="81">
        <f>SUMIFS('0918 4度C'!$I:$I,'0918 4度C'!$A:$A,"新豐6線",'0918 4度C'!$B:$B,"平均")</f>
        <v>16</v>
      </c>
      <c r="E18" s="82">
        <f>SUMIFS('0918 4度C'!$I:$I,'0918 4度C'!$A:$A,"新豐2線",'0918 4度C'!$B:$B,"平均")</f>
        <v>17</v>
      </c>
      <c r="F18" s="82">
        <f>SUMIFS('0918 4度C'!$I:$I,'0918 4度C'!$A:$A,"新豐5線",'0918 4度C'!$B:$B,"平均")</f>
        <v>19.2</v>
      </c>
      <c r="G18" s="82">
        <f>SUMIFS('0918 4度C'!$I:$I,'0918 4度C'!$A:$A,"新豐7線",'0918 4度C'!$B:$B,"平均")</f>
        <v>17</v>
      </c>
      <c r="H18" s="82">
        <f>SUMIFS('0918 4度C'!$I:$I,'0918 4度C'!$A:$A,"新豐3線",'0918 4度C'!$B:$B,"平均")</f>
        <v>9.6666666666666661</v>
      </c>
      <c r="I18" s="82">
        <f>SUMIFS('0918 4度C'!$I:$I,'0918 4度C'!$A:$A,"新豐1線",'0918 4度C'!$B:$B,"平均")</f>
        <v>16.333333333333332</v>
      </c>
      <c r="J18" s="83">
        <f>SUMIFS('0918 4度C'!$I:$I,'0918 4度C'!$A:$A,"新豐10線",'0918 4度C'!$B:$B,"平均")</f>
        <v>10.25</v>
      </c>
      <c r="K18" s="81">
        <f>SUMIFS('0918 4度C'!$I:$I,'0918 4度C'!$A:$A,"新豐8線",'0918 4度C'!$B:$B,"平均")</f>
        <v>17.818181818181817</v>
      </c>
      <c r="L18" s="82">
        <f>SUMIFS('0918 4度C'!$I:$I,'0918 4度C'!$A:$A,"新豐9線",'0918 4度C'!$B:$B,"平均")</f>
        <v>17.600000000000001</v>
      </c>
      <c r="M18" s="83">
        <f>SUMIFS('0918 4度C'!$I:$I,'0918 4度C'!$A:$A,"新豐4線",'0918 4度C'!$B:$B,"平均")</f>
        <v>17.125</v>
      </c>
    </row>
    <row r="19" spans="2:13" ht="17.25" customHeight="1">
      <c r="B19" s="510" t="s">
        <v>1343</v>
      </c>
      <c r="C19" s="511"/>
      <c r="D19" s="84" t="s">
        <v>148</v>
      </c>
      <c r="E19" s="85" t="s">
        <v>149</v>
      </c>
      <c r="F19" s="85" t="s">
        <v>1344</v>
      </c>
      <c r="G19" s="85" t="s">
        <v>1345</v>
      </c>
      <c r="H19" s="85" t="s">
        <v>151</v>
      </c>
      <c r="I19" s="85" t="s">
        <v>148</v>
      </c>
      <c r="J19" s="86" t="s">
        <v>151</v>
      </c>
      <c r="K19" s="84" t="s">
        <v>1346</v>
      </c>
      <c r="L19" s="85" t="s">
        <v>1346</v>
      </c>
      <c r="M19" s="86" t="s">
        <v>1346</v>
      </c>
    </row>
    <row r="20" spans="2:13" ht="17.25" customHeight="1">
      <c r="B20" s="510" t="s">
        <v>1347</v>
      </c>
      <c r="C20" s="511"/>
      <c r="D20" s="84"/>
      <c r="E20" s="85"/>
      <c r="F20" s="85" t="s">
        <v>1348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1349</v>
      </c>
      <c r="C21" s="513"/>
      <c r="D21" s="87"/>
      <c r="E21" s="88" t="s">
        <v>1350</v>
      </c>
      <c r="F21" s="387" t="s">
        <v>1351</v>
      </c>
      <c r="G21" s="388"/>
      <c r="H21" s="88" t="s">
        <v>1352</v>
      </c>
      <c r="I21" s="88" t="s">
        <v>1353</v>
      </c>
      <c r="J21" s="89" t="s">
        <v>1352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05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59" activePane="bottomLeft" state="frozen"/>
      <selection activeCell="W16" sqref="W16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1354</v>
      </c>
      <c r="B1" s="1"/>
      <c r="C1" s="2" t="s">
        <v>1355</v>
      </c>
      <c r="D1" s="3">
        <f>SUM(F5:F73)</f>
        <v>177826</v>
      </c>
      <c r="E1" s="304" t="s">
        <v>1356</v>
      </c>
      <c r="F1" s="1">
        <f>SUM(G5:G73)</f>
        <v>5709151.7199999988</v>
      </c>
      <c r="G1" s="1" t="s">
        <v>1357</v>
      </c>
      <c r="H1" s="38">
        <f>L8+L16+L59+L64+L22+L73+L45+L52+L34+L10</f>
        <v>157.99318181818182</v>
      </c>
      <c r="I1" s="482" t="s">
        <v>1358</v>
      </c>
      <c r="J1" s="482"/>
      <c r="K1" s="482"/>
      <c r="L1" s="482" t="s">
        <v>1359</v>
      </c>
      <c r="M1" s="482"/>
      <c r="N1" s="482"/>
      <c r="O1" s="482" t="s">
        <v>1360</v>
      </c>
      <c r="P1" s="482"/>
      <c r="Q1" s="482"/>
      <c r="R1" s="482"/>
      <c r="S1" s="482" t="s">
        <v>1361</v>
      </c>
      <c r="T1" s="482"/>
      <c r="U1" s="482"/>
      <c r="V1" s="482"/>
      <c r="W1" s="482"/>
      <c r="X1" s="482"/>
      <c r="Y1" s="482" t="s">
        <v>1362</v>
      </c>
      <c r="Z1" s="482"/>
      <c r="AA1" s="482" t="s">
        <v>1363</v>
      </c>
      <c r="AB1" s="483"/>
      <c r="AC1" s="483"/>
    </row>
    <row r="2" spans="1:29" ht="26.25" customHeight="1">
      <c r="A2" s="24">
        <v>45918</v>
      </c>
      <c r="B2" s="25" t="s">
        <v>319</v>
      </c>
      <c r="C2" s="2" t="s">
        <v>1336</v>
      </c>
      <c r="D2" s="6">
        <f>AVERAGE(N8,N10,N52,N59,N16,N64,N22,N34,N45,N73)</f>
        <v>141.93670101222511</v>
      </c>
      <c r="E2" s="7" t="s">
        <v>11</v>
      </c>
      <c r="F2" s="8">
        <f>F1/D1</f>
        <v>32.105269870547609</v>
      </c>
      <c r="G2" s="1" t="s">
        <v>1364</v>
      </c>
      <c r="H2" s="39">
        <f>COUNT(H5:H71)</f>
        <v>12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1365</v>
      </c>
      <c r="B3" s="443" t="s">
        <v>1366</v>
      </c>
      <c r="C3" s="443" t="s">
        <v>1367</v>
      </c>
      <c r="D3" s="443"/>
      <c r="E3" s="484" t="s">
        <v>1368</v>
      </c>
      <c r="F3" s="443" t="s">
        <v>1369</v>
      </c>
      <c r="G3" s="484" t="s">
        <v>1370</v>
      </c>
      <c r="H3" s="487" t="s">
        <v>1371</v>
      </c>
      <c r="I3" s="474" t="s">
        <v>1372</v>
      </c>
      <c r="J3" s="479" t="s">
        <v>1373</v>
      </c>
      <c r="K3" s="481" t="s">
        <v>1336</v>
      </c>
      <c r="L3" s="474" t="s">
        <v>1372</v>
      </c>
      <c r="M3" s="479" t="s">
        <v>1373</v>
      </c>
      <c r="N3" s="481" t="s">
        <v>1336</v>
      </c>
      <c r="O3" s="474" t="s">
        <v>1372</v>
      </c>
      <c r="P3" s="481" t="s">
        <v>1336</v>
      </c>
      <c r="Q3" s="480" t="s">
        <v>1374</v>
      </c>
      <c r="R3" s="451" t="s">
        <v>1375</v>
      </c>
      <c r="S3" s="486" t="s">
        <v>25</v>
      </c>
      <c r="T3" s="486"/>
      <c r="U3" s="476" t="s">
        <v>26</v>
      </c>
      <c r="V3" s="476" t="s">
        <v>1376</v>
      </c>
      <c r="W3" s="443" t="s">
        <v>1377</v>
      </c>
      <c r="X3" s="443"/>
      <c r="Y3" s="477" t="s">
        <v>1378</v>
      </c>
      <c r="Z3" s="478"/>
      <c r="AA3" s="479" t="s">
        <v>1373</v>
      </c>
      <c r="AB3" s="480" t="s">
        <v>1374</v>
      </c>
      <c r="AC3" s="451" t="s">
        <v>1375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314" t="s">
        <v>31</v>
      </c>
      <c r="T4" s="314" t="s">
        <v>32</v>
      </c>
      <c r="U4" s="476"/>
      <c r="V4" s="476"/>
      <c r="W4" s="304" t="s">
        <v>1379</v>
      </c>
      <c r="X4" s="304" t="s">
        <v>1380</v>
      </c>
      <c r="Y4" s="478"/>
      <c r="Z4" s="478"/>
      <c r="AA4" s="479"/>
      <c r="AB4" s="480"/>
      <c r="AC4" s="451"/>
    </row>
    <row r="5" spans="1:29">
      <c r="A5" s="473" t="s">
        <v>1381</v>
      </c>
      <c r="B5" s="31" t="s">
        <v>58</v>
      </c>
      <c r="C5" s="475" t="s">
        <v>104</v>
      </c>
      <c r="D5" s="475"/>
      <c r="E5" s="31">
        <v>46.93</v>
      </c>
      <c r="F5" s="314">
        <v>776</v>
      </c>
      <c r="G5" s="304">
        <f>E5*F5</f>
        <v>36417.68</v>
      </c>
      <c r="H5" s="315" t="s">
        <v>103</v>
      </c>
      <c r="I5" s="312">
        <v>16</v>
      </c>
      <c r="J5" s="26">
        <v>2000</v>
      </c>
      <c r="K5" s="10">
        <f>J5/I5</f>
        <v>125</v>
      </c>
      <c r="L5" s="312">
        <v>16</v>
      </c>
      <c r="M5" s="11">
        <f>F5/V5*60</f>
        <v>1939.9999999999941</v>
      </c>
      <c r="N5" s="10">
        <f>M5/L5</f>
        <v>121.24999999999963</v>
      </c>
      <c r="O5" s="12">
        <f t="shared" ref="O5:O7" si="0">L5-I5</f>
        <v>0</v>
      </c>
      <c r="P5" s="13">
        <f t="shared" ref="P5:P7" si="1">N5-K5</f>
        <v>-3.7500000000003695</v>
      </c>
      <c r="Q5" s="306">
        <f>N5/K5</f>
        <v>0.96999999999999709</v>
      </c>
      <c r="R5" s="442">
        <f>Q8</f>
        <v>0.96037114845938321</v>
      </c>
      <c r="S5" s="28">
        <v>0.70833333333333337</v>
      </c>
      <c r="T5" s="28">
        <v>0.72500000000000009</v>
      </c>
      <c r="U5" s="304"/>
      <c r="V5" s="313">
        <f>(T5-S5)*24*60</f>
        <v>24.000000000000075</v>
      </c>
      <c r="W5" s="16"/>
      <c r="X5" s="17"/>
      <c r="Y5" s="443"/>
      <c r="Z5" s="443"/>
      <c r="AA5" s="12">
        <f t="shared" ref="AA5:AA68" si="2">M5-J5</f>
        <v>-60.000000000005912</v>
      </c>
      <c r="AB5" s="306">
        <f t="shared" ref="AB5:AB7" si="3">M5/J5</f>
        <v>0.96999999999999709</v>
      </c>
      <c r="AC5" s="442">
        <f>AB8</f>
        <v>0.96037114845938321</v>
      </c>
    </row>
    <row r="6" spans="1:29">
      <c r="A6" s="474" t="s">
        <v>1382</v>
      </c>
      <c r="B6" s="31" t="s">
        <v>58</v>
      </c>
      <c r="C6" s="475" t="s">
        <v>105</v>
      </c>
      <c r="D6" s="475"/>
      <c r="E6" s="31">
        <v>50.49</v>
      </c>
      <c r="F6" s="314">
        <v>1782</v>
      </c>
      <c r="G6" s="304">
        <f t="shared" ref="G6:G7" si="4">E6*F6</f>
        <v>89973.180000000008</v>
      </c>
      <c r="H6" s="315" t="s">
        <v>103</v>
      </c>
      <c r="I6" s="312">
        <v>15</v>
      </c>
      <c r="J6" s="26">
        <v>2000</v>
      </c>
      <c r="K6" s="10">
        <f t="shared" ref="K6:K7" si="5">J6/I6</f>
        <v>133.33333333333334</v>
      </c>
      <c r="L6" s="312">
        <v>15</v>
      </c>
      <c r="M6" s="11">
        <f>F6/V6*60</f>
        <v>1909.2857142857156</v>
      </c>
      <c r="N6" s="10">
        <f t="shared" ref="N6:N7" si="6">M6/L6</f>
        <v>127.28571428571438</v>
      </c>
      <c r="O6" s="12">
        <f t="shared" si="0"/>
        <v>0</v>
      </c>
      <c r="P6" s="13">
        <f t="shared" si="1"/>
        <v>-6.0476190476189657</v>
      </c>
      <c r="Q6" s="306">
        <f t="shared" ref="Q6:Q7" si="7">N6/K6</f>
        <v>0.95464285714285779</v>
      </c>
      <c r="R6" s="442"/>
      <c r="S6" s="28">
        <v>0.72916666666666674</v>
      </c>
      <c r="T6" s="28">
        <v>0.7680555555555556</v>
      </c>
      <c r="U6" s="304">
        <f>(S6-T5)*24*60</f>
        <v>5.9999999999999787</v>
      </c>
      <c r="V6" s="313">
        <f>(T6-S6)*24*60</f>
        <v>55.999999999999957</v>
      </c>
      <c r="W6" s="16"/>
      <c r="X6" s="16"/>
      <c r="Y6" s="443"/>
      <c r="Z6" s="443"/>
      <c r="AA6" s="12">
        <f t="shared" si="2"/>
        <v>-90.714285714284415</v>
      </c>
      <c r="AB6" s="306">
        <f t="shared" si="3"/>
        <v>0.95464285714285779</v>
      </c>
      <c r="AC6" s="442"/>
    </row>
    <row r="7" spans="1:29">
      <c r="A7" s="474" t="s">
        <v>1381</v>
      </c>
      <c r="B7" s="31" t="s">
        <v>58</v>
      </c>
      <c r="C7" s="471" t="s">
        <v>106</v>
      </c>
      <c r="D7" s="472"/>
      <c r="E7" s="31">
        <v>50.67</v>
      </c>
      <c r="F7" s="314">
        <v>1626</v>
      </c>
      <c r="G7" s="304">
        <f t="shared" si="4"/>
        <v>82389.42</v>
      </c>
      <c r="H7" s="315" t="s">
        <v>103</v>
      </c>
      <c r="I7" s="312">
        <v>17</v>
      </c>
      <c r="J7" s="26">
        <v>2000</v>
      </c>
      <c r="K7" s="10">
        <f t="shared" si="5"/>
        <v>117.64705882352941</v>
      </c>
      <c r="L7" s="312">
        <v>17</v>
      </c>
      <c r="M7" s="11">
        <f t="shared" ref="M7" si="8">F7/V7*60</f>
        <v>1912.9411764705892</v>
      </c>
      <c r="N7" s="10">
        <f t="shared" si="6"/>
        <v>112.52595155709348</v>
      </c>
      <c r="O7" s="12">
        <f t="shared" si="0"/>
        <v>0</v>
      </c>
      <c r="P7" s="13">
        <f t="shared" si="1"/>
        <v>-5.1211072664359278</v>
      </c>
      <c r="Q7" s="306">
        <f t="shared" si="7"/>
        <v>0.95647058823529463</v>
      </c>
      <c r="R7" s="442"/>
      <c r="S7" s="28">
        <v>0.7729166666666667</v>
      </c>
      <c r="T7" s="28">
        <v>0.80833333333333335</v>
      </c>
      <c r="U7" s="304">
        <f t="shared" ref="U7" si="9">(S7-T6)*24*60</f>
        <v>6.9999999999999751</v>
      </c>
      <c r="V7" s="313">
        <f t="shared" ref="V7" si="10">(T7-S7)*24*60</f>
        <v>50.999999999999979</v>
      </c>
      <c r="W7" s="16"/>
      <c r="X7" s="16"/>
      <c r="Y7" s="447"/>
      <c r="Z7" s="448"/>
      <c r="AA7" s="12">
        <f t="shared" si="2"/>
        <v>-87.058823529410802</v>
      </c>
      <c r="AB7" s="306">
        <f t="shared" si="3"/>
        <v>0.95647058823529463</v>
      </c>
      <c r="AC7" s="442"/>
    </row>
    <row r="8" spans="1:29">
      <c r="A8" s="474" t="s">
        <v>1381</v>
      </c>
      <c r="B8" s="31" t="s">
        <v>1383</v>
      </c>
      <c r="C8" s="446"/>
      <c r="D8" s="446"/>
      <c r="E8" s="305"/>
      <c r="F8" s="33"/>
      <c r="G8" s="10"/>
      <c r="H8" s="314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1920.7422969187664</v>
      </c>
      <c r="N8" s="10">
        <f>M8/L8</f>
        <v>120.0463935574229</v>
      </c>
      <c r="O8" s="12">
        <f>L8-I8</f>
        <v>0</v>
      </c>
      <c r="P8" s="13">
        <f>N8-K8</f>
        <v>-4.9536064425770974</v>
      </c>
      <c r="Q8" s="306">
        <f>N8/K8</f>
        <v>0.96037114845938321</v>
      </c>
      <c r="R8" s="442"/>
      <c r="S8" s="28"/>
      <c r="T8" s="28"/>
      <c r="U8" s="304"/>
      <c r="V8" s="313"/>
      <c r="W8" s="10"/>
      <c r="X8" s="10"/>
      <c r="Y8" s="443"/>
      <c r="Z8" s="443"/>
      <c r="AA8" s="12">
        <f t="shared" si="2"/>
        <v>-79.257703081233558</v>
      </c>
      <c r="AB8" s="306">
        <f>M8/J8</f>
        <v>0.96037114845938321</v>
      </c>
      <c r="AC8" s="442"/>
    </row>
    <row r="9" spans="1:29" ht="15.75" customHeight="1">
      <c r="A9" s="439" t="s">
        <v>1384</v>
      </c>
      <c r="B9" s="31" t="s">
        <v>53</v>
      </c>
      <c r="C9" s="471" t="s">
        <v>54</v>
      </c>
      <c r="D9" s="472"/>
      <c r="E9" s="31">
        <v>39.799999999999997</v>
      </c>
      <c r="F9" s="314">
        <v>7219</v>
      </c>
      <c r="G9" s="304">
        <f t="shared" ref="G9" si="11">E9*F9</f>
        <v>287316.19999999995</v>
      </c>
      <c r="H9" s="315" t="s">
        <v>103</v>
      </c>
      <c r="I9" s="312">
        <v>17</v>
      </c>
      <c r="J9" s="26">
        <v>1500</v>
      </c>
      <c r="K9" s="10">
        <f t="shared" ref="K9" si="12">J9/I9</f>
        <v>88.235294117647058</v>
      </c>
      <c r="L9" s="312">
        <v>17</v>
      </c>
      <c r="M9" s="11">
        <f t="shared" ref="M9" si="13">F9/V9*60</f>
        <v>1420.1311475409834</v>
      </c>
      <c r="N9" s="10">
        <f t="shared" ref="N9" si="14">M9/L9</f>
        <v>83.537126325940207</v>
      </c>
      <c r="O9" s="12">
        <f t="shared" ref="O9" si="15">L9-I9</f>
        <v>0</v>
      </c>
      <c r="P9" s="13">
        <f>N9-K9</f>
        <v>-4.6981677917068509</v>
      </c>
      <c r="Q9" s="306">
        <f>N9/K9</f>
        <v>0.94675409836065572</v>
      </c>
      <c r="R9" s="442">
        <f>Q10</f>
        <v>0.94675409836065572</v>
      </c>
      <c r="S9" s="28">
        <v>0.20833333333333334</v>
      </c>
      <c r="T9" s="28">
        <v>0.4201388888888889</v>
      </c>
      <c r="U9" s="304"/>
      <c r="V9" s="313">
        <f t="shared" ref="V9" si="16">(T9-S9)*24*60</f>
        <v>305</v>
      </c>
      <c r="W9" s="16"/>
      <c r="X9" s="16"/>
      <c r="Y9" s="443"/>
      <c r="Z9" s="443"/>
      <c r="AA9" s="12">
        <f t="shared" si="2"/>
        <v>-79.86885245901658</v>
      </c>
      <c r="AB9" s="306">
        <f>M9/J9</f>
        <v>0.9467540983606556</v>
      </c>
      <c r="AC9" s="442">
        <f>AB10</f>
        <v>0.9467540983606556</v>
      </c>
    </row>
    <row r="10" spans="1:29" ht="16.5" customHeight="1">
      <c r="A10" s="439" t="s">
        <v>1384</v>
      </c>
      <c r="B10" s="31" t="s">
        <v>1385</v>
      </c>
      <c r="C10" s="446"/>
      <c r="D10" s="446"/>
      <c r="E10" s="305"/>
      <c r="F10" s="26"/>
      <c r="G10" s="11"/>
      <c r="H10" s="314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1420.1311475409834</v>
      </c>
      <c r="N10" s="10">
        <f>M10/L10</f>
        <v>83.537126325940207</v>
      </c>
      <c r="O10" s="12">
        <f>L10-I10</f>
        <v>0</v>
      </c>
      <c r="P10" s="13">
        <f>N10-K10</f>
        <v>-4.6981677917068509</v>
      </c>
      <c r="Q10" s="306">
        <f>N10/K10</f>
        <v>0.94675409836065572</v>
      </c>
      <c r="R10" s="442"/>
      <c r="S10" s="28"/>
      <c r="T10" s="28"/>
      <c r="U10" s="10"/>
      <c r="V10" s="313"/>
      <c r="W10" s="10"/>
      <c r="X10" s="10"/>
      <c r="Y10" s="443"/>
      <c r="Z10" s="443"/>
      <c r="AA10" s="12">
        <f t="shared" si="2"/>
        <v>-79.86885245901658</v>
      </c>
      <c r="AB10" s="306">
        <f t="shared" ref="AB10:AB22" si="17">M10/J10</f>
        <v>0.9467540983606556</v>
      </c>
      <c r="AC10" s="442"/>
    </row>
    <row r="11" spans="1:29" ht="16.5" customHeight="1">
      <c r="A11" s="469" t="s">
        <v>1386</v>
      </c>
      <c r="B11" s="314" t="s">
        <v>56</v>
      </c>
      <c r="C11" s="464" t="s">
        <v>57</v>
      </c>
      <c r="D11" s="464"/>
      <c r="E11" s="31">
        <v>41</v>
      </c>
      <c r="F11" s="314">
        <v>1878</v>
      </c>
      <c r="G11" s="304">
        <f t="shared" ref="G11:G15" si="18">E11*F11</f>
        <v>76998</v>
      </c>
      <c r="H11" s="315" t="s">
        <v>103</v>
      </c>
      <c r="I11" s="312">
        <v>26</v>
      </c>
      <c r="J11" s="26">
        <v>1500</v>
      </c>
      <c r="K11" s="10">
        <f>J11/I11</f>
        <v>57.692307692307693</v>
      </c>
      <c r="L11" s="312">
        <v>26</v>
      </c>
      <c r="M11" s="11">
        <f>F11/V11*60</f>
        <v>1426.3291139240503</v>
      </c>
      <c r="N11" s="10">
        <f t="shared" ref="N11:N21" si="19">M11/L11</f>
        <v>54.858812074001932</v>
      </c>
      <c r="O11" s="12">
        <f t="shared" ref="O11" si="20">L11-I11</f>
        <v>0</v>
      </c>
      <c r="P11" s="13">
        <f t="shared" ref="P11" si="21">N11-K11</f>
        <v>-2.8334956183057614</v>
      </c>
      <c r="Q11" s="306">
        <f>N11/K11</f>
        <v>0.9508860759493668</v>
      </c>
      <c r="R11" s="442">
        <f>Q16</f>
        <v>0.94870181403120291</v>
      </c>
      <c r="S11" s="28">
        <v>8.3333333333333329E-2</v>
      </c>
      <c r="T11" s="28">
        <v>0.13819444444444445</v>
      </c>
      <c r="U11" s="304"/>
      <c r="V11" s="313">
        <f>(T11-S11)*24*60</f>
        <v>79.000000000000014</v>
      </c>
      <c r="W11" s="16">
        <f>T11</f>
        <v>0.13819444444444445</v>
      </c>
      <c r="X11" s="16">
        <f>S12</f>
        <v>0.15763888888888888</v>
      </c>
      <c r="Y11" s="443"/>
      <c r="Z11" s="443"/>
      <c r="AA11" s="12">
        <f t="shared" si="2"/>
        <v>-73.670886075949738</v>
      </c>
      <c r="AB11" s="306">
        <f t="shared" si="17"/>
        <v>0.9508860759493668</v>
      </c>
      <c r="AC11" s="442">
        <f>AB16</f>
        <v>0.94870181403120291</v>
      </c>
    </row>
    <row r="12" spans="1:29" ht="16.5" customHeight="1">
      <c r="A12" s="470" t="s">
        <v>1386</v>
      </c>
      <c r="B12" s="314" t="s">
        <v>53</v>
      </c>
      <c r="C12" s="464" t="s">
        <v>107</v>
      </c>
      <c r="D12" s="464"/>
      <c r="E12" s="31">
        <v>39.619999999999997</v>
      </c>
      <c r="F12" s="314">
        <v>5079</v>
      </c>
      <c r="G12" s="304">
        <f t="shared" si="18"/>
        <v>201229.97999999998</v>
      </c>
      <c r="H12" s="315" t="s">
        <v>103</v>
      </c>
      <c r="I12" s="312">
        <v>19</v>
      </c>
      <c r="J12" s="26">
        <v>1500</v>
      </c>
      <c r="K12" s="10">
        <f>J12/I12</f>
        <v>78.94736842105263</v>
      </c>
      <c r="L12" s="312">
        <v>19</v>
      </c>
      <c r="M12" s="11">
        <f>F12/V12*60</f>
        <v>1424.0186915887848</v>
      </c>
      <c r="N12" s="10">
        <f t="shared" si="19"/>
        <v>74.948352188883405</v>
      </c>
      <c r="O12" s="12">
        <f>L12-I12</f>
        <v>0</v>
      </c>
      <c r="P12" s="13">
        <f>N12-K12</f>
        <v>-3.9990162321692253</v>
      </c>
      <c r="Q12" s="306">
        <f>N12/K12</f>
        <v>0.94934579439252309</v>
      </c>
      <c r="R12" s="442"/>
      <c r="S12" s="28">
        <v>0.15763888888888888</v>
      </c>
      <c r="T12" s="28">
        <v>0.30625000000000002</v>
      </c>
      <c r="U12" s="304">
        <f>IF(S12=TIME(17,0,0),"",(S12-T11)*24*60)</f>
        <v>27.999999999999979</v>
      </c>
      <c r="V12" s="313">
        <f>(T12-S12)*24*60</f>
        <v>214.00000000000003</v>
      </c>
      <c r="W12" s="16"/>
      <c r="X12" s="16"/>
      <c r="Y12" s="443"/>
      <c r="Z12" s="443"/>
      <c r="AA12" s="12">
        <f t="shared" si="2"/>
        <v>-75.981308411215196</v>
      </c>
      <c r="AB12" s="306">
        <f t="shared" si="17"/>
        <v>0.9493457943925232</v>
      </c>
      <c r="AC12" s="442"/>
    </row>
    <row r="13" spans="1:29" ht="16.5" customHeight="1">
      <c r="A13" s="470" t="s">
        <v>1386</v>
      </c>
      <c r="B13" s="314" t="s">
        <v>53</v>
      </c>
      <c r="C13" s="464" t="s">
        <v>163</v>
      </c>
      <c r="D13" s="464"/>
      <c r="E13" s="31">
        <v>39.36</v>
      </c>
      <c r="F13" s="314">
        <v>4203</v>
      </c>
      <c r="G13" s="304">
        <f t="shared" si="18"/>
        <v>165430.07999999999</v>
      </c>
      <c r="H13" s="315" t="s">
        <v>103</v>
      </c>
      <c r="I13" s="312">
        <v>20</v>
      </c>
      <c r="J13" s="26">
        <v>1500</v>
      </c>
      <c r="K13" s="10">
        <f t="shared" ref="K13:K15" si="22">J13/I13</f>
        <v>75</v>
      </c>
      <c r="L13" s="312">
        <v>20</v>
      </c>
      <c r="M13" s="11">
        <f t="shared" ref="M13:M15" si="23">F13/V13*60</f>
        <v>1424.7457627118645</v>
      </c>
      <c r="N13" s="10">
        <f t="shared" si="19"/>
        <v>71.237288135593218</v>
      </c>
      <c r="O13" s="12">
        <f t="shared" ref="O13:O15" si="24">L13-I13</f>
        <v>0</v>
      </c>
      <c r="P13" s="13">
        <f t="shared" ref="P13:P15" si="25">N13-K13</f>
        <v>-3.7627118644067821</v>
      </c>
      <c r="Q13" s="306">
        <f t="shared" ref="Q13:Q21" si="26">N13/K13</f>
        <v>0.94983050847457628</v>
      </c>
      <c r="R13" s="442"/>
      <c r="S13" s="28">
        <v>0.30972222222222223</v>
      </c>
      <c r="T13" s="28">
        <v>0.43263888888888891</v>
      </c>
      <c r="U13" s="304">
        <f t="shared" ref="U13:U15" si="27">IF(S13=TIME(17,0,0),"",(S13-T12)*24*60)</f>
        <v>4.9999999999999822</v>
      </c>
      <c r="V13" s="313">
        <f t="shared" ref="V13:V15" si="28">(T13-S13)*24*60</f>
        <v>177</v>
      </c>
      <c r="W13" s="16"/>
      <c r="X13" s="16"/>
      <c r="Y13" s="443"/>
      <c r="Z13" s="443"/>
      <c r="AA13" s="12">
        <f t="shared" si="2"/>
        <v>-75.254237288135528</v>
      </c>
      <c r="AB13" s="306">
        <f t="shared" si="17"/>
        <v>0.94983050847457628</v>
      </c>
      <c r="AC13" s="442"/>
    </row>
    <row r="14" spans="1:29" ht="16.5" customHeight="1">
      <c r="A14" s="470" t="s">
        <v>1386</v>
      </c>
      <c r="B14" s="314" t="s">
        <v>58</v>
      </c>
      <c r="C14" s="464" t="s">
        <v>59</v>
      </c>
      <c r="D14" s="464"/>
      <c r="E14" s="31">
        <v>50.98</v>
      </c>
      <c r="F14" s="314">
        <v>2429</v>
      </c>
      <c r="G14" s="304">
        <f t="shared" si="18"/>
        <v>123830.42</v>
      </c>
      <c r="H14" s="315" t="s">
        <v>103</v>
      </c>
      <c r="I14" s="312">
        <v>16</v>
      </c>
      <c r="J14" s="26">
        <v>2000</v>
      </c>
      <c r="K14" s="10">
        <f t="shared" si="22"/>
        <v>125</v>
      </c>
      <c r="L14" s="312">
        <v>16</v>
      </c>
      <c r="M14" s="11">
        <f t="shared" si="23"/>
        <v>1892.7272727272718</v>
      </c>
      <c r="N14" s="10">
        <f t="shared" si="19"/>
        <v>118.29545454545449</v>
      </c>
      <c r="O14" s="12">
        <f t="shared" si="24"/>
        <v>0</v>
      </c>
      <c r="P14" s="13">
        <f t="shared" si="25"/>
        <v>-6.7045454545455101</v>
      </c>
      <c r="Q14" s="306">
        <f t="shared" si="26"/>
        <v>0.94636363636363596</v>
      </c>
      <c r="R14" s="442"/>
      <c r="S14" s="28">
        <v>0.70833333333333337</v>
      </c>
      <c r="T14" s="28">
        <v>0.76180555555555562</v>
      </c>
      <c r="U14" s="304" t="str">
        <f t="shared" si="27"/>
        <v/>
      </c>
      <c r="V14" s="313">
        <f t="shared" si="28"/>
        <v>77.000000000000043</v>
      </c>
      <c r="W14" s="16"/>
      <c r="X14" s="16"/>
      <c r="Y14" s="443"/>
      <c r="Z14" s="443"/>
      <c r="AA14" s="12">
        <f t="shared" si="2"/>
        <v>-107.27272727272816</v>
      </c>
      <c r="AB14" s="306">
        <f t="shared" si="17"/>
        <v>0.94636363636363596</v>
      </c>
      <c r="AC14" s="442"/>
    </row>
    <row r="15" spans="1:29" ht="16.5" customHeight="1">
      <c r="A15" s="470" t="s">
        <v>1386</v>
      </c>
      <c r="B15" s="314" t="s">
        <v>58</v>
      </c>
      <c r="C15" s="464" t="s">
        <v>60</v>
      </c>
      <c r="D15" s="464"/>
      <c r="E15" s="31">
        <v>50.92</v>
      </c>
      <c r="F15" s="314">
        <v>2623</v>
      </c>
      <c r="G15" s="304">
        <f t="shared" si="18"/>
        <v>133563.16</v>
      </c>
      <c r="H15" s="315" t="s">
        <v>103</v>
      </c>
      <c r="I15" s="312">
        <v>15</v>
      </c>
      <c r="J15" s="26">
        <v>2000</v>
      </c>
      <c r="K15" s="10">
        <f t="shared" si="22"/>
        <v>133.33333333333334</v>
      </c>
      <c r="L15" s="312">
        <v>15</v>
      </c>
      <c r="M15" s="11">
        <f t="shared" si="23"/>
        <v>1896.1445783132524</v>
      </c>
      <c r="N15" s="10">
        <f t="shared" si="19"/>
        <v>126.40963855421683</v>
      </c>
      <c r="O15" s="12">
        <f t="shared" si="24"/>
        <v>0</v>
      </c>
      <c r="P15" s="13">
        <f t="shared" si="25"/>
        <v>-6.9236947791165164</v>
      </c>
      <c r="Q15" s="306">
        <f t="shared" si="26"/>
        <v>0.94807228915662611</v>
      </c>
      <c r="R15" s="442"/>
      <c r="S15" s="28">
        <v>0.76527777777777783</v>
      </c>
      <c r="T15" s="28">
        <v>0.82291666666666674</v>
      </c>
      <c r="U15" s="304">
        <f t="shared" si="27"/>
        <v>4.9999999999999822</v>
      </c>
      <c r="V15" s="313">
        <f t="shared" si="28"/>
        <v>83.000000000000028</v>
      </c>
      <c r="W15" s="16"/>
      <c r="X15" s="16"/>
      <c r="Y15" s="443"/>
      <c r="Z15" s="443"/>
      <c r="AA15" s="12">
        <f t="shared" si="2"/>
        <v>-103.8554216867476</v>
      </c>
      <c r="AB15" s="306">
        <f t="shared" si="17"/>
        <v>0.94807228915662622</v>
      </c>
      <c r="AC15" s="442"/>
    </row>
    <row r="16" spans="1:29" ht="16.5" customHeight="1">
      <c r="A16" s="470" t="s">
        <v>1386</v>
      </c>
      <c r="B16" s="31" t="s">
        <v>1387</v>
      </c>
      <c r="C16" s="446"/>
      <c r="D16" s="446"/>
      <c r="E16" s="305"/>
      <c r="F16" s="33"/>
      <c r="G16" s="10"/>
      <c r="H16" s="314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1612.7930838530449</v>
      </c>
      <c r="N16" s="10">
        <f t="shared" si="19"/>
        <v>83.999639784012757</v>
      </c>
      <c r="O16" s="12">
        <f>L16-I16</f>
        <v>0</v>
      </c>
      <c r="P16" s="13">
        <f>N16-K16</f>
        <v>-4.5420268826539143</v>
      </c>
      <c r="Q16" s="306">
        <f t="shared" si="26"/>
        <v>0.94870181403120291</v>
      </c>
      <c r="R16" s="442"/>
      <c r="S16" s="28"/>
      <c r="T16" s="28"/>
      <c r="U16" s="304"/>
      <c r="V16" s="313"/>
      <c r="W16" s="10"/>
      <c r="X16" s="10"/>
      <c r="Y16" s="443"/>
      <c r="Z16" s="443"/>
      <c r="AA16" s="12">
        <f t="shared" si="2"/>
        <v>-87.206916146955109</v>
      </c>
      <c r="AB16" s="306">
        <f t="shared" si="17"/>
        <v>0.94870181403120291</v>
      </c>
      <c r="AC16" s="442"/>
    </row>
    <row r="17" spans="1:29" ht="15.75" customHeight="1">
      <c r="A17" s="467" t="s">
        <v>1388</v>
      </c>
      <c r="B17" s="31" t="s">
        <v>56</v>
      </c>
      <c r="C17" s="464" t="s">
        <v>61</v>
      </c>
      <c r="D17" s="464"/>
      <c r="E17" s="31">
        <v>43.14</v>
      </c>
      <c r="F17" s="314">
        <v>1274</v>
      </c>
      <c r="G17" s="304">
        <f t="shared" ref="G17:G21" si="29">E17*F17</f>
        <v>54960.36</v>
      </c>
      <c r="H17" s="315" t="s">
        <v>103</v>
      </c>
      <c r="I17" s="312">
        <v>17</v>
      </c>
      <c r="J17" s="26">
        <v>2000</v>
      </c>
      <c r="K17" s="10">
        <f t="shared" ref="K17:K22" si="30">J17/I17</f>
        <v>117.64705882352941</v>
      </c>
      <c r="L17" s="312">
        <v>17</v>
      </c>
      <c r="M17" s="11">
        <f t="shared" ref="M17:M21" si="31">F17/V17*60</f>
        <v>1911.0000000000009</v>
      </c>
      <c r="N17" s="10">
        <f t="shared" si="19"/>
        <v>112.4117647058824</v>
      </c>
      <c r="O17" s="12">
        <f t="shared" ref="O17:O21" si="32">L17-I17</f>
        <v>0</v>
      </c>
      <c r="P17" s="13">
        <f t="shared" ref="P17:P21" si="33">N17-K17</f>
        <v>-5.2352941176470011</v>
      </c>
      <c r="Q17" s="306">
        <f t="shared" si="26"/>
        <v>0.95550000000000046</v>
      </c>
      <c r="R17" s="442">
        <f>Q22</f>
        <v>0.95364264520234954</v>
      </c>
      <c r="S17" s="28">
        <v>0.20833333333333334</v>
      </c>
      <c r="T17" s="28">
        <v>0.2361111111111111</v>
      </c>
      <c r="U17" s="304"/>
      <c r="V17" s="313">
        <f>(T17-S17)*24*60</f>
        <v>39.999999999999979</v>
      </c>
      <c r="W17" s="18"/>
      <c r="X17" s="18"/>
      <c r="Y17" s="443"/>
      <c r="Z17" s="443"/>
      <c r="AA17" s="12">
        <f t="shared" si="2"/>
        <v>-88.999999999999091</v>
      </c>
      <c r="AB17" s="306">
        <f t="shared" si="17"/>
        <v>0.95550000000000046</v>
      </c>
      <c r="AC17" s="442">
        <f>AB22</f>
        <v>0.95364264520234954</v>
      </c>
    </row>
    <row r="18" spans="1:29" ht="15.75" customHeight="1">
      <c r="A18" s="468" t="s">
        <v>1388</v>
      </c>
      <c r="B18" s="31" t="s">
        <v>58</v>
      </c>
      <c r="C18" s="464" t="s">
        <v>62</v>
      </c>
      <c r="D18" s="464"/>
      <c r="E18" s="31">
        <v>57.73</v>
      </c>
      <c r="F18" s="314">
        <v>2330</v>
      </c>
      <c r="G18" s="304">
        <f t="shared" si="29"/>
        <v>134510.9</v>
      </c>
      <c r="H18" s="315" t="s">
        <v>103</v>
      </c>
      <c r="I18" s="312">
        <v>15</v>
      </c>
      <c r="J18" s="26">
        <v>2000</v>
      </c>
      <c r="K18" s="10">
        <f t="shared" si="30"/>
        <v>133.33333333333334</v>
      </c>
      <c r="L18" s="312">
        <v>15</v>
      </c>
      <c r="M18" s="11">
        <f t="shared" si="31"/>
        <v>1915.0684931506846</v>
      </c>
      <c r="N18" s="10">
        <f t="shared" si="19"/>
        <v>127.67123287671231</v>
      </c>
      <c r="O18" s="12">
        <f t="shared" si="32"/>
        <v>0</v>
      </c>
      <c r="P18" s="13">
        <f t="shared" si="33"/>
        <v>-5.6621004566210331</v>
      </c>
      <c r="Q18" s="306">
        <f t="shared" si="26"/>
        <v>0.95753424657534225</v>
      </c>
      <c r="R18" s="442"/>
      <c r="S18" s="28">
        <v>0.24166666666666667</v>
      </c>
      <c r="T18" s="28">
        <v>0.29236111111111113</v>
      </c>
      <c r="U18" s="304">
        <f>IF(S18=TIME(17,0,0),"",(S18-T17)*24*60)</f>
        <v>8.0000000000000107</v>
      </c>
      <c r="V18" s="313">
        <f t="shared" ref="V18:V21" si="34">(T18-S18)*24*60</f>
        <v>73.000000000000014</v>
      </c>
      <c r="W18" s="16"/>
      <c r="X18" s="304"/>
      <c r="Y18" s="443"/>
      <c r="Z18" s="443"/>
      <c r="AA18" s="12">
        <f t="shared" si="2"/>
        <v>-84.931506849315383</v>
      </c>
      <c r="AB18" s="306">
        <f t="shared" si="17"/>
        <v>0.95753424657534236</v>
      </c>
      <c r="AC18" s="442"/>
    </row>
    <row r="19" spans="1:29" ht="15.75" customHeight="1">
      <c r="A19" s="468" t="s">
        <v>1388</v>
      </c>
      <c r="B19" s="31" t="s">
        <v>58</v>
      </c>
      <c r="C19" s="464" t="s">
        <v>63</v>
      </c>
      <c r="D19" s="464"/>
      <c r="E19" s="31">
        <v>53.68</v>
      </c>
      <c r="F19" s="314">
        <v>1648</v>
      </c>
      <c r="G19" s="304">
        <f t="shared" si="29"/>
        <v>88464.639999999999</v>
      </c>
      <c r="H19" s="315" t="s">
        <v>103</v>
      </c>
      <c r="I19" s="312">
        <v>16</v>
      </c>
      <c r="J19" s="26">
        <v>2000</v>
      </c>
      <c r="K19" s="10">
        <f t="shared" si="30"/>
        <v>125</v>
      </c>
      <c r="L19" s="312">
        <v>16</v>
      </c>
      <c r="M19" s="11">
        <f t="shared" si="31"/>
        <v>1901.5384615384626</v>
      </c>
      <c r="N19" s="10">
        <f t="shared" si="19"/>
        <v>118.84615384615391</v>
      </c>
      <c r="O19" s="12">
        <f t="shared" si="32"/>
        <v>0</v>
      </c>
      <c r="P19" s="13">
        <f t="shared" si="33"/>
        <v>-6.1538461538460894</v>
      </c>
      <c r="Q19" s="306">
        <f t="shared" si="26"/>
        <v>0.95076923076923125</v>
      </c>
      <c r="R19" s="442"/>
      <c r="S19" s="28">
        <v>0.29791666666666666</v>
      </c>
      <c r="T19" s="28">
        <v>0.33402777777777776</v>
      </c>
      <c r="U19" s="304">
        <f t="shared" ref="U19:U21" si="35">IF(S19=TIME(17,0,0),"",(S19-T18)*24*60)</f>
        <v>7.9999999999999716</v>
      </c>
      <c r="V19" s="313">
        <f t="shared" si="34"/>
        <v>51.999999999999972</v>
      </c>
      <c r="W19" s="16"/>
      <c r="X19" s="304"/>
      <c r="Y19" s="443"/>
      <c r="Z19" s="443"/>
      <c r="AA19" s="12">
        <f t="shared" si="2"/>
        <v>-98.46153846153743</v>
      </c>
      <c r="AB19" s="306">
        <f t="shared" si="17"/>
        <v>0.95076923076923125</v>
      </c>
      <c r="AC19" s="442"/>
    </row>
    <row r="20" spans="1:29" ht="15.75" customHeight="1">
      <c r="A20" s="468" t="s">
        <v>1388</v>
      </c>
      <c r="B20" s="31" t="s">
        <v>58</v>
      </c>
      <c r="C20" s="464" t="s">
        <v>1170</v>
      </c>
      <c r="D20" s="464"/>
      <c r="E20" s="31">
        <v>50.81</v>
      </c>
      <c r="F20" s="314">
        <v>3208</v>
      </c>
      <c r="G20" s="304">
        <f t="shared" si="29"/>
        <v>162998.48000000001</v>
      </c>
      <c r="H20" s="315" t="s">
        <v>103</v>
      </c>
      <c r="I20" s="312">
        <v>17</v>
      </c>
      <c r="J20" s="26">
        <v>2000</v>
      </c>
      <c r="K20" s="10">
        <f t="shared" si="30"/>
        <v>117.64705882352941</v>
      </c>
      <c r="L20" s="312">
        <v>17</v>
      </c>
      <c r="M20" s="11">
        <f t="shared" si="31"/>
        <v>1905.7425742574248</v>
      </c>
      <c r="N20" s="10">
        <f t="shared" si="19"/>
        <v>112.10250436808381</v>
      </c>
      <c r="O20" s="12">
        <f t="shared" si="32"/>
        <v>0</v>
      </c>
      <c r="P20" s="13">
        <f t="shared" si="33"/>
        <v>-5.5445544554455921</v>
      </c>
      <c r="Q20" s="306">
        <f t="shared" si="26"/>
        <v>0.9528712871287125</v>
      </c>
      <c r="R20" s="442"/>
      <c r="S20" s="28">
        <v>0.33749999999999997</v>
      </c>
      <c r="T20" s="28">
        <v>0.40763888888888888</v>
      </c>
      <c r="U20" s="304">
        <f t="shared" si="35"/>
        <v>4.9999999999999822</v>
      </c>
      <c r="V20" s="313">
        <f t="shared" si="34"/>
        <v>101.00000000000004</v>
      </c>
      <c r="W20" s="16"/>
      <c r="X20" s="304"/>
      <c r="Y20" s="443"/>
      <c r="Z20" s="443"/>
      <c r="AA20" s="12">
        <f t="shared" si="2"/>
        <v>-94.257425742575151</v>
      </c>
      <c r="AB20" s="306">
        <f t="shared" si="17"/>
        <v>0.95287128712871239</v>
      </c>
      <c r="AC20" s="442"/>
    </row>
    <row r="21" spans="1:29" ht="15.75" customHeight="1">
      <c r="A21" s="468" t="s">
        <v>1388</v>
      </c>
      <c r="B21" s="31" t="s">
        <v>58</v>
      </c>
      <c r="C21" s="464" t="s">
        <v>65</v>
      </c>
      <c r="D21" s="464"/>
      <c r="E21" s="31">
        <v>54.09</v>
      </c>
      <c r="F21" s="314">
        <v>2474</v>
      </c>
      <c r="G21" s="304">
        <f t="shared" si="29"/>
        <v>133818.66</v>
      </c>
      <c r="H21" s="315" t="s">
        <v>103</v>
      </c>
      <c r="I21" s="312">
        <v>19</v>
      </c>
      <c r="J21" s="26">
        <v>2000</v>
      </c>
      <c r="K21" s="10">
        <f t="shared" si="30"/>
        <v>105.26315789473684</v>
      </c>
      <c r="L21" s="312">
        <v>19</v>
      </c>
      <c r="M21" s="11">
        <f t="shared" si="31"/>
        <v>1903.076923076922</v>
      </c>
      <c r="N21" s="10">
        <f t="shared" si="19"/>
        <v>100.161943319838</v>
      </c>
      <c r="O21" s="12">
        <f t="shared" si="32"/>
        <v>0</v>
      </c>
      <c r="P21" s="13">
        <f t="shared" si="33"/>
        <v>-5.1012145748988331</v>
      </c>
      <c r="Q21" s="306">
        <f t="shared" si="26"/>
        <v>0.95153846153846111</v>
      </c>
      <c r="R21" s="442"/>
      <c r="S21" s="28">
        <v>0.70833333333333337</v>
      </c>
      <c r="T21" s="28">
        <v>0.76250000000000007</v>
      </c>
      <c r="U21" s="304" t="str">
        <f t="shared" si="35"/>
        <v/>
      </c>
      <c r="V21" s="313">
        <f t="shared" si="34"/>
        <v>78.000000000000043</v>
      </c>
      <c r="W21" s="16"/>
      <c r="X21" s="304"/>
      <c r="Y21" s="443"/>
      <c r="Z21" s="443"/>
      <c r="AA21" s="12">
        <f t="shared" si="2"/>
        <v>-96.923076923078042</v>
      </c>
      <c r="AB21" s="306">
        <f t="shared" si="17"/>
        <v>0.951538461538461</v>
      </c>
      <c r="AC21" s="442"/>
    </row>
    <row r="22" spans="1:29" ht="15.75" customHeight="1">
      <c r="A22" s="468" t="s">
        <v>1388</v>
      </c>
      <c r="B22" s="31" t="s">
        <v>1387</v>
      </c>
      <c r="C22" s="446"/>
      <c r="D22" s="446"/>
      <c r="E22" s="305"/>
      <c r="F22" s="314"/>
      <c r="G22" s="304"/>
      <c r="H22" s="314"/>
      <c r="I22" s="19">
        <v>17</v>
      </c>
      <c r="J22" s="26">
        <v>2000</v>
      </c>
      <c r="K22" s="10">
        <f t="shared" si="30"/>
        <v>117.64705882352941</v>
      </c>
      <c r="L22" s="19">
        <v>17</v>
      </c>
      <c r="M22" s="11">
        <f>AVERAGE(M17:M21)</f>
        <v>1907.285290404699</v>
      </c>
      <c r="N22" s="10">
        <f>M22/L22</f>
        <v>112.193252376747</v>
      </c>
      <c r="O22" s="12">
        <f>L22-I22</f>
        <v>0</v>
      </c>
      <c r="P22" s="13">
        <f>N22-K22</f>
        <v>-5.4538064467824086</v>
      </c>
      <c r="Q22" s="306">
        <f>N22/K22</f>
        <v>0.95364264520234954</v>
      </c>
      <c r="R22" s="442"/>
      <c r="S22" s="28"/>
      <c r="T22" s="28"/>
      <c r="U22" s="10"/>
      <c r="V22" s="313"/>
      <c r="W22" s="10"/>
      <c r="X22" s="10"/>
      <c r="Y22" s="443"/>
      <c r="Z22" s="443"/>
      <c r="AA22" s="12">
        <f t="shared" si="2"/>
        <v>-92.714709595300974</v>
      </c>
      <c r="AB22" s="306">
        <f t="shared" si="17"/>
        <v>0.95364264520234954</v>
      </c>
      <c r="AC22" s="442"/>
    </row>
    <row r="23" spans="1:29" ht="15.75" customHeight="1">
      <c r="A23" s="463" t="s">
        <v>1389</v>
      </c>
      <c r="B23" s="31" t="s">
        <v>67</v>
      </c>
      <c r="C23" s="464" t="s">
        <v>68</v>
      </c>
      <c r="D23" s="464"/>
      <c r="E23" s="31">
        <v>26.2</v>
      </c>
      <c r="F23" s="314">
        <v>5057</v>
      </c>
      <c r="G23" s="304">
        <f t="shared" ref="G23:G33" si="36">E23*F23</f>
        <v>132493.4</v>
      </c>
      <c r="H23" s="315" t="s">
        <v>103</v>
      </c>
      <c r="I23" s="312">
        <v>20</v>
      </c>
      <c r="J23" s="26">
        <v>2400</v>
      </c>
      <c r="K23" s="10">
        <f>J23/I23</f>
        <v>120</v>
      </c>
      <c r="L23" s="312">
        <v>20</v>
      </c>
      <c r="M23" s="11">
        <f t="shared" ref="M23:M33" si="37">F23/V23*60</f>
        <v>2281.3533834586469</v>
      </c>
      <c r="N23" s="10">
        <f t="shared" ref="N23:N33" si="38">M23/L23</f>
        <v>114.06766917293234</v>
      </c>
      <c r="O23" s="12">
        <f t="shared" ref="O23:O33" si="39">L23-I23</f>
        <v>0</v>
      </c>
      <c r="P23" s="13">
        <f t="shared" ref="P23:P33" si="40">N23-K23</f>
        <v>-5.9323308270676591</v>
      </c>
      <c r="Q23" s="306">
        <f t="shared" ref="Q23:Q28" si="41">N23/K23</f>
        <v>0.95056390977443617</v>
      </c>
      <c r="R23" s="442">
        <f>Q34</f>
        <v>0.95528093343393516</v>
      </c>
      <c r="S23" s="28">
        <v>8.3333333333333329E-2</v>
      </c>
      <c r="T23" s="28">
        <v>0.17569444444444443</v>
      </c>
      <c r="U23" s="304"/>
      <c r="V23" s="313">
        <f t="shared" ref="V23:V33" si="42">(T23-S23)*24*60</f>
        <v>132.99999999999997</v>
      </c>
      <c r="W23" s="16">
        <f>T23</f>
        <v>0.17569444444444443</v>
      </c>
      <c r="X23" s="16">
        <f>S24</f>
        <v>0.19583333333333333</v>
      </c>
      <c r="Y23" s="443"/>
      <c r="Z23" s="443"/>
      <c r="AA23" s="12">
        <f t="shared" si="2"/>
        <v>-118.64661654135307</v>
      </c>
      <c r="AB23" s="306">
        <f>M23/J23</f>
        <v>0.95056390977443617</v>
      </c>
      <c r="AC23" s="442">
        <f>AB34</f>
        <v>0.95528093343393516</v>
      </c>
    </row>
    <row r="24" spans="1:29" ht="15.75" customHeight="1">
      <c r="A24" s="463" t="s">
        <v>1389</v>
      </c>
      <c r="B24" s="31" t="s">
        <v>67</v>
      </c>
      <c r="C24" s="464" t="s">
        <v>69</v>
      </c>
      <c r="D24" s="464"/>
      <c r="E24" s="31">
        <v>31.29</v>
      </c>
      <c r="F24" s="314">
        <v>5800</v>
      </c>
      <c r="G24" s="304">
        <f t="shared" si="36"/>
        <v>181482</v>
      </c>
      <c r="H24" s="315">
        <v>2</v>
      </c>
      <c r="I24" s="312">
        <v>18</v>
      </c>
      <c r="J24" s="26">
        <v>2400</v>
      </c>
      <c r="K24" s="10">
        <f t="shared" ref="K24:K34" si="43">J24/I24</f>
        <v>133.33333333333334</v>
      </c>
      <c r="L24" s="312">
        <v>18</v>
      </c>
      <c r="M24" s="11">
        <f t="shared" si="37"/>
        <v>2274.5098039215686</v>
      </c>
      <c r="N24" s="10">
        <f t="shared" si="38"/>
        <v>126.36165577342048</v>
      </c>
      <c r="O24" s="12">
        <f t="shared" si="39"/>
        <v>0</v>
      </c>
      <c r="P24" s="13">
        <f t="shared" si="40"/>
        <v>-6.9716775599128624</v>
      </c>
      <c r="Q24" s="306">
        <f t="shared" si="41"/>
        <v>0.94771241830065356</v>
      </c>
      <c r="R24" s="442"/>
      <c r="S24" s="28">
        <v>0.19583333333333333</v>
      </c>
      <c r="T24" s="28">
        <v>0.30208333333333331</v>
      </c>
      <c r="U24" s="304">
        <f>(S24-T23)*24*60</f>
        <v>29.000000000000018</v>
      </c>
      <c r="V24" s="313">
        <f t="shared" si="42"/>
        <v>153</v>
      </c>
      <c r="W24" s="16"/>
      <c r="X24" s="16"/>
      <c r="Y24" s="443"/>
      <c r="Z24" s="443"/>
      <c r="AA24" s="12">
        <f t="shared" si="2"/>
        <v>-125.49019607843138</v>
      </c>
      <c r="AB24" s="306">
        <f t="shared" ref="AB24:AB33" si="44">M24/J24</f>
        <v>0.94771241830065356</v>
      </c>
      <c r="AC24" s="442"/>
    </row>
    <row r="25" spans="1:29" ht="15.75" customHeight="1">
      <c r="A25" s="463" t="s">
        <v>1389</v>
      </c>
      <c r="B25" s="31" t="s">
        <v>67</v>
      </c>
      <c r="C25" s="464" t="s">
        <v>101</v>
      </c>
      <c r="D25" s="464"/>
      <c r="E25" s="31">
        <v>25</v>
      </c>
      <c r="F25" s="314">
        <v>3300</v>
      </c>
      <c r="G25" s="304">
        <f t="shared" si="36"/>
        <v>82500</v>
      </c>
      <c r="H25" s="315">
        <v>2</v>
      </c>
      <c r="I25" s="312">
        <v>15</v>
      </c>
      <c r="J25" s="26">
        <v>2400</v>
      </c>
      <c r="K25" s="10">
        <f t="shared" si="43"/>
        <v>160</v>
      </c>
      <c r="L25" s="312">
        <v>15</v>
      </c>
      <c r="M25" s="11">
        <f t="shared" si="37"/>
        <v>2275.8620689655168</v>
      </c>
      <c r="N25" s="10">
        <f t="shared" si="38"/>
        <v>151.72413793103445</v>
      </c>
      <c r="O25" s="12">
        <f t="shared" si="39"/>
        <v>0</v>
      </c>
      <c r="P25" s="13">
        <f t="shared" si="40"/>
        <v>-8.2758620689655515</v>
      </c>
      <c r="Q25" s="306">
        <f t="shared" si="41"/>
        <v>0.9482758620689653</v>
      </c>
      <c r="R25" s="442"/>
      <c r="S25" s="28">
        <v>0.30555555555555552</v>
      </c>
      <c r="T25" s="28">
        <v>0.3659722222222222</v>
      </c>
      <c r="U25" s="304">
        <f t="shared" ref="U25:U33" si="45">(S25-T24)*24*60</f>
        <v>4.9999999999999822</v>
      </c>
      <c r="V25" s="313">
        <f t="shared" si="42"/>
        <v>87.000000000000014</v>
      </c>
      <c r="W25" s="16"/>
      <c r="X25" s="16"/>
      <c r="Y25" s="443"/>
      <c r="Z25" s="443"/>
      <c r="AA25" s="12">
        <f t="shared" si="2"/>
        <v>-124.13793103448324</v>
      </c>
      <c r="AB25" s="306">
        <f t="shared" si="44"/>
        <v>0.9482758620689653</v>
      </c>
      <c r="AC25" s="442"/>
    </row>
    <row r="26" spans="1:29" ht="15.75" customHeight="1">
      <c r="A26" s="463" t="s">
        <v>1389</v>
      </c>
      <c r="B26" s="31" t="s">
        <v>67</v>
      </c>
      <c r="C26" s="464" t="s">
        <v>165</v>
      </c>
      <c r="D26" s="464"/>
      <c r="E26" s="31">
        <v>26.18</v>
      </c>
      <c r="F26" s="314">
        <v>3200</v>
      </c>
      <c r="G26" s="304">
        <f t="shared" si="36"/>
        <v>83776</v>
      </c>
      <c r="H26" s="315">
        <v>2</v>
      </c>
      <c r="I26" s="312">
        <v>19</v>
      </c>
      <c r="J26" s="26">
        <v>2400</v>
      </c>
      <c r="K26" s="10">
        <f t="shared" si="43"/>
        <v>126.31578947368421</v>
      </c>
      <c r="L26" s="312">
        <v>19</v>
      </c>
      <c r="M26" s="11">
        <f t="shared" si="37"/>
        <v>2285.7142857142849</v>
      </c>
      <c r="N26" s="10">
        <f t="shared" si="38"/>
        <v>120.30075187969921</v>
      </c>
      <c r="O26" s="12">
        <f t="shared" si="39"/>
        <v>0</v>
      </c>
      <c r="P26" s="13">
        <f t="shared" si="40"/>
        <v>-6.0150375939849994</v>
      </c>
      <c r="Q26" s="306">
        <f t="shared" si="41"/>
        <v>0.95238095238095211</v>
      </c>
      <c r="R26" s="442"/>
      <c r="S26" s="28">
        <v>0.36944444444444441</v>
      </c>
      <c r="T26" s="28">
        <v>0.42777777777777776</v>
      </c>
      <c r="U26" s="304">
        <f t="shared" si="45"/>
        <v>4.9999999999999822</v>
      </c>
      <c r="V26" s="313">
        <f t="shared" si="42"/>
        <v>84.000000000000028</v>
      </c>
      <c r="W26" s="16"/>
      <c r="X26" s="16"/>
      <c r="Y26" s="443"/>
      <c r="Z26" s="443"/>
      <c r="AA26" s="12">
        <f t="shared" si="2"/>
        <v>-114.28571428571513</v>
      </c>
      <c r="AB26" s="306">
        <f t="shared" si="44"/>
        <v>0.952380952380952</v>
      </c>
      <c r="AC26" s="442"/>
    </row>
    <row r="27" spans="1:29" ht="15.75" customHeight="1">
      <c r="A27" s="463" t="s">
        <v>1389</v>
      </c>
      <c r="B27" s="31" t="s">
        <v>67</v>
      </c>
      <c r="C27" s="464" t="s">
        <v>77</v>
      </c>
      <c r="D27" s="464"/>
      <c r="E27" s="31">
        <v>26.2</v>
      </c>
      <c r="F27" s="314">
        <v>3000</v>
      </c>
      <c r="G27" s="304">
        <f t="shared" si="36"/>
        <v>78600</v>
      </c>
      <c r="H27" s="315">
        <v>2</v>
      </c>
      <c r="I27" s="312">
        <v>19</v>
      </c>
      <c r="J27" s="26">
        <v>2400</v>
      </c>
      <c r="K27" s="10">
        <f t="shared" si="43"/>
        <v>126.31578947368421</v>
      </c>
      <c r="L27" s="312">
        <v>19</v>
      </c>
      <c r="M27" s="11">
        <f t="shared" si="37"/>
        <v>2278.4810126582288</v>
      </c>
      <c r="N27" s="10">
        <f t="shared" si="38"/>
        <v>119.92005329780152</v>
      </c>
      <c r="O27" s="12">
        <f t="shared" si="39"/>
        <v>0</v>
      </c>
      <c r="P27" s="13">
        <f t="shared" si="40"/>
        <v>-6.3957361758826892</v>
      </c>
      <c r="Q27" s="306">
        <f t="shared" si="41"/>
        <v>0.94936708860759533</v>
      </c>
      <c r="R27" s="442"/>
      <c r="S27" s="28">
        <v>0.43263888888888885</v>
      </c>
      <c r="T27" s="28">
        <v>0.48749999999999993</v>
      </c>
      <c r="U27" s="304">
        <f t="shared" si="45"/>
        <v>6.9999999999999751</v>
      </c>
      <c r="V27" s="313">
        <f t="shared" si="42"/>
        <v>78.999999999999957</v>
      </c>
      <c r="W27" s="16"/>
      <c r="X27" s="16"/>
      <c r="Y27" s="443"/>
      <c r="Z27" s="443"/>
      <c r="AA27" s="12">
        <f t="shared" si="2"/>
        <v>-121.51898734177121</v>
      </c>
      <c r="AB27" s="306">
        <f t="shared" si="44"/>
        <v>0.94936708860759533</v>
      </c>
      <c r="AC27" s="442"/>
    </row>
    <row r="28" spans="1:29" ht="15.75" customHeight="1">
      <c r="A28" s="463" t="s">
        <v>1389</v>
      </c>
      <c r="B28" s="31" t="s">
        <v>67</v>
      </c>
      <c r="C28" s="464" t="s">
        <v>78</v>
      </c>
      <c r="D28" s="464"/>
      <c r="E28" s="31">
        <v>25.98</v>
      </c>
      <c r="F28" s="314">
        <v>1750</v>
      </c>
      <c r="G28" s="304">
        <f t="shared" si="36"/>
        <v>45465</v>
      </c>
      <c r="H28" s="315">
        <v>2</v>
      </c>
      <c r="I28" s="312">
        <v>17</v>
      </c>
      <c r="J28" s="26">
        <v>2400</v>
      </c>
      <c r="K28" s="10">
        <f t="shared" si="43"/>
        <v>141.1764705882353</v>
      </c>
      <c r="L28" s="312">
        <v>17</v>
      </c>
      <c r="M28" s="11">
        <f t="shared" si="37"/>
        <v>2282.608695652174</v>
      </c>
      <c r="N28" s="10">
        <f t="shared" si="38"/>
        <v>134.27109974424553</v>
      </c>
      <c r="O28" s="12">
        <f t="shared" si="39"/>
        <v>0</v>
      </c>
      <c r="P28" s="13">
        <f t="shared" si="40"/>
        <v>-6.9053708439897719</v>
      </c>
      <c r="Q28" s="306">
        <f t="shared" si="41"/>
        <v>0.95108695652173914</v>
      </c>
      <c r="R28" s="442"/>
      <c r="S28" s="28">
        <v>0.49166666666666659</v>
      </c>
      <c r="T28" s="28">
        <v>0.52361111111111103</v>
      </c>
      <c r="U28" s="304">
        <f t="shared" si="45"/>
        <v>5.9999999999999787</v>
      </c>
      <c r="V28" s="313">
        <f t="shared" si="42"/>
        <v>46</v>
      </c>
      <c r="W28" s="16">
        <f>T28</f>
        <v>0.52361111111111103</v>
      </c>
      <c r="X28" s="16">
        <f>S29</f>
        <v>0.56527777777777766</v>
      </c>
      <c r="Y28" s="443"/>
      <c r="Z28" s="443"/>
      <c r="AA28" s="12">
        <f t="shared" si="2"/>
        <v>-117.39130434782601</v>
      </c>
      <c r="AB28" s="306">
        <f t="shared" si="44"/>
        <v>0.95108695652173914</v>
      </c>
      <c r="AC28" s="442"/>
    </row>
    <row r="29" spans="1:29" ht="15.75" customHeight="1">
      <c r="A29" s="463" t="s">
        <v>1389</v>
      </c>
      <c r="B29" s="31" t="s">
        <v>67</v>
      </c>
      <c r="C29" s="464" t="s">
        <v>69</v>
      </c>
      <c r="D29" s="464"/>
      <c r="E29" s="31">
        <v>31.29</v>
      </c>
      <c r="F29" s="314">
        <v>3865</v>
      </c>
      <c r="G29" s="304">
        <f t="shared" si="36"/>
        <v>120935.84999999999</v>
      </c>
      <c r="H29" s="315" t="s">
        <v>103</v>
      </c>
      <c r="I29" s="312">
        <v>18</v>
      </c>
      <c r="J29" s="26">
        <v>2400</v>
      </c>
      <c r="K29" s="10">
        <f t="shared" si="43"/>
        <v>133.33333333333334</v>
      </c>
      <c r="L29" s="312">
        <v>18</v>
      </c>
      <c r="M29" s="11">
        <f t="shared" si="37"/>
        <v>2273.5294117647068</v>
      </c>
      <c r="N29" s="10">
        <f t="shared" si="38"/>
        <v>126.30718954248371</v>
      </c>
      <c r="O29" s="12">
        <f t="shared" si="39"/>
        <v>0</v>
      </c>
      <c r="P29" s="13">
        <f t="shared" si="40"/>
        <v>-7.0261437908496305</v>
      </c>
      <c r="Q29" s="306">
        <f>N29/K29</f>
        <v>0.94730392156862775</v>
      </c>
      <c r="R29" s="442"/>
      <c r="S29" s="28">
        <v>0.56527777777777766</v>
      </c>
      <c r="T29" s="28">
        <v>0.63611111111111096</v>
      </c>
      <c r="U29" s="304">
        <f t="shared" si="45"/>
        <v>59.999999999999943</v>
      </c>
      <c r="V29" s="313">
        <f t="shared" si="42"/>
        <v>101.99999999999996</v>
      </c>
      <c r="W29" s="16"/>
      <c r="X29" s="16"/>
      <c r="Y29" s="443"/>
      <c r="Z29" s="443"/>
      <c r="AA29" s="12">
        <f t="shared" si="2"/>
        <v>-126.47058823529323</v>
      </c>
      <c r="AB29" s="306">
        <f t="shared" si="44"/>
        <v>0.94730392156862786</v>
      </c>
      <c r="AC29" s="442"/>
    </row>
    <row r="30" spans="1:29" ht="15.75" customHeight="1">
      <c r="A30" s="463" t="s">
        <v>1389</v>
      </c>
      <c r="B30" s="31" t="s">
        <v>67</v>
      </c>
      <c r="C30" s="464" t="s">
        <v>78</v>
      </c>
      <c r="D30" s="464"/>
      <c r="E30" s="31">
        <v>25.98</v>
      </c>
      <c r="F30" s="314">
        <v>1021</v>
      </c>
      <c r="G30" s="304">
        <f t="shared" si="36"/>
        <v>26525.58</v>
      </c>
      <c r="H30" s="315" t="s">
        <v>103</v>
      </c>
      <c r="I30" s="312">
        <v>17</v>
      </c>
      <c r="J30" s="26">
        <v>2400</v>
      </c>
      <c r="K30" s="10">
        <f t="shared" si="43"/>
        <v>141.1764705882353</v>
      </c>
      <c r="L30" s="312">
        <v>17</v>
      </c>
      <c r="M30" s="11">
        <f t="shared" si="37"/>
        <v>2356.1538461538398</v>
      </c>
      <c r="N30" s="10">
        <f t="shared" si="38"/>
        <v>138.59728506787292</v>
      </c>
      <c r="O30" s="12">
        <f t="shared" si="39"/>
        <v>0</v>
      </c>
      <c r="P30" s="13">
        <f t="shared" si="40"/>
        <v>-2.5791855203623868</v>
      </c>
      <c r="Q30" s="306">
        <f>N30/K30</f>
        <v>0.98173076923076641</v>
      </c>
      <c r="R30" s="442"/>
      <c r="S30" s="28">
        <v>0.6416666666666665</v>
      </c>
      <c r="T30" s="28">
        <v>0.6597222222222221</v>
      </c>
      <c r="U30" s="304">
        <f t="shared" si="45"/>
        <v>7.9999999999999716</v>
      </c>
      <c r="V30" s="313">
        <f t="shared" si="42"/>
        <v>26.000000000000068</v>
      </c>
      <c r="W30" s="16"/>
      <c r="X30" s="16"/>
      <c r="Y30" s="443"/>
      <c r="Z30" s="443"/>
      <c r="AA30" s="12">
        <f t="shared" si="2"/>
        <v>-43.846153846160178</v>
      </c>
      <c r="AB30" s="306">
        <f t="shared" si="44"/>
        <v>0.98173076923076663</v>
      </c>
      <c r="AC30" s="442"/>
    </row>
    <row r="31" spans="1:29" ht="15.75" customHeight="1">
      <c r="A31" s="463" t="s">
        <v>1389</v>
      </c>
      <c r="B31" s="31" t="s">
        <v>67</v>
      </c>
      <c r="C31" s="465" t="s">
        <v>165</v>
      </c>
      <c r="D31" s="466"/>
      <c r="E31" s="31">
        <v>26.18</v>
      </c>
      <c r="F31" s="314">
        <v>2071</v>
      </c>
      <c r="G31" s="304">
        <f t="shared" si="36"/>
        <v>54218.78</v>
      </c>
      <c r="H31" s="315" t="s">
        <v>103</v>
      </c>
      <c r="I31" s="312">
        <v>19</v>
      </c>
      <c r="J31" s="26">
        <v>2400</v>
      </c>
      <c r="K31" s="10">
        <f t="shared" si="43"/>
        <v>126.31578947368421</v>
      </c>
      <c r="L31" s="312">
        <v>19</v>
      </c>
      <c r="M31" s="11">
        <f t="shared" si="37"/>
        <v>2301.1111111111122</v>
      </c>
      <c r="N31" s="10">
        <f t="shared" si="38"/>
        <v>121.11111111111117</v>
      </c>
      <c r="O31" s="12">
        <f t="shared" si="39"/>
        <v>0</v>
      </c>
      <c r="P31" s="13">
        <f t="shared" si="40"/>
        <v>-5.2046783625730342</v>
      </c>
      <c r="Q31" s="306">
        <f t="shared" ref="Q31" si="46">N31/K31</f>
        <v>0.95879629629629681</v>
      </c>
      <c r="R31" s="442"/>
      <c r="S31" s="28">
        <v>0.66319444444444431</v>
      </c>
      <c r="T31" s="28">
        <v>0.70069444444444429</v>
      </c>
      <c r="U31" s="304">
        <f t="shared" si="45"/>
        <v>4.9999999999999822</v>
      </c>
      <c r="V31" s="313">
        <f t="shared" si="42"/>
        <v>53.999999999999972</v>
      </c>
      <c r="W31" s="16"/>
      <c r="X31" s="16"/>
      <c r="Y31" s="447"/>
      <c r="Z31" s="448"/>
      <c r="AA31" s="12">
        <f t="shared" si="2"/>
        <v>-98.888888888887777</v>
      </c>
      <c r="AB31" s="306">
        <f t="shared" si="44"/>
        <v>0.95879629629629681</v>
      </c>
      <c r="AC31" s="442"/>
    </row>
    <row r="32" spans="1:29" ht="15.75" customHeight="1">
      <c r="A32" s="463" t="s">
        <v>1389</v>
      </c>
      <c r="B32" s="31" t="s">
        <v>67</v>
      </c>
      <c r="C32" s="465" t="s">
        <v>77</v>
      </c>
      <c r="D32" s="466"/>
      <c r="E32" s="31">
        <v>26.2</v>
      </c>
      <c r="F32" s="314">
        <v>1657</v>
      </c>
      <c r="G32" s="304">
        <f t="shared" si="36"/>
        <v>43413.4</v>
      </c>
      <c r="H32" s="315" t="s">
        <v>103</v>
      </c>
      <c r="I32" s="312">
        <v>19</v>
      </c>
      <c r="J32" s="26">
        <v>2400</v>
      </c>
      <c r="K32" s="10">
        <f t="shared" si="43"/>
        <v>126.31578947368421</v>
      </c>
      <c r="L32" s="312">
        <v>19</v>
      </c>
      <c r="M32" s="11">
        <f t="shared" si="37"/>
        <v>2312.0930232558135</v>
      </c>
      <c r="N32" s="10">
        <f t="shared" si="38"/>
        <v>121.68910648714808</v>
      </c>
      <c r="O32" s="12">
        <f t="shared" si="39"/>
        <v>0</v>
      </c>
      <c r="P32" s="13">
        <f t="shared" si="40"/>
        <v>-4.6266829865361245</v>
      </c>
      <c r="Q32" s="306">
        <f>N32/K32</f>
        <v>0.96337209302325566</v>
      </c>
      <c r="R32" s="442"/>
      <c r="S32" s="28">
        <v>0.70624999999999982</v>
      </c>
      <c r="T32" s="28">
        <v>0.73611111111111094</v>
      </c>
      <c r="U32" s="304">
        <f t="shared" si="45"/>
        <v>7.9999999999999716</v>
      </c>
      <c r="V32" s="313">
        <f t="shared" si="42"/>
        <v>43.000000000000007</v>
      </c>
      <c r="W32" s="16"/>
      <c r="X32" s="16"/>
      <c r="Y32" s="447"/>
      <c r="Z32" s="448"/>
      <c r="AA32" s="12">
        <f t="shared" si="2"/>
        <v>-87.906976744186522</v>
      </c>
      <c r="AB32" s="306">
        <f t="shared" si="44"/>
        <v>0.96337209302325566</v>
      </c>
      <c r="AC32" s="442"/>
    </row>
    <row r="33" spans="1:29" ht="15.75" customHeight="1">
      <c r="A33" s="463" t="s">
        <v>1389</v>
      </c>
      <c r="B33" s="31" t="s">
        <v>67</v>
      </c>
      <c r="C33" s="465" t="s">
        <v>101</v>
      </c>
      <c r="D33" s="466"/>
      <c r="E33" s="31">
        <v>25</v>
      </c>
      <c r="F33" s="314">
        <v>1149</v>
      </c>
      <c r="G33" s="304">
        <f t="shared" si="36"/>
        <v>28725</v>
      </c>
      <c r="H33" s="315" t="s">
        <v>103</v>
      </c>
      <c r="I33" s="312">
        <v>15</v>
      </c>
      <c r="J33" s="26">
        <v>2400</v>
      </c>
      <c r="K33" s="10">
        <f t="shared" si="43"/>
        <v>160</v>
      </c>
      <c r="L33" s="312">
        <v>15</v>
      </c>
      <c r="M33" s="11">
        <f t="shared" si="37"/>
        <v>2297.9999999999959</v>
      </c>
      <c r="N33" s="10">
        <f t="shared" si="38"/>
        <v>153.19999999999973</v>
      </c>
      <c r="O33" s="12">
        <f t="shared" si="39"/>
        <v>0</v>
      </c>
      <c r="P33" s="13">
        <f t="shared" si="40"/>
        <v>-6.8000000000002672</v>
      </c>
      <c r="Q33" s="306">
        <f t="shared" ref="Q33" si="47">N33/K33</f>
        <v>0.95749999999999835</v>
      </c>
      <c r="R33" s="442"/>
      <c r="S33" s="28">
        <v>0.74166666666666647</v>
      </c>
      <c r="T33" s="28">
        <v>0.76249999999999984</v>
      </c>
      <c r="U33" s="304">
        <f t="shared" si="45"/>
        <v>7.9999999999999716</v>
      </c>
      <c r="V33" s="313">
        <f t="shared" si="42"/>
        <v>30.000000000000053</v>
      </c>
      <c r="W33" s="16"/>
      <c r="X33" s="16"/>
      <c r="Y33" s="447"/>
      <c r="Z33" s="448"/>
      <c r="AA33" s="12">
        <f t="shared" si="2"/>
        <v>-102.00000000000409</v>
      </c>
      <c r="AB33" s="306">
        <f t="shared" si="44"/>
        <v>0.95749999999999824</v>
      </c>
      <c r="AC33" s="442"/>
    </row>
    <row r="34" spans="1:29" ht="15.75" customHeight="1">
      <c r="A34" s="463" t="s">
        <v>1389</v>
      </c>
      <c r="B34" s="31" t="s">
        <v>1387</v>
      </c>
      <c r="C34" s="446"/>
      <c r="D34" s="446"/>
      <c r="E34" s="305"/>
      <c r="F34" s="314"/>
      <c r="G34" s="304"/>
      <c r="H34" s="314"/>
      <c r="I34" s="19">
        <v>17.818181818181817</v>
      </c>
      <c r="J34" s="26">
        <v>2400</v>
      </c>
      <c r="K34" s="10">
        <f t="shared" si="43"/>
        <v>134.69387755102042</v>
      </c>
      <c r="L34" s="19">
        <v>17.818181818181817</v>
      </c>
      <c r="M34" s="11">
        <f>AVERAGE(M23:M33)</f>
        <v>2292.6742402414443</v>
      </c>
      <c r="N34" s="10">
        <f>M34/L34</f>
        <v>128.67049307477495</v>
      </c>
      <c r="O34" s="12">
        <f>L34-I34</f>
        <v>0</v>
      </c>
      <c r="P34" s="13">
        <f>N34-K34</f>
        <v>-6.023384476245468</v>
      </c>
      <c r="Q34" s="306">
        <f>N34/K34</f>
        <v>0.95528093343393516</v>
      </c>
      <c r="R34" s="442"/>
      <c r="S34" s="28"/>
      <c r="T34" s="28"/>
      <c r="U34" s="304"/>
      <c r="V34" s="313"/>
      <c r="W34" s="304"/>
      <c r="X34" s="304"/>
      <c r="Y34" s="443"/>
      <c r="Z34" s="443"/>
      <c r="AA34" s="12">
        <f t="shared" si="2"/>
        <v>-107.32575975855571</v>
      </c>
      <c r="AB34" s="306">
        <f>M34/J34</f>
        <v>0.95528093343393516</v>
      </c>
      <c r="AC34" s="442"/>
    </row>
    <row r="35" spans="1:29" ht="15.75" customHeight="1">
      <c r="A35" s="461" t="s">
        <v>1390</v>
      </c>
      <c r="B35" s="31" t="s">
        <v>67</v>
      </c>
      <c r="C35" s="441" t="s">
        <v>73</v>
      </c>
      <c r="D35" s="441"/>
      <c r="E35" s="31">
        <v>26.2</v>
      </c>
      <c r="F35" s="314">
        <v>4400</v>
      </c>
      <c r="G35" s="304">
        <f t="shared" ref="G35:G44" si="48">E35*F35</f>
        <v>115280</v>
      </c>
      <c r="H35" s="315">
        <v>2</v>
      </c>
      <c r="I35" s="312">
        <v>18</v>
      </c>
      <c r="J35" s="26">
        <v>2400</v>
      </c>
      <c r="K35" s="10">
        <f>J35/I35</f>
        <v>133.33333333333334</v>
      </c>
      <c r="L35" s="312">
        <v>18</v>
      </c>
      <c r="M35" s="11">
        <f>F35/V35*60</f>
        <v>2275.8620689655172</v>
      </c>
      <c r="N35" s="10">
        <f>M35/L35</f>
        <v>126.43678160919541</v>
      </c>
      <c r="O35" s="12">
        <f t="shared" ref="O35:O44" si="49">L35-I35</f>
        <v>0</v>
      </c>
      <c r="P35" s="13">
        <f t="shared" ref="P35:P52" si="50">N35-K35</f>
        <v>-6.8965517241379359</v>
      </c>
      <c r="Q35" s="306">
        <f t="shared" ref="Q35:Q49" si="51">N35/K35</f>
        <v>0.94827586206896552</v>
      </c>
      <c r="R35" s="442">
        <f>Q45</f>
        <v>0.95015751334395881</v>
      </c>
      <c r="S35" s="28">
        <v>8.3333333333333329E-2</v>
      </c>
      <c r="T35" s="28">
        <v>0.16388888888888889</v>
      </c>
      <c r="U35" s="304"/>
      <c r="V35" s="313">
        <f t="shared" ref="V35:V44" si="52">(T35-S35)*24*60</f>
        <v>116.00000000000001</v>
      </c>
      <c r="W35" s="18">
        <f>T35</f>
        <v>0.16388888888888889</v>
      </c>
      <c r="X35" s="18">
        <f>S36</f>
        <v>0.18263888888888888</v>
      </c>
      <c r="Y35" s="443"/>
      <c r="Z35" s="443"/>
      <c r="AA35" s="12">
        <f t="shared" si="2"/>
        <v>-124.13793103448279</v>
      </c>
      <c r="AB35" s="306">
        <f>M35/J35</f>
        <v>0.94827586206896552</v>
      </c>
      <c r="AC35" s="442">
        <f>AB45</f>
        <v>0.9501575133439587</v>
      </c>
    </row>
    <row r="36" spans="1:29" ht="15.75" customHeight="1">
      <c r="A36" s="461" t="s">
        <v>1390</v>
      </c>
      <c r="B36" s="31" t="s">
        <v>67</v>
      </c>
      <c r="C36" s="441" t="s">
        <v>74</v>
      </c>
      <c r="D36" s="441"/>
      <c r="E36" s="31">
        <v>24.45</v>
      </c>
      <c r="F36" s="314">
        <v>2429</v>
      </c>
      <c r="G36" s="304">
        <f t="shared" si="48"/>
        <v>59389.049999999996</v>
      </c>
      <c r="H36" s="315" t="s">
        <v>103</v>
      </c>
      <c r="I36" s="312">
        <v>20</v>
      </c>
      <c r="J36" s="26">
        <v>2400</v>
      </c>
      <c r="K36" s="10">
        <f t="shared" ref="K36:K51" si="53">J36/I36</f>
        <v>120</v>
      </c>
      <c r="L36" s="312">
        <v>20</v>
      </c>
      <c r="M36" s="11">
        <f t="shared" ref="M36:M44" si="54">F36/V36*60</f>
        <v>2277.1874999999995</v>
      </c>
      <c r="N36" s="10">
        <f t="shared" ref="N36:N44" si="55">M36/L36</f>
        <v>113.85937499999997</v>
      </c>
      <c r="O36" s="12">
        <f t="shared" si="49"/>
        <v>0</v>
      </c>
      <c r="P36" s="13">
        <f t="shared" si="50"/>
        <v>-6.1406250000000284</v>
      </c>
      <c r="Q36" s="306">
        <f t="shared" si="51"/>
        <v>0.9488281249999998</v>
      </c>
      <c r="R36" s="442"/>
      <c r="S36" s="28">
        <v>0.18263888888888888</v>
      </c>
      <c r="T36" s="28">
        <v>0.22708333333333333</v>
      </c>
      <c r="U36" s="304">
        <f>(S36-T35)*24*60</f>
        <v>26.999999999999986</v>
      </c>
      <c r="V36" s="313">
        <f t="shared" si="52"/>
        <v>64.000000000000014</v>
      </c>
      <c r="W36" s="304"/>
      <c r="X36" s="304"/>
      <c r="Y36" s="443"/>
      <c r="Z36" s="443"/>
      <c r="AA36" s="12">
        <f t="shared" si="2"/>
        <v>-122.81250000000045</v>
      </c>
      <c r="AB36" s="306">
        <f t="shared" ref="AB36:AB64" si="56">M36/J36</f>
        <v>0.9488281249999998</v>
      </c>
      <c r="AC36" s="442"/>
    </row>
    <row r="37" spans="1:29">
      <c r="A37" s="462" t="s">
        <v>1390</v>
      </c>
      <c r="B37" s="31" t="s">
        <v>67</v>
      </c>
      <c r="C37" s="441" t="s">
        <v>75</v>
      </c>
      <c r="D37" s="441"/>
      <c r="E37" s="31">
        <v>26.39</v>
      </c>
      <c r="F37" s="314">
        <v>4200</v>
      </c>
      <c r="G37" s="304">
        <f t="shared" si="48"/>
        <v>110838</v>
      </c>
      <c r="H37" s="315">
        <v>2</v>
      </c>
      <c r="I37" s="312">
        <v>19</v>
      </c>
      <c r="J37" s="26">
        <v>2400</v>
      </c>
      <c r="K37" s="10">
        <f t="shared" si="53"/>
        <v>126.31578947368421</v>
      </c>
      <c r="L37" s="312">
        <v>19</v>
      </c>
      <c r="M37" s="11">
        <f t="shared" si="54"/>
        <v>2290.9090909090914</v>
      </c>
      <c r="N37" s="10">
        <f t="shared" si="55"/>
        <v>120.57416267942587</v>
      </c>
      <c r="O37" s="12">
        <f t="shared" si="49"/>
        <v>0</v>
      </c>
      <c r="P37" s="13">
        <f t="shared" si="50"/>
        <v>-5.7416267942583374</v>
      </c>
      <c r="Q37" s="306">
        <f t="shared" si="51"/>
        <v>0.95454545454545481</v>
      </c>
      <c r="R37" s="442"/>
      <c r="S37" s="28">
        <v>0.23055555555555554</v>
      </c>
      <c r="T37" s="28">
        <v>0.30694444444444441</v>
      </c>
      <c r="U37" s="304">
        <f t="shared" ref="U37:U44" si="57">(S37-T36)*24*60</f>
        <v>4.9999999999999822</v>
      </c>
      <c r="V37" s="313">
        <f t="shared" si="52"/>
        <v>109.99999999999997</v>
      </c>
      <c r="W37" s="304"/>
      <c r="X37" s="304"/>
      <c r="Y37" s="443"/>
      <c r="Z37" s="443"/>
      <c r="AA37" s="12">
        <f t="shared" si="2"/>
        <v>-109.09090909090855</v>
      </c>
      <c r="AB37" s="306">
        <f t="shared" si="56"/>
        <v>0.95454545454545481</v>
      </c>
      <c r="AC37" s="442"/>
    </row>
    <row r="38" spans="1:29">
      <c r="A38" s="462" t="s">
        <v>1390</v>
      </c>
      <c r="B38" s="31" t="s">
        <v>67</v>
      </c>
      <c r="C38" s="441" t="s">
        <v>76</v>
      </c>
      <c r="D38" s="441"/>
      <c r="E38" s="31">
        <v>20.52</v>
      </c>
      <c r="F38" s="314">
        <v>2200</v>
      </c>
      <c r="G38" s="304">
        <f t="shared" si="48"/>
        <v>45144</v>
      </c>
      <c r="H38" s="315">
        <v>2</v>
      </c>
      <c r="I38" s="312">
        <v>18</v>
      </c>
      <c r="J38" s="26">
        <v>2400</v>
      </c>
      <c r="K38" s="10">
        <f t="shared" si="53"/>
        <v>133.33333333333334</v>
      </c>
      <c r="L38" s="312">
        <v>18</v>
      </c>
      <c r="M38" s="11">
        <f t="shared" si="54"/>
        <v>2275.8620689655158</v>
      </c>
      <c r="N38" s="10">
        <f t="shared" si="55"/>
        <v>126.43678160919532</v>
      </c>
      <c r="O38" s="12">
        <f t="shared" si="49"/>
        <v>0</v>
      </c>
      <c r="P38" s="13">
        <f t="shared" si="50"/>
        <v>-6.8965517241380212</v>
      </c>
      <c r="Q38" s="306">
        <f t="shared" si="51"/>
        <v>0.94827586206896486</v>
      </c>
      <c r="R38" s="442"/>
      <c r="S38" s="28">
        <v>0.31249999999999994</v>
      </c>
      <c r="T38" s="28">
        <v>0.35277777777777775</v>
      </c>
      <c r="U38" s="304">
        <f t="shared" si="57"/>
        <v>7.9999999999999716</v>
      </c>
      <c r="V38" s="313">
        <f t="shared" si="52"/>
        <v>58.000000000000036</v>
      </c>
      <c r="W38" s="16"/>
      <c r="X38" s="16"/>
      <c r="Y38" s="443"/>
      <c r="Z38" s="443"/>
      <c r="AA38" s="12">
        <f t="shared" si="2"/>
        <v>-124.13793103448415</v>
      </c>
      <c r="AB38" s="306">
        <f t="shared" si="56"/>
        <v>0.94827586206896497</v>
      </c>
      <c r="AC38" s="442"/>
    </row>
    <row r="39" spans="1:29">
      <c r="A39" s="462" t="s">
        <v>1390</v>
      </c>
      <c r="B39" s="31" t="s">
        <v>67</v>
      </c>
      <c r="C39" s="441" t="s">
        <v>1167</v>
      </c>
      <c r="D39" s="441"/>
      <c r="E39" s="31">
        <v>23.34</v>
      </c>
      <c r="F39" s="314">
        <v>4700</v>
      </c>
      <c r="G39" s="304">
        <f t="shared" si="48"/>
        <v>109698</v>
      </c>
      <c r="H39" s="315">
        <v>2</v>
      </c>
      <c r="I39" s="312">
        <v>15</v>
      </c>
      <c r="J39" s="26">
        <v>2400</v>
      </c>
      <c r="K39" s="10">
        <f t="shared" si="53"/>
        <v>160</v>
      </c>
      <c r="L39" s="312">
        <v>15</v>
      </c>
      <c r="M39" s="11">
        <f t="shared" si="54"/>
        <v>2274.1935483870961</v>
      </c>
      <c r="N39" s="10">
        <f t="shared" si="55"/>
        <v>151.61290322580641</v>
      </c>
      <c r="O39" s="12">
        <f t="shared" si="49"/>
        <v>0</v>
      </c>
      <c r="P39" s="13">
        <f t="shared" si="50"/>
        <v>-8.3870967741935942</v>
      </c>
      <c r="Q39" s="306">
        <f t="shared" si="51"/>
        <v>0.94758064516129004</v>
      </c>
      <c r="R39" s="442"/>
      <c r="S39" s="28">
        <v>0.3569444444444444</v>
      </c>
      <c r="T39" s="28">
        <v>0.44305555555555554</v>
      </c>
      <c r="U39" s="304">
        <f t="shared" si="57"/>
        <v>5.9999999999999787</v>
      </c>
      <c r="V39" s="313">
        <f t="shared" si="52"/>
        <v>124.00000000000004</v>
      </c>
      <c r="W39" s="16"/>
      <c r="X39" s="16"/>
      <c r="Y39" s="443"/>
      <c r="Z39" s="443"/>
      <c r="AA39" s="12">
        <f t="shared" si="2"/>
        <v>-125.80645161290386</v>
      </c>
      <c r="AB39" s="306">
        <f t="shared" si="56"/>
        <v>0.94758064516129004</v>
      </c>
      <c r="AC39" s="442"/>
    </row>
    <row r="40" spans="1:29">
      <c r="A40" s="462" t="s">
        <v>1390</v>
      </c>
      <c r="B40" s="31" t="s">
        <v>67</v>
      </c>
      <c r="C40" s="441" t="s">
        <v>71</v>
      </c>
      <c r="D40" s="441"/>
      <c r="E40" s="31">
        <v>22.35</v>
      </c>
      <c r="F40" s="314">
        <v>2173</v>
      </c>
      <c r="G40" s="304">
        <f t="shared" si="48"/>
        <v>48566.55</v>
      </c>
      <c r="H40" s="315" t="s">
        <v>103</v>
      </c>
      <c r="I40" s="312">
        <v>16</v>
      </c>
      <c r="J40" s="26">
        <v>2400</v>
      </c>
      <c r="K40" s="10">
        <f t="shared" si="53"/>
        <v>150</v>
      </c>
      <c r="L40" s="312">
        <v>16</v>
      </c>
      <c r="M40" s="11">
        <f t="shared" si="54"/>
        <v>2287.3684210526335</v>
      </c>
      <c r="N40" s="10">
        <f t="shared" si="55"/>
        <v>142.96052631578959</v>
      </c>
      <c r="O40" s="12">
        <f t="shared" si="49"/>
        <v>0</v>
      </c>
      <c r="P40" s="13">
        <f t="shared" si="50"/>
        <v>-7.0394736842104066</v>
      </c>
      <c r="Q40" s="306">
        <f t="shared" si="51"/>
        <v>0.95307017543859729</v>
      </c>
      <c r="R40" s="442"/>
      <c r="S40" s="28">
        <v>0.44722222222222219</v>
      </c>
      <c r="T40" s="28">
        <v>0.48680555555555549</v>
      </c>
      <c r="U40" s="304">
        <f t="shared" si="57"/>
        <v>5.9999999999999787</v>
      </c>
      <c r="V40" s="313">
        <f t="shared" si="52"/>
        <v>56.999999999999957</v>
      </c>
      <c r="W40" s="16">
        <f>T40</f>
        <v>0.48680555555555549</v>
      </c>
      <c r="X40" s="16">
        <f>S41</f>
        <v>0.52499999999999991</v>
      </c>
      <c r="Y40" s="443"/>
      <c r="Z40" s="443"/>
      <c r="AA40" s="12">
        <f t="shared" si="2"/>
        <v>-112.63157894736651</v>
      </c>
      <c r="AB40" s="306">
        <f t="shared" si="56"/>
        <v>0.95307017543859729</v>
      </c>
      <c r="AC40" s="442"/>
    </row>
    <row r="41" spans="1:29">
      <c r="A41" s="462" t="s">
        <v>1390</v>
      </c>
      <c r="B41" s="31" t="s">
        <v>67</v>
      </c>
      <c r="C41" s="441" t="s">
        <v>75</v>
      </c>
      <c r="D41" s="441"/>
      <c r="E41" s="31">
        <v>26.39</v>
      </c>
      <c r="F41" s="314">
        <v>2619</v>
      </c>
      <c r="G41" s="304">
        <f t="shared" si="48"/>
        <v>69115.41</v>
      </c>
      <c r="H41" s="315" t="s">
        <v>103</v>
      </c>
      <c r="I41" s="312">
        <v>19</v>
      </c>
      <c r="J41" s="26">
        <v>2400</v>
      </c>
      <c r="K41" s="10">
        <f t="shared" si="53"/>
        <v>126.31578947368421</v>
      </c>
      <c r="L41" s="312">
        <v>19</v>
      </c>
      <c r="M41" s="11">
        <f t="shared" si="54"/>
        <v>2277.3913043478287</v>
      </c>
      <c r="N41" s="10">
        <f t="shared" si="55"/>
        <v>119.86270022883309</v>
      </c>
      <c r="O41" s="12">
        <f t="shared" si="49"/>
        <v>0</v>
      </c>
      <c r="P41" s="13">
        <f t="shared" si="50"/>
        <v>-6.4530892448511139</v>
      </c>
      <c r="Q41" s="306">
        <f t="shared" si="51"/>
        <v>0.948913043478262</v>
      </c>
      <c r="R41" s="442"/>
      <c r="S41" s="28">
        <v>0.52499999999999991</v>
      </c>
      <c r="T41" s="28">
        <v>0.57291666666666652</v>
      </c>
      <c r="U41" s="304">
        <f t="shared" si="57"/>
        <v>54.999999999999964</v>
      </c>
      <c r="V41" s="313">
        <f t="shared" si="52"/>
        <v>68.999999999999915</v>
      </c>
      <c r="W41" s="16"/>
      <c r="X41" s="16"/>
      <c r="Y41" s="447"/>
      <c r="Z41" s="448"/>
      <c r="AA41" s="12">
        <f t="shared" si="2"/>
        <v>-122.60869565217126</v>
      </c>
      <c r="AB41" s="306">
        <f t="shared" si="56"/>
        <v>0.948913043478262</v>
      </c>
      <c r="AC41" s="442"/>
    </row>
    <row r="42" spans="1:29">
      <c r="A42" s="462" t="s">
        <v>1390</v>
      </c>
      <c r="B42" s="31" t="s">
        <v>67</v>
      </c>
      <c r="C42" s="441" t="s">
        <v>1167</v>
      </c>
      <c r="D42" s="441"/>
      <c r="E42" s="31">
        <v>23.34</v>
      </c>
      <c r="F42" s="314">
        <v>3303</v>
      </c>
      <c r="G42" s="304">
        <f t="shared" si="48"/>
        <v>77092.02</v>
      </c>
      <c r="H42" s="315" t="s">
        <v>103</v>
      </c>
      <c r="I42" s="312">
        <v>15</v>
      </c>
      <c r="J42" s="26">
        <v>2400</v>
      </c>
      <c r="K42" s="10">
        <f t="shared" si="53"/>
        <v>160</v>
      </c>
      <c r="L42" s="312">
        <v>15</v>
      </c>
      <c r="M42" s="11">
        <f t="shared" si="54"/>
        <v>2277.9310344827582</v>
      </c>
      <c r="N42" s="10">
        <f t="shared" si="55"/>
        <v>151.86206896551721</v>
      </c>
      <c r="O42" s="12">
        <f t="shared" si="49"/>
        <v>0</v>
      </c>
      <c r="P42" s="13">
        <f t="shared" si="50"/>
        <v>-8.13793103448279</v>
      </c>
      <c r="Q42" s="306">
        <f t="shared" si="51"/>
        <v>0.94913793103448252</v>
      </c>
      <c r="R42" s="442"/>
      <c r="S42" s="28">
        <v>0.57847222222222205</v>
      </c>
      <c r="T42" s="28">
        <v>0.63888888888888873</v>
      </c>
      <c r="U42" s="304">
        <f t="shared" si="57"/>
        <v>7.9999999999999716</v>
      </c>
      <c r="V42" s="313">
        <f t="shared" si="52"/>
        <v>87.000000000000014</v>
      </c>
      <c r="W42" s="16"/>
      <c r="X42" s="16"/>
      <c r="Y42" s="447"/>
      <c r="Z42" s="448"/>
      <c r="AA42" s="12">
        <f t="shared" si="2"/>
        <v>-122.06896551724185</v>
      </c>
      <c r="AB42" s="306">
        <f t="shared" si="56"/>
        <v>0.94913793103448252</v>
      </c>
      <c r="AC42" s="442"/>
    </row>
    <row r="43" spans="1:29">
      <c r="A43" s="462" t="s">
        <v>1390</v>
      </c>
      <c r="B43" s="31" t="s">
        <v>67</v>
      </c>
      <c r="C43" s="441" t="s">
        <v>76</v>
      </c>
      <c r="D43" s="441"/>
      <c r="E43" s="31">
        <v>20.52</v>
      </c>
      <c r="F43" s="314">
        <v>1448</v>
      </c>
      <c r="G43" s="304">
        <f t="shared" si="48"/>
        <v>29712.959999999999</v>
      </c>
      <c r="H43" s="315" t="s">
        <v>103</v>
      </c>
      <c r="I43" s="312">
        <v>18</v>
      </c>
      <c r="J43" s="26">
        <v>2400</v>
      </c>
      <c r="K43" s="10">
        <f t="shared" si="53"/>
        <v>133.33333333333334</v>
      </c>
      <c r="L43" s="312">
        <v>18</v>
      </c>
      <c r="M43" s="11">
        <f t="shared" si="54"/>
        <v>2286.3157894736828</v>
      </c>
      <c r="N43" s="10">
        <f t="shared" si="55"/>
        <v>127.01754385964904</v>
      </c>
      <c r="O43" s="12">
        <f t="shared" si="49"/>
        <v>0</v>
      </c>
      <c r="P43" s="13">
        <f t="shared" si="50"/>
        <v>-6.3157894736843048</v>
      </c>
      <c r="Q43" s="306">
        <f t="shared" si="51"/>
        <v>0.95263157894736772</v>
      </c>
      <c r="R43" s="442"/>
      <c r="S43" s="28">
        <v>0.64444444444444426</v>
      </c>
      <c r="T43" s="28">
        <v>0.67083333333333317</v>
      </c>
      <c r="U43" s="304">
        <f t="shared" si="57"/>
        <v>7.9999999999999716</v>
      </c>
      <c r="V43" s="313">
        <f t="shared" si="52"/>
        <v>38.000000000000028</v>
      </c>
      <c r="W43" s="16"/>
      <c r="X43" s="16"/>
      <c r="Y43" s="447"/>
      <c r="Z43" s="448"/>
      <c r="AA43" s="12">
        <f t="shared" si="2"/>
        <v>-113.6842105263172</v>
      </c>
      <c r="AB43" s="306">
        <f t="shared" si="56"/>
        <v>0.95263157894736783</v>
      </c>
      <c r="AC43" s="442"/>
    </row>
    <row r="44" spans="1:29">
      <c r="A44" s="462" t="s">
        <v>1390</v>
      </c>
      <c r="B44" s="31" t="s">
        <v>67</v>
      </c>
      <c r="C44" s="441" t="s">
        <v>73</v>
      </c>
      <c r="D44" s="441"/>
      <c r="E44" s="31">
        <v>26.2</v>
      </c>
      <c r="F44" s="314">
        <v>3003</v>
      </c>
      <c r="G44" s="304">
        <f t="shared" si="48"/>
        <v>78678.599999999991</v>
      </c>
      <c r="H44" s="315" t="s">
        <v>103</v>
      </c>
      <c r="I44" s="312">
        <v>18</v>
      </c>
      <c r="J44" s="26">
        <v>2400</v>
      </c>
      <c r="K44" s="10">
        <f t="shared" si="53"/>
        <v>133.33333333333334</v>
      </c>
      <c r="L44" s="312">
        <v>18</v>
      </c>
      <c r="M44" s="11">
        <f t="shared" si="54"/>
        <v>2280.7594936708847</v>
      </c>
      <c r="N44" s="10">
        <f t="shared" si="55"/>
        <v>126.70886075949359</v>
      </c>
      <c r="O44" s="12">
        <f t="shared" si="49"/>
        <v>0</v>
      </c>
      <c r="P44" s="13">
        <f t="shared" si="50"/>
        <v>-6.6244725738397534</v>
      </c>
      <c r="Q44" s="306">
        <f t="shared" si="51"/>
        <v>0.95031645569620182</v>
      </c>
      <c r="R44" s="442"/>
      <c r="S44" s="28">
        <v>0.67638888888888871</v>
      </c>
      <c r="T44" s="28">
        <v>0.73124999999999984</v>
      </c>
      <c r="U44" s="304">
        <f t="shared" si="57"/>
        <v>7.9999999999999716</v>
      </c>
      <c r="V44" s="313">
        <f t="shared" si="52"/>
        <v>79.000000000000043</v>
      </c>
      <c r="W44" s="16"/>
      <c r="X44" s="16"/>
      <c r="Y44" s="447"/>
      <c r="Z44" s="448"/>
      <c r="AA44" s="12">
        <f t="shared" si="2"/>
        <v>-119.24050632911531</v>
      </c>
      <c r="AB44" s="306">
        <f t="shared" si="56"/>
        <v>0.95031645569620193</v>
      </c>
      <c r="AC44" s="442"/>
    </row>
    <row r="45" spans="1:29">
      <c r="A45" s="462" t="s">
        <v>1390</v>
      </c>
      <c r="B45" s="33" t="s">
        <v>1387</v>
      </c>
      <c r="C45" s="446"/>
      <c r="D45" s="446"/>
      <c r="E45" s="305"/>
      <c r="F45" s="33"/>
      <c r="G45" s="10"/>
      <c r="H45" s="314"/>
      <c r="I45" s="19">
        <v>17.600000000000001</v>
      </c>
      <c r="J45" s="26">
        <v>2400</v>
      </c>
      <c r="K45" s="10">
        <f t="shared" si="53"/>
        <v>136.36363636363635</v>
      </c>
      <c r="L45" s="19">
        <v>17.600000000000001</v>
      </c>
      <c r="M45" s="11">
        <f>AVERAGE(M35:M44)</f>
        <v>2280.3780320255009</v>
      </c>
      <c r="N45" s="10">
        <f>M45/L45</f>
        <v>129.56693363781255</v>
      </c>
      <c r="O45" s="12">
        <f>L45-I45</f>
        <v>0</v>
      </c>
      <c r="P45" s="13">
        <f t="shared" si="50"/>
        <v>-6.796702725823792</v>
      </c>
      <c r="Q45" s="306">
        <f t="shared" si="51"/>
        <v>0.95015751334395881</v>
      </c>
      <c r="R45" s="442"/>
      <c r="S45" s="28"/>
      <c r="T45" s="28"/>
      <c r="U45" s="10"/>
      <c r="V45" s="313"/>
      <c r="W45" s="10"/>
      <c r="X45" s="10"/>
      <c r="Y45" s="443"/>
      <c r="Z45" s="443"/>
      <c r="AA45" s="12">
        <f t="shared" si="2"/>
        <v>-119.62196797449906</v>
      </c>
      <c r="AB45" s="306">
        <f t="shared" si="56"/>
        <v>0.9501575133439587</v>
      </c>
      <c r="AC45" s="442"/>
    </row>
    <row r="46" spans="1:29" ht="15.75" customHeight="1">
      <c r="A46" s="453" t="s">
        <v>1391</v>
      </c>
      <c r="B46" s="31" t="s">
        <v>79</v>
      </c>
      <c r="C46" s="444" t="s">
        <v>80</v>
      </c>
      <c r="D46" s="445"/>
      <c r="E46" s="31">
        <v>21.13</v>
      </c>
      <c r="F46" s="314">
        <v>5324</v>
      </c>
      <c r="G46" s="304">
        <f t="shared" ref="G46:G51" si="58">E46*F46</f>
        <v>112496.12</v>
      </c>
      <c r="H46" s="315" t="s">
        <v>103</v>
      </c>
      <c r="I46" s="312">
        <v>10</v>
      </c>
      <c r="J46" s="26">
        <v>3000</v>
      </c>
      <c r="K46" s="10">
        <f t="shared" si="53"/>
        <v>300</v>
      </c>
      <c r="L46" s="312">
        <v>10</v>
      </c>
      <c r="M46" s="11">
        <f t="shared" ref="M46:M47" si="59">F46/V46*60</f>
        <v>2852.1428571428578</v>
      </c>
      <c r="N46" s="11">
        <f t="shared" ref="N46:N52" si="60">M46/L46</f>
        <v>285.21428571428578</v>
      </c>
      <c r="O46" s="12">
        <f t="shared" ref="O46:O52" si="61">L46-I46</f>
        <v>0</v>
      </c>
      <c r="P46" s="13">
        <f t="shared" si="50"/>
        <v>-14.785714285714221</v>
      </c>
      <c r="Q46" s="306">
        <f t="shared" si="51"/>
        <v>0.95071428571428596</v>
      </c>
      <c r="R46" s="456">
        <f>Q52</f>
        <v>0.95089929911358473</v>
      </c>
      <c r="S46" s="28">
        <v>8.3333333333333329E-2</v>
      </c>
      <c r="T46" s="28">
        <v>0.16111111111111109</v>
      </c>
      <c r="U46" s="18"/>
      <c r="V46" s="313">
        <f t="shared" ref="V46:V51" si="62">(T46-S46)*24*60</f>
        <v>111.99999999999997</v>
      </c>
      <c r="W46" s="16">
        <f>T46</f>
        <v>0.16111111111111109</v>
      </c>
      <c r="X46" s="16">
        <f>S47</f>
        <v>0.18055555555555552</v>
      </c>
      <c r="Y46" s="447"/>
      <c r="Z46" s="448"/>
      <c r="AA46" s="12">
        <f t="shared" si="2"/>
        <v>-147.85714285714221</v>
      </c>
      <c r="AB46" s="306">
        <f t="shared" si="56"/>
        <v>0.95071428571428596</v>
      </c>
      <c r="AC46" s="456">
        <f>AB52</f>
        <v>0.95089929911358484</v>
      </c>
    </row>
    <row r="47" spans="1:29" ht="15.75" customHeight="1">
      <c r="A47" s="454" t="s">
        <v>1391</v>
      </c>
      <c r="B47" s="31" t="s">
        <v>79</v>
      </c>
      <c r="C47" s="444" t="s">
        <v>81</v>
      </c>
      <c r="D47" s="445"/>
      <c r="E47" s="31">
        <v>27.17</v>
      </c>
      <c r="F47" s="314">
        <v>6527</v>
      </c>
      <c r="G47" s="304">
        <f t="shared" si="58"/>
        <v>177338.59000000003</v>
      </c>
      <c r="H47" s="315" t="s">
        <v>103</v>
      </c>
      <c r="I47" s="312">
        <v>10</v>
      </c>
      <c r="J47" s="26">
        <v>3000</v>
      </c>
      <c r="K47" s="10">
        <f t="shared" si="53"/>
        <v>300</v>
      </c>
      <c r="L47" s="312">
        <v>10</v>
      </c>
      <c r="M47" s="11">
        <f t="shared" si="59"/>
        <v>2837.8260869565215</v>
      </c>
      <c r="N47" s="11">
        <f t="shared" si="60"/>
        <v>283.78260869565213</v>
      </c>
      <c r="O47" s="12">
        <f t="shared" si="61"/>
        <v>0</v>
      </c>
      <c r="P47" s="13">
        <f t="shared" si="50"/>
        <v>-16.217391304347871</v>
      </c>
      <c r="Q47" s="306">
        <f t="shared" si="51"/>
        <v>0.94594202898550706</v>
      </c>
      <c r="R47" s="457"/>
      <c r="S47" s="28">
        <v>0.18055555555555552</v>
      </c>
      <c r="T47" s="28">
        <v>0.27638888888888885</v>
      </c>
      <c r="U47" s="304">
        <f>(S47-T46)*24*60</f>
        <v>27.999999999999979</v>
      </c>
      <c r="V47" s="313">
        <f t="shared" si="62"/>
        <v>138</v>
      </c>
      <c r="W47" s="16"/>
      <c r="X47" s="16"/>
      <c r="Y47" s="447"/>
      <c r="Z47" s="448"/>
      <c r="AA47" s="12">
        <f t="shared" si="2"/>
        <v>-162.17391304347848</v>
      </c>
      <c r="AB47" s="306">
        <f t="shared" si="56"/>
        <v>0.94594202898550717</v>
      </c>
      <c r="AC47" s="457"/>
    </row>
    <row r="48" spans="1:29" ht="15.75" customHeight="1">
      <c r="A48" s="454" t="s">
        <v>1391</v>
      </c>
      <c r="B48" s="31" t="s">
        <v>79</v>
      </c>
      <c r="C48" s="444" t="s">
        <v>82</v>
      </c>
      <c r="D48" s="445"/>
      <c r="E48" s="31">
        <v>35.119999999999997</v>
      </c>
      <c r="F48" s="314">
        <v>4637</v>
      </c>
      <c r="G48" s="304">
        <f t="shared" si="58"/>
        <v>162851.44</v>
      </c>
      <c r="H48" s="315" t="s">
        <v>103</v>
      </c>
      <c r="I48" s="312">
        <v>10</v>
      </c>
      <c r="J48" s="26">
        <v>3000</v>
      </c>
      <c r="K48" s="10">
        <f t="shared" si="53"/>
        <v>300</v>
      </c>
      <c r="L48" s="312">
        <v>10</v>
      </c>
      <c r="M48" s="11">
        <f>F48/V48*60</f>
        <v>2838.9795918367354</v>
      </c>
      <c r="N48" s="11">
        <f t="shared" si="60"/>
        <v>283.89795918367355</v>
      </c>
      <c r="O48" s="12">
        <f t="shared" si="61"/>
        <v>0</v>
      </c>
      <c r="P48" s="13">
        <f t="shared" si="50"/>
        <v>-16.102040816326451</v>
      </c>
      <c r="Q48" s="306">
        <f t="shared" si="51"/>
        <v>0.94632653061224514</v>
      </c>
      <c r="R48" s="457"/>
      <c r="S48" s="28">
        <v>0.28124999999999994</v>
      </c>
      <c r="T48" s="28">
        <v>0.34930555555555548</v>
      </c>
      <c r="U48" s="304">
        <f t="shared" ref="U48:U51" si="63">(S48-T47)*24*60</f>
        <v>6.9999999999999751</v>
      </c>
      <c r="V48" s="313">
        <f t="shared" si="62"/>
        <v>97.999999999999972</v>
      </c>
      <c r="W48" s="16"/>
      <c r="X48" s="16"/>
      <c r="Y48" s="447"/>
      <c r="Z48" s="448"/>
      <c r="AA48" s="12">
        <f t="shared" si="2"/>
        <v>-161.02040816326462</v>
      </c>
      <c r="AB48" s="306">
        <f t="shared" si="56"/>
        <v>0.94632653061224514</v>
      </c>
      <c r="AC48" s="457"/>
    </row>
    <row r="49" spans="1:29" ht="15.75" customHeight="1">
      <c r="A49" s="454" t="s">
        <v>1391</v>
      </c>
      <c r="B49" s="31" t="s">
        <v>79</v>
      </c>
      <c r="C49" s="444" t="s">
        <v>85</v>
      </c>
      <c r="D49" s="445"/>
      <c r="E49" s="31">
        <v>35.869999999999997</v>
      </c>
      <c r="F49" s="314">
        <v>3161</v>
      </c>
      <c r="G49" s="304">
        <f t="shared" si="58"/>
        <v>113385.06999999999</v>
      </c>
      <c r="H49" s="315" t="s">
        <v>103</v>
      </c>
      <c r="I49" s="312">
        <v>10</v>
      </c>
      <c r="J49" s="26">
        <v>3000</v>
      </c>
      <c r="K49" s="10">
        <f t="shared" si="53"/>
        <v>300</v>
      </c>
      <c r="L49" s="312">
        <v>10</v>
      </c>
      <c r="M49" s="11">
        <f t="shared" ref="M49:M51" si="64">F49/V49*60</f>
        <v>2873.6363636363635</v>
      </c>
      <c r="N49" s="11">
        <f t="shared" si="60"/>
        <v>287.36363636363637</v>
      </c>
      <c r="O49" s="12">
        <f t="shared" si="61"/>
        <v>0</v>
      </c>
      <c r="P49" s="13">
        <f t="shared" si="50"/>
        <v>-12.636363636363626</v>
      </c>
      <c r="Q49" s="306">
        <f t="shared" si="51"/>
        <v>0.95787878787878789</v>
      </c>
      <c r="R49" s="457"/>
      <c r="S49" s="28">
        <v>0.35277777777777769</v>
      </c>
      <c r="T49" s="28">
        <v>0.39861111111111103</v>
      </c>
      <c r="U49" s="304">
        <f t="shared" si="63"/>
        <v>4.9999999999999822</v>
      </c>
      <c r="V49" s="313">
        <f t="shared" si="62"/>
        <v>66</v>
      </c>
      <c r="W49" s="16"/>
      <c r="X49" s="16"/>
      <c r="Y49" s="447"/>
      <c r="Z49" s="448"/>
      <c r="AA49" s="12">
        <f t="shared" si="2"/>
        <v>-126.36363636363649</v>
      </c>
      <c r="AB49" s="306">
        <f t="shared" si="56"/>
        <v>0.95787878787878789</v>
      </c>
      <c r="AC49" s="457"/>
    </row>
    <row r="50" spans="1:29" ht="15.75" customHeight="1">
      <c r="A50" s="454" t="s">
        <v>1391</v>
      </c>
      <c r="B50" s="31" t="s">
        <v>79</v>
      </c>
      <c r="C50" s="444" t="s">
        <v>86</v>
      </c>
      <c r="D50" s="445"/>
      <c r="E50" s="31">
        <v>36.14</v>
      </c>
      <c r="F50" s="314">
        <v>2179</v>
      </c>
      <c r="G50" s="304">
        <f t="shared" si="58"/>
        <v>78749.06</v>
      </c>
      <c r="H50" s="315" t="s">
        <v>103</v>
      </c>
      <c r="I50" s="312">
        <v>8</v>
      </c>
      <c r="J50" s="26">
        <v>3000</v>
      </c>
      <c r="K50" s="10">
        <f t="shared" si="53"/>
        <v>375</v>
      </c>
      <c r="L50" s="312">
        <v>8</v>
      </c>
      <c r="M50" s="11">
        <f t="shared" si="64"/>
        <v>2842.1739130434785</v>
      </c>
      <c r="N50" s="11">
        <f t="shared" si="60"/>
        <v>355.27173913043481</v>
      </c>
      <c r="O50" s="12">
        <f t="shared" si="61"/>
        <v>0</v>
      </c>
      <c r="P50" s="13">
        <f t="shared" si="50"/>
        <v>-19.72826086956519</v>
      </c>
      <c r="Q50" s="306">
        <f>N50/K50</f>
        <v>0.94739130434782615</v>
      </c>
      <c r="R50" s="457"/>
      <c r="S50" s="28">
        <v>0.40416666666666656</v>
      </c>
      <c r="T50" s="28">
        <v>0.43611111111111101</v>
      </c>
      <c r="U50" s="304">
        <f t="shared" si="63"/>
        <v>7.9999999999999716</v>
      </c>
      <c r="V50" s="313">
        <f t="shared" si="62"/>
        <v>46</v>
      </c>
      <c r="W50" s="16"/>
      <c r="X50" s="16"/>
      <c r="Y50" s="447"/>
      <c r="Z50" s="448"/>
      <c r="AA50" s="12">
        <f t="shared" si="2"/>
        <v>-157.82608695652152</v>
      </c>
      <c r="AB50" s="306">
        <f t="shared" si="56"/>
        <v>0.94739130434782615</v>
      </c>
      <c r="AC50" s="457"/>
    </row>
    <row r="51" spans="1:29" ht="15.75" customHeight="1">
      <c r="A51" s="454" t="s">
        <v>1391</v>
      </c>
      <c r="B51" s="31" t="s">
        <v>79</v>
      </c>
      <c r="C51" s="444" t="s">
        <v>95</v>
      </c>
      <c r="D51" s="445"/>
      <c r="E51" s="31">
        <v>35.369999999999997</v>
      </c>
      <c r="F51" s="314">
        <v>1675</v>
      </c>
      <c r="G51" s="304">
        <f t="shared" si="58"/>
        <v>59244.749999999993</v>
      </c>
      <c r="H51" s="315" t="s">
        <v>103</v>
      </c>
      <c r="I51" s="312">
        <v>10</v>
      </c>
      <c r="J51" s="26">
        <v>3000</v>
      </c>
      <c r="K51" s="10">
        <f t="shared" si="53"/>
        <v>300</v>
      </c>
      <c r="L51" s="312">
        <v>10</v>
      </c>
      <c r="M51" s="11">
        <f t="shared" si="64"/>
        <v>2871.4285714285688</v>
      </c>
      <c r="N51" s="11">
        <f t="shared" si="60"/>
        <v>287.14285714285688</v>
      </c>
      <c r="O51" s="12">
        <f t="shared" si="61"/>
        <v>0</v>
      </c>
      <c r="P51" s="13">
        <f t="shared" si="50"/>
        <v>-12.857142857143117</v>
      </c>
      <c r="Q51" s="306">
        <f t="shared" ref="Q51:Q52" si="65">N51/K51</f>
        <v>0.9571428571428563</v>
      </c>
      <c r="R51" s="457"/>
      <c r="S51" s="28">
        <v>0.43958333333333321</v>
      </c>
      <c r="T51" s="28">
        <v>0.4638888888888888</v>
      </c>
      <c r="U51" s="304">
        <f t="shared" si="63"/>
        <v>4.9999999999999822</v>
      </c>
      <c r="V51" s="313">
        <f t="shared" si="62"/>
        <v>35.000000000000036</v>
      </c>
      <c r="W51" s="16"/>
      <c r="X51" s="16"/>
      <c r="Y51" s="447"/>
      <c r="Z51" s="448"/>
      <c r="AA51" s="12">
        <f t="shared" si="2"/>
        <v>-128.57142857143117</v>
      </c>
      <c r="AB51" s="306">
        <f t="shared" si="56"/>
        <v>0.9571428571428563</v>
      </c>
      <c r="AC51" s="457"/>
    </row>
    <row r="52" spans="1:29" ht="15.75" customHeight="1">
      <c r="A52" s="455" t="s">
        <v>1391</v>
      </c>
      <c r="B52" s="31" t="s">
        <v>1387</v>
      </c>
      <c r="C52" s="459"/>
      <c r="D52" s="460"/>
      <c r="E52" s="311"/>
      <c r="F52" s="314"/>
      <c r="G52" s="304"/>
      <c r="H52" s="314"/>
      <c r="I52" s="19">
        <v>9.6666666666666661</v>
      </c>
      <c r="J52" s="26">
        <v>3000</v>
      </c>
      <c r="K52" s="10">
        <f>J52/I52</f>
        <v>310.34482758620692</v>
      </c>
      <c r="L52" s="19">
        <v>9.6666666666666661</v>
      </c>
      <c r="M52" s="11">
        <f>AVERAGE(M46:M51)</f>
        <v>2852.6978973407545</v>
      </c>
      <c r="N52" s="10">
        <f t="shared" si="60"/>
        <v>295.10667903525047</v>
      </c>
      <c r="O52" s="12">
        <f t="shared" si="61"/>
        <v>0</v>
      </c>
      <c r="P52" s="13">
        <f t="shared" si="50"/>
        <v>-15.238148550956453</v>
      </c>
      <c r="Q52" s="306">
        <f t="shared" si="65"/>
        <v>0.95089929911358473</v>
      </c>
      <c r="R52" s="458"/>
      <c r="S52" s="28"/>
      <c r="T52" s="28"/>
      <c r="U52" s="304"/>
      <c r="V52" s="313"/>
      <c r="W52" s="16"/>
      <c r="X52" s="16"/>
      <c r="Y52" s="447"/>
      <c r="Z52" s="448"/>
      <c r="AA52" s="12">
        <f t="shared" si="2"/>
        <v>-147.30210265924552</v>
      </c>
      <c r="AB52" s="306">
        <f t="shared" si="56"/>
        <v>0.95089929911358484</v>
      </c>
      <c r="AC52" s="458"/>
    </row>
    <row r="53" spans="1:29" ht="15.75" customHeight="1">
      <c r="A53" s="451" t="s">
        <v>1392</v>
      </c>
      <c r="B53" s="31" t="s">
        <v>53</v>
      </c>
      <c r="C53" s="441" t="s">
        <v>87</v>
      </c>
      <c r="D53" s="441"/>
      <c r="E53" s="31">
        <v>46</v>
      </c>
      <c r="F53" s="35">
        <v>3343</v>
      </c>
      <c r="G53" s="304">
        <f t="shared" ref="G53:G58" si="66">E53*F53</f>
        <v>153778</v>
      </c>
      <c r="H53" s="315" t="s">
        <v>103</v>
      </c>
      <c r="I53" s="312">
        <v>17</v>
      </c>
      <c r="J53" s="26">
        <v>2000</v>
      </c>
      <c r="K53" s="10">
        <f t="shared" ref="K53:K58" si="67">J53/I53</f>
        <v>117.64705882352941</v>
      </c>
      <c r="L53" s="312">
        <v>17</v>
      </c>
      <c r="M53" s="11">
        <f t="shared" ref="M53:M58" si="68">F53/V53*60</f>
        <v>1892.2641509433956</v>
      </c>
      <c r="N53" s="11">
        <f>M53/L53</f>
        <v>111.3096559378468</v>
      </c>
      <c r="O53" s="12">
        <f>L53-I53</f>
        <v>0</v>
      </c>
      <c r="P53" s="13">
        <f>N53-K53</f>
        <v>-6.3374028856826072</v>
      </c>
      <c r="Q53" s="306">
        <f>N53/K53</f>
        <v>0.94613207547169786</v>
      </c>
      <c r="R53" s="442">
        <f>Q59</f>
        <v>0.95189331515308495</v>
      </c>
      <c r="S53" s="28">
        <v>0.29166666666666669</v>
      </c>
      <c r="T53" s="28">
        <v>0.36527777777777781</v>
      </c>
      <c r="U53" s="18"/>
      <c r="V53" s="313">
        <f t="shared" ref="V53:V58" si="69">(T53-S53)*24*60</f>
        <v>106.00000000000003</v>
      </c>
      <c r="W53" s="18"/>
      <c r="X53" s="18"/>
      <c r="Y53" s="443"/>
      <c r="Z53" s="443"/>
      <c r="AA53" s="12">
        <f t="shared" si="2"/>
        <v>-107.73584905660437</v>
      </c>
      <c r="AB53" s="306">
        <f t="shared" si="56"/>
        <v>0.94613207547169786</v>
      </c>
      <c r="AC53" s="442">
        <f>AB59</f>
        <v>0.95189331515308495</v>
      </c>
    </row>
    <row r="54" spans="1:29" ht="15.75" customHeight="1">
      <c r="A54" s="451" t="s">
        <v>1392</v>
      </c>
      <c r="B54" s="31" t="s">
        <v>53</v>
      </c>
      <c r="C54" s="441" t="s">
        <v>88</v>
      </c>
      <c r="D54" s="441"/>
      <c r="E54" s="31">
        <v>46</v>
      </c>
      <c r="F54" s="35">
        <v>3392</v>
      </c>
      <c r="G54" s="304">
        <f t="shared" si="66"/>
        <v>156032</v>
      </c>
      <c r="H54" s="315" t="s">
        <v>103</v>
      </c>
      <c r="I54" s="312">
        <v>17</v>
      </c>
      <c r="J54" s="26">
        <v>2000</v>
      </c>
      <c r="K54" s="10">
        <f t="shared" si="67"/>
        <v>117.64705882352941</v>
      </c>
      <c r="L54" s="312">
        <v>17</v>
      </c>
      <c r="M54" s="11">
        <f t="shared" si="68"/>
        <v>1902.0560747663549</v>
      </c>
      <c r="N54" s="11">
        <f t="shared" ref="N54:N58" si="70">M54/L54</f>
        <v>111.8856514568444</v>
      </c>
      <c r="O54" s="12">
        <f t="shared" ref="O54:O58" si="71">L54-I54</f>
        <v>0</v>
      </c>
      <c r="P54" s="13">
        <f t="shared" ref="P54:P58" si="72">N54-K54</f>
        <v>-5.7614073666850061</v>
      </c>
      <c r="Q54" s="306">
        <f t="shared" ref="Q54:Q58" si="73">N54/K54</f>
        <v>0.95102803738317743</v>
      </c>
      <c r="R54" s="442"/>
      <c r="S54" s="28">
        <v>0.36875000000000002</v>
      </c>
      <c r="T54" s="28">
        <v>0.44305555555555559</v>
      </c>
      <c r="U54" s="304">
        <f>IF(S54=TIME(17,0,0),"",(S54-T53)*24*60)</f>
        <v>4.9999999999999822</v>
      </c>
      <c r="V54" s="313">
        <f t="shared" si="69"/>
        <v>107.00000000000001</v>
      </c>
      <c r="W54" s="16"/>
      <c r="X54" s="16"/>
      <c r="Y54" s="443"/>
      <c r="Z54" s="443"/>
      <c r="AA54" s="12">
        <f t="shared" si="2"/>
        <v>-97.943925233645132</v>
      </c>
      <c r="AB54" s="306">
        <f t="shared" si="56"/>
        <v>0.95102803738317743</v>
      </c>
      <c r="AC54" s="442"/>
    </row>
    <row r="55" spans="1:29" ht="15.75" customHeight="1">
      <c r="A55" s="451" t="s">
        <v>1392</v>
      </c>
      <c r="B55" s="31" t="s">
        <v>58</v>
      </c>
      <c r="C55" s="444" t="s">
        <v>168</v>
      </c>
      <c r="D55" s="445"/>
      <c r="E55" s="31">
        <v>54.09</v>
      </c>
      <c r="F55" s="35">
        <v>2186</v>
      </c>
      <c r="G55" s="304">
        <f t="shared" si="66"/>
        <v>118240.74</v>
      </c>
      <c r="H55" s="315" t="s">
        <v>103</v>
      </c>
      <c r="I55" s="312">
        <v>16</v>
      </c>
      <c r="J55" s="26">
        <v>2000</v>
      </c>
      <c r="K55" s="10">
        <f t="shared" si="67"/>
        <v>125</v>
      </c>
      <c r="L55" s="312">
        <v>16</v>
      </c>
      <c r="M55" s="11">
        <f t="shared" si="68"/>
        <v>1900.8695652173913</v>
      </c>
      <c r="N55" s="11">
        <f t="shared" si="70"/>
        <v>118.80434782608695</v>
      </c>
      <c r="O55" s="12">
        <f t="shared" si="71"/>
        <v>0</v>
      </c>
      <c r="P55" s="13">
        <f t="shared" si="72"/>
        <v>-6.1956521739130466</v>
      </c>
      <c r="Q55" s="306">
        <f t="shared" si="73"/>
        <v>0.95043478260869563</v>
      </c>
      <c r="R55" s="442"/>
      <c r="S55" s="28">
        <v>0.44861111111111113</v>
      </c>
      <c r="T55" s="28">
        <v>0.49652777777777779</v>
      </c>
      <c r="U55" s="304">
        <f t="shared" ref="U55:U58" si="74">IF(S55=TIME(17,0,0),"",(S55-T54)*24*60)</f>
        <v>7.9999999999999716</v>
      </c>
      <c r="V55" s="313">
        <f t="shared" si="69"/>
        <v>69</v>
      </c>
      <c r="W55" s="16"/>
      <c r="X55" s="16"/>
      <c r="Y55" s="309"/>
      <c r="Z55" s="310"/>
      <c r="AA55" s="12">
        <f t="shared" si="2"/>
        <v>-99.130434782608745</v>
      </c>
      <c r="AB55" s="306">
        <f t="shared" si="56"/>
        <v>0.95043478260869563</v>
      </c>
      <c r="AC55" s="442"/>
    </row>
    <row r="56" spans="1:29" ht="15.75" customHeight="1">
      <c r="A56" s="451" t="s">
        <v>1392</v>
      </c>
      <c r="B56" s="31" t="s">
        <v>58</v>
      </c>
      <c r="C56" s="307" t="s">
        <v>89</v>
      </c>
      <c r="D56" s="308"/>
      <c r="E56" s="31">
        <v>55.56</v>
      </c>
      <c r="F56" s="35">
        <v>1901</v>
      </c>
      <c r="G56" s="304">
        <f t="shared" si="66"/>
        <v>105619.56</v>
      </c>
      <c r="H56" s="315" t="s">
        <v>103</v>
      </c>
      <c r="I56" s="312">
        <v>17</v>
      </c>
      <c r="J56" s="26">
        <v>2000</v>
      </c>
      <c r="K56" s="10">
        <f t="shared" si="67"/>
        <v>117.64705882352941</v>
      </c>
      <c r="L56" s="312">
        <v>17</v>
      </c>
      <c r="M56" s="11">
        <f t="shared" si="68"/>
        <v>1901.0000000000018</v>
      </c>
      <c r="N56" s="11">
        <f t="shared" si="70"/>
        <v>111.82352941176481</v>
      </c>
      <c r="O56" s="12">
        <f t="shared" si="71"/>
        <v>0</v>
      </c>
      <c r="P56" s="13">
        <f t="shared" si="72"/>
        <v>-5.8235294117645964</v>
      </c>
      <c r="Q56" s="306">
        <f t="shared" si="73"/>
        <v>0.9505000000000009</v>
      </c>
      <c r="R56" s="442"/>
      <c r="S56" s="28">
        <v>0.70833333333333337</v>
      </c>
      <c r="T56" s="28">
        <v>0.75</v>
      </c>
      <c r="U56" s="304" t="str">
        <f t="shared" si="74"/>
        <v/>
      </c>
      <c r="V56" s="313">
        <f t="shared" si="69"/>
        <v>59.999999999999943</v>
      </c>
      <c r="W56" s="16"/>
      <c r="X56" s="16"/>
      <c r="Y56" s="309"/>
      <c r="Z56" s="310"/>
      <c r="AA56" s="12">
        <f t="shared" si="2"/>
        <v>-98.999999999998181</v>
      </c>
      <c r="AB56" s="306">
        <f t="shared" si="56"/>
        <v>0.9505000000000009</v>
      </c>
      <c r="AC56" s="442"/>
    </row>
    <row r="57" spans="1:29" ht="15.75" customHeight="1">
      <c r="A57" s="451" t="s">
        <v>1392</v>
      </c>
      <c r="B57" s="31" t="s">
        <v>58</v>
      </c>
      <c r="C57" s="307" t="s">
        <v>90</v>
      </c>
      <c r="D57" s="308"/>
      <c r="E57" s="31">
        <v>55.32</v>
      </c>
      <c r="F57" s="35">
        <v>1447</v>
      </c>
      <c r="G57" s="304">
        <f t="shared" si="66"/>
        <v>80048.039999999994</v>
      </c>
      <c r="H57" s="315" t="s">
        <v>103</v>
      </c>
      <c r="I57" s="312">
        <v>15</v>
      </c>
      <c r="J57" s="26">
        <v>2000</v>
      </c>
      <c r="K57" s="10">
        <f t="shared" si="67"/>
        <v>133.33333333333334</v>
      </c>
      <c r="L57" s="312">
        <v>15</v>
      </c>
      <c r="M57" s="11">
        <f t="shared" si="68"/>
        <v>1929.3333333333335</v>
      </c>
      <c r="N57" s="11">
        <f t="shared" si="70"/>
        <v>128.62222222222223</v>
      </c>
      <c r="O57" s="12">
        <f t="shared" si="71"/>
        <v>0</v>
      </c>
      <c r="P57" s="13">
        <f t="shared" si="72"/>
        <v>-4.7111111111111086</v>
      </c>
      <c r="Q57" s="306">
        <f t="shared" si="73"/>
        <v>0.96466666666666667</v>
      </c>
      <c r="R57" s="442"/>
      <c r="S57" s="28">
        <v>0.75416666666666665</v>
      </c>
      <c r="T57" s="28">
        <v>0.78541666666666665</v>
      </c>
      <c r="U57" s="304">
        <f t="shared" si="74"/>
        <v>5.9999999999999787</v>
      </c>
      <c r="V57" s="313">
        <f t="shared" si="69"/>
        <v>45</v>
      </c>
      <c r="W57" s="16"/>
      <c r="X57" s="16"/>
      <c r="Y57" s="309"/>
      <c r="Z57" s="310"/>
      <c r="AA57" s="12">
        <f t="shared" si="2"/>
        <v>-70.666666666666515</v>
      </c>
      <c r="AB57" s="306">
        <f t="shared" si="56"/>
        <v>0.96466666666666678</v>
      </c>
      <c r="AC57" s="442"/>
    </row>
    <row r="58" spans="1:29" ht="15.75" customHeight="1">
      <c r="A58" s="451" t="s">
        <v>1392</v>
      </c>
      <c r="B58" s="31" t="s">
        <v>58</v>
      </c>
      <c r="C58" s="444" t="s">
        <v>91</v>
      </c>
      <c r="D58" s="445"/>
      <c r="E58" s="31">
        <v>57.73</v>
      </c>
      <c r="F58" s="35">
        <v>1137</v>
      </c>
      <c r="G58" s="304">
        <f t="shared" si="66"/>
        <v>65639.009999999995</v>
      </c>
      <c r="H58" s="315" t="s">
        <v>103</v>
      </c>
      <c r="I58" s="312">
        <v>16</v>
      </c>
      <c r="J58" s="26">
        <v>1500</v>
      </c>
      <c r="K58" s="10">
        <f t="shared" si="67"/>
        <v>93.75</v>
      </c>
      <c r="L58" s="312">
        <v>16</v>
      </c>
      <c r="M58" s="11">
        <f t="shared" si="68"/>
        <v>1421.2500000000005</v>
      </c>
      <c r="N58" s="11">
        <f t="shared" si="70"/>
        <v>88.828125000000028</v>
      </c>
      <c r="O58" s="12">
        <f t="shared" si="71"/>
        <v>0</v>
      </c>
      <c r="P58" s="13">
        <f t="shared" si="72"/>
        <v>-4.9218749999999716</v>
      </c>
      <c r="Q58" s="306">
        <f t="shared" si="73"/>
        <v>0.94750000000000034</v>
      </c>
      <c r="R58" s="442"/>
      <c r="S58" s="28">
        <v>0.79027777777777775</v>
      </c>
      <c r="T58" s="28">
        <v>0.82361111111111107</v>
      </c>
      <c r="U58" s="304">
        <f t="shared" si="74"/>
        <v>6.9999999999999751</v>
      </c>
      <c r="V58" s="313">
        <f t="shared" si="69"/>
        <v>47.999999999999986</v>
      </c>
      <c r="W58" s="16"/>
      <c r="X58" s="16"/>
      <c r="Y58" s="447"/>
      <c r="Z58" s="448"/>
      <c r="AA58" s="12">
        <f t="shared" si="2"/>
        <v>-78.749999999999545</v>
      </c>
      <c r="AB58" s="306">
        <f t="shared" si="56"/>
        <v>0.94750000000000034</v>
      </c>
      <c r="AC58" s="442"/>
    </row>
    <row r="59" spans="1:29">
      <c r="A59" s="452" t="s">
        <v>1392</v>
      </c>
      <c r="B59" s="31" t="s">
        <v>1387</v>
      </c>
      <c r="C59" s="446"/>
      <c r="D59" s="446"/>
      <c r="E59" s="305"/>
      <c r="F59" s="33"/>
      <c r="G59" s="10"/>
      <c r="H59" s="314"/>
      <c r="I59" s="19">
        <v>16.333333333333332</v>
      </c>
      <c r="J59" s="26">
        <v>1916.6666666666667</v>
      </c>
      <c r="K59" s="10">
        <f>J59/I59</f>
        <v>117.34693877551021</v>
      </c>
      <c r="L59" s="19">
        <v>16.333333333333332</v>
      </c>
      <c r="M59" s="11">
        <f>AVERAGE(M53:M58)</f>
        <v>1824.4621873767462</v>
      </c>
      <c r="N59" s="10">
        <f>M59/L59</f>
        <v>111.70176657408651</v>
      </c>
      <c r="O59" s="12">
        <f>L59-I59</f>
        <v>0</v>
      </c>
      <c r="P59" s="13">
        <f>N59-K59</f>
        <v>-5.6451722014237049</v>
      </c>
      <c r="Q59" s="306">
        <f>N59/K59</f>
        <v>0.95189331515308495</v>
      </c>
      <c r="R59" s="442"/>
      <c r="S59" s="29"/>
      <c r="T59" s="28"/>
      <c r="U59" s="10"/>
      <c r="V59" s="313"/>
      <c r="W59" s="10"/>
      <c r="X59" s="10"/>
      <c r="Y59" s="443"/>
      <c r="Z59" s="443"/>
      <c r="AA59" s="12">
        <f t="shared" si="2"/>
        <v>-92.204479289920528</v>
      </c>
      <c r="AB59" s="306">
        <f t="shared" si="56"/>
        <v>0.95189331515308495</v>
      </c>
      <c r="AC59" s="442"/>
    </row>
    <row r="60" spans="1:29" ht="15.75" customHeight="1">
      <c r="A60" s="449" t="s">
        <v>1393</v>
      </c>
      <c r="B60" s="314" t="s">
        <v>79</v>
      </c>
      <c r="C60" s="441" t="s">
        <v>94</v>
      </c>
      <c r="D60" s="441"/>
      <c r="E60" s="31">
        <v>26.78</v>
      </c>
      <c r="F60" s="35">
        <v>2811</v>
      </c>
      <c r="G60" s="304">
        <f t="shared" ref="G60:G63" si="75">E60*F60</f>
        <v>75278.58</v>
      </c>
      <c r="H60" s="315" t="s">
        <v>103</v>
      </c>
      <c r="I60" s="312">
        <v>10</v>
      </c>
      <c r="J60" s="26">
        <v>3000</v>
      </c>
      <c r="K60" s="10">
        <f t="shared" ref="K60:K63" si="76">J60/I60</f>
        <v>300</v>
      </c>
      <c r="L60" s="19">
        <v>10</v>
      </c>
      <c r="M60" s="11">
        <f t="shared" ref="M60:M63" si="77">F60/V60*60</f>
        <v>2858.6440677966098</v>
      </c>
      <c r="N60" s="10">
        <f>M60/L60</f>
        <v>285.86440677966095</v>
      </c>
      <c r="O60" s="12">
        <f t="shared" ref="O60:O63" si="78">L60-I60</f>
        <v>0</v>
      </c>
      <c r="P60" s="13">
        <f t="shared" ref="P60:P63" si="79">N60-K60</f>
        <v>-14.135593220339047</v>
      </c>
      <c r="Q60" s="306">
        <f>N60/K60</f>
        <v>0.95288135593220313</v>
      </c>
      <c r="R60" s="442">
        <f>Q64</f>
        <v>0.95426162413902704</v>
      </c>
      <c r="S60" s="28">
        <v>8.3333333333333329E-2</v>
      </c>
      <c r="T60" s="28">
        <v>0.12430555555555556</v>
      </c>
      <c r="U60" s="304"/>
      <c r="V60" s="313">
        <f t="shared" ref="V60:V63" si="80">(T60-S60)*24*60</f>
        <v>59.000000000000007</v>
      </c>
      <c r="W60" s="16">
        <f>T60</f>
        <v>0.12430555555555556</v>
      </c>
      <c r="X60" s="16">
        <f>S61</f>
        <v>0.14375000000000002</v>
      </c>
      <c r="Y60" s="443"/>
      <c r="Z60" s="443"/>
      <c r="AA60" s="12">
        <f t="shared" si="2"/>
        <v>-141.35593220339024</v>
      </c>
      <c r="AB60" s="306">
        <f t="shared" si="56"/>
        <v>0.95288135593220324</v>
      </c>
      <c r="AC60" s="442">
        <f>AB64</f>
        <v>0.95426162413902704</v>
      </c>
    </row>
    <row r="61" spans="1:29" ht="15.75" customHeight="1">
      <c r="A61" s="449" t="s">
        <v>1393</v>
      </c>
      <c r="B61" s="314" t="s">
        <v>79</v>
      </c>
      <c r="C61" s="441" t="s">
        <v>97</v>
      </c>
      <c r="D61" s="441"/>
      <c r="E61" s="31">
        <v>35.119999999999997</v>
      </c>
      <c r="F61" s="35">
        <v>1314</v>
      </c>
      <c r="G61" s="304">
        <f t="shared" si="75"/>
        <v>46147.679999999993</v>
      </c>
      <c r="H61" s="315" t="s">
        <v>103</v>
      </c>
      <c r="I61" s="312">
        <v>13</v>
      </c>
      <c r="J61" s="26">
        <v>2000</v>
      </c>
      <c r="K61" s="10">
        <f t="shared" si="76"/>
        <v>153.84615384615384</v>
      </c>
      <c r="L61" s="19">
        <v>13</v>
      </c>
      <c r="M61" s="11">
        <f t="shared" si="77"/>
        <v>1922.9268292682921</v>
      </c>
      <c r="N61" s="10">
        <f t="shared" ref="N61:N63" si="81">M61/L61</f>
        <v>147.91744840525323</v>
      </c>
      <c r="O61" s="12">
        <f t="shared" si="78"/>
        <v>0</v>
      </c>
      <c r="P61" s="13">
        <f t="shared" si="79"/>
        <v>-5.9287054409006146</v>
      </c>
      <c r="Q61" s="306">
        <f t="shared" ref="Q61:Q63" si="82">N61/K61</f>
        <v>0.96146341463414597</v>
      </c>
      <c r="R61" s="442"/>
      <c r="S61" s="28">
        <v>0.14375000000000002</v>
      </c>
      <c r="T61" s="28">
        <v>0.17222222222222225</v>
      </c>
      <c r="U61" s="304">
        <f>(S61-T60)*24*60</f>
        <v>28.000000000000021</v>
      </c>
      <c r="V61" s="313">
        <f t="shared" si="80"/>
        <v>41.000000000000014</v>
      </c>
      <c r="W61" s="304"/>
      <c r="X61" s="304"/>
      <c r="Y61" s="443"/>
      <c r="Z61" s="443"/>
      <c r="AA61" s="12">
        <f t="shared" si="2"/>
        <v>-77.073170731707933</v>
      </c>
      <c r="AB61" s="306">
        <f t="shared" si="56"/>
        <v>0.96146341463414609</v>
      </c>
      <c r="AC61" s="442"/>
    </row>
    <row r="62" spans="1:29" ht="15.75" customHeight="1">
      <c r="A62" s="449" t="s">
        <v>1393</v>
      </c>
      <c r="B62" s="314" t="s">
        <v>79</v>
      </c>
      <c r="C62" s="441" t="s">
        <v>98</v>
      </c>
      <c r="D62" s="441"/>
      <c r="E62" s="31">
        <v>35.869999999999997</v>
      </c>
      <c r="F62" s="35">
        <v>2337</v>
      </c>
      <c r="G62" s="304">
        <f t="shared" si="75"/>
        <v>83828.189999999988</v>
      </c>
      <c r="H62" s="315" t="s">
        <v>103</v>
      </c>
      <c r="I62" s="312">
        <v>10</v>
      </c>
      <c r="J62" s="26">
        <v>3000</v>
      </c>
      <c r="K62" s="10">
        <f t="shared" si="76"/>
        <v>300</v>
      </c>
      <c r="L62" s="19">
        <v>10</v>
      </c>
      <c r="M62" s="11">
        <f t="shared" si="77"/>
        <v>2861.632653061225</v>
      </c>
      <c r="N62" s="10">
        <f t="shared" si="81"/>
        <v>286.16326530612253</v>
      </c>
      <c r="O62" s="12">
        <f t="shared" si="78"/>
        <v>0</v>
      </c>
      <c r="P62" s="13">
        <f t="shared" si="79"/>
        <v>-13.836734693877474</v>
      </c>
      <c r="Q62" s="306">
        <f t="shared" si="82"/>
        <v>0.95387755102040839</v>
      </c>
      <c r="R62" s="442"/>
      <c r="S62" s="28">
        <v>0.17708333333333337</v>
      </c>
      <c r="T62" s="28">
        <v>0.21111111111111114</v>
      </c>
      <c r="U62" s="304">
        <f t="shared" ref="U62:U63" si="83">(S62-T61)*24*60</f>
        <v>7.0000000000000151</v>
      </c>
      <c r="V62" s="313">
        <f t="shared" si="80"/>
        <v>48.999999999999986</v>
      </c>
      <c r="W62" s="304"/>
      <c r="X62" s="304"/>
      <c r="Y62" s="443"/>
      <c r="Z62" s="443"/>
      <c r="AA62" s="12">
        <f t="shared" si="2"/>
        <v>-138.36734693877497</v>
      </c>
      <c r="AB62" s="306">
        <f t="shared" si="56"/>
        <v>0.95387755102040839</v>
      </c>
      <c r="AC62" s="442"/>
    </row>
    <row r="63" spans="1:29" ht="15.75" customHeight="1">
      <c r="A63" s="449" t="s">
        <v>1393</v>
      </c>
      <c r="B63" s="314" t="s">
        <v>53</v>
      </c>
      <c r="C63" s="441" t="s">
        <v>96</v>
      </c>
      <c r="D63" s="441"/>
      <c r="E63" s="31">
        <v>26.97</v>
      </c>
      <c r="F63" s="35">
        <v>3532</v>
      </c>
      <c r="G63" s="304">
        <f t="shared" si="75"/>
        <v>95258.04</v>
      </c>
      <c r="H63" s="315" t="s">
        <v>103</v>
      </c>
      <c r="I63" s="312">
        <v>8</v>
      </c>
      <c r="J63" s="26">
        <v>1500</v>
      </c>
      <c r="K63" s="10">
        <f t="shared" si="76"/>
        <v>187.5</v>
      </c>
      <c r="L63" s="19">
        <v>8</v>
      </c>
      <c r="M63" s="11">
        <f t="shared" si="77"/>
        <v>1422.2818791946308</v>
      </c>
      <c r="N63" s="10">
        <f t="shared" si="81"/>
        <v>177.78523489932886</v>
      </c>
      <c r="O63" s="12">
        <f t="shared" si="78"/>
        <v>0</v>
      </c>
      <c r="P63" s="13">
        <f t="shared" si="79"/>
        <v>-9.7147651006711442</v>
      </c>
      <c r="Q63" s="306">
        <f t="shared" si="82"/>
        <v>0.94818791946308723</v>
      </c>
      <c r="R63" s="442"/>
      <c r="S63" s="28">
        <v>0.21527777777777782</v>
      </c>
      <c r="T63" s="28">
        <v>0.31875000000000003</v>
      </c>
      <c r="U63" s="304">
        <f t="shared" si="83"/>
        <v>6.0000000000000187</v>
      </c>
      <c r="V63" s="313">
        <f t="shared" si="80"/>
        <v>149</v>
      </c>
      <c r="W63" s="304"/>
      <c r="X63" s="304"/>
      <c r="Y63" s="443"/>
      <c r="Z63" s="443"/>
      <c r="AA63" s="12">
        <f t="shared" si="2"/>
        <v>-77.718120805369153</v>
      </c>
      <c r="AB63" s="306">
        <f t="shared" si="56"/>
        <v>0.94818791946308723</v>
      </c>
      <c r="AC63" s="442"/>
    </row>
    <row r="64" spans="1:29">
      <c r="A64" s="450" t="s">
        <v>1393</v>
      </c>
      <c r="B64" s="31" t="s">
        <v>1387</v>
      </c>
      <c r="C64" s="446"/>
      <c r="D64" s="446"/>
      <c r="E64" s="305"/>
      <c r="F64" s="33"/>
      <c r="G64" s="10"/>
      <c r="H64" s="314"/>
      <c r="I64" s="19">
        <v>10.25</v>
      </c>
      <c r="J64" s="26">
        <v>2375</v>
      </c>
      <c r="K64" s="10">
        <f>J64/I64</f>
        <v>231.70731707317074</v>
      </c>
      <c r="L64" s="19">
        <v>10.25</v>
      </c>
      <c r="M64" s="11">
        <f>AVERAGE(M60:M63)</f>
        <v>2266.3713573301893</v>
      </c>
      <c r="N64" s="10">
        <f>M64/L64</f>
        <v>221.10940071514042</v>
      </c>
      <c r="O64" s="12">
        <f>L64-I64</f>
        <v>0</v>
      </c>
      <c r="P64" s="13">
        <f>N64-K64</f>
        <v>-10.597916358030318</v>
      </c>
      <c r="Q64" s="306">
        <f>N64/K64</f>
        <v>0.95426162413902704</v>
      </c>
      <c r="R64" s="442"/>
      <c r="S64" s="28"/>
      <c r="T64" s="28"/>
      <c r="U64" s="10"/>
      <c r="V64" s="313"/>
      <c r="W64" s="10"/>
      <c r="X64" s="10"/>
      <c r="Y64" s="443"/>
      <c r="Z64" s="443"/>
      <c r="AA64" s="12">
        <f t="shared" si="2"/>
        <v>-108.62864266981069</v>
      </c>
      <c r="AB64" s="306">
        <f t="shared" si="56"/>
        <v>0.95426162413902704</v>
      </c>
      <c r="AC64" s="442"/>
    </row>
    <row r="65" spans="1:29" ht="15.75" customHeight="1">
      <c r="A65" s="439" t="s">
        <v>1394</v>
      </c>
      <c r="B65" s="314" t="s">
        <v>67</v>
      </c>
      <c r="C65" s="441" t="s">
        <v>99</v>
      </c>
      <c r="D65" s="441"/>
      <c r="E65" s="31">
        <v>20.2</v>
      </c>
      <c r="F65" s="314">
        <v>2780</v>
      </c>
      <c r="G65" s="304">
        <f t="shared" ref="G65:G72" si="84">E65*F65</f>
        <v>56156</v>
      </c>
      <c r="H65" s="315" t="s">
        <v>103</v>
      </c>
      <c r="I65" s="312">
        <v>19</v>
      </c>
      <c r="J65" s="26">
        <v>2400</v>
      </c>
      <c r="K65" s="10">
        <f t="shared" ref="K65:K67" si="85">J65/I65</f>
        <v>126.31578947368421</v>
      </c>
      <c r="L65" s="19">
        <v>19</v>
      </c>
      <c r="M65" s="11">
        <f>F65/V65*60</f>
        <v>2284.9315068493152</v>
      </c>
      <c r="N65" s="10">
        <f t="shared" ref="N65:N72" si="86">M65/L65</f>
        <v>120.25955299206922</v>
      </c>
      <c r="O65" s="12">
        <f t="shared" ref="O65:O72" si="87">L65-I65</f>
        <v>0</v>
      </c>
      <c r="P65" s="13">
        <f t="shared" ref="P65:P72" si="88">N65-K65</f>
        <v>-6.0562364816149881</v>
      </c>
      <c r="Q65" s="306">
        <f>N65/K65</f>
        <v>0.95205479452054798</v>
      </c>
      <c r="R65" s="442">
        <f>Q73</f>
        <v>0.95211664222008907</v>
      </c>
      <c r="S65" s="28">
        <v>8.3333333333333329E-2</v>
      </c>
      <c r="T65" s="28">
        <v>0.13402777777777777</v>
      </c>
      <c r="U65" s="18"/>
      <c r="V65" s="313">
        <f t="shared" ref="V65:V72" si="89">(T65-S65)*24*60</f>
        <v>73</v>
      </c>
      <c r="W65" s="16">
        <f>T65</f>
        <v>0.13402777777777777</v>
      </c>
      <c r="X65" s="16">
        <f>S66</f>
        <v>0.15416666666666667</v>
      </c>
      <c r="Y65" s="443"/>
      <c r="Z65" s="443"/>
      <c r="AA65" s="12">
        <f t="shared" si="2"/>
        <v>-115.06849315068484</v>
      </c>
      <c r="AB65" s="306">
        <f>M65/J65</f>
        <v>0.95205479452054798</v>
      </c>
      <c r="AC65" s="442">
        <f>AB73</f>
        <v>0.95211664222008907</v>
      </c>
    </row>
    <row r="66" spans="1:29" ht="15.75" customHeight="1">
      <c r="A66" s="439" t="s">
        <v>1394</v>
      </c>
      <c r="B66" s="314" t="s">
        <v>67</v>
      </c>
      <c r="C66" s="441" t="s">
        <v>100</v>
      </c>
      <c r="D66" s="441"/>
      <c r="E66" s="31">
        <v>19.02</v>
      </c>
      <c r="F66" s="314">
        <v>6500</v>
      </c>
      <c r="G66" s="304">
        <f t="shared" si="84"/>
        <v>123630</v>
      </c>
      <c r="H66" s="315">
        <v>2</v>
      </c>
      <c r="I66" s="312">
        <v>15</v>
      </c>
      <c r="J66" s="26">
        <v>2400</v>
      </c>
      <c r="K66" s="10">
        <f t="shared" si="85"/>
        <v>160</v>
      </c>
      <c r="L66" s="19">
        <v>15</v>
      </c>
      <c r="M66" s="11">
        <f t="shared" ref="M66:M72" si="90">F66/V66*60</f>
        <v>2280.7017543859647</v>
      </c>
      <c r="N66" s="10">
        <f t="shared" si="86"/>
        <v>152.04678362573097</v>
      </c>
      <c r="O66" s="12">
        <f t="shared" si="87"/>
        <v>0</v>
      </c>
      <c r="P66" s="13">
        <f t="shared" si="88"/>
        <v>-7.9532163742690329</v>
      </c>
      <c r="Q66" s="306">
        <f t="shared" ref="Q66:Q73" si="91">N66/K66</f>
        <v>0.95029239766081852</v>
      </c>
      <c r="R66" s="442"/>
      <c r="S66" s="28">
        <v>0.15416666666666667</v>
      </c>
      <c r="T66" s="28">
        <v>0.2729166666666667</v>
      </c>
      <c r="U66" s="304">
        <f>(S66-T65)*24*60</f>
        <v>29.000000000000018</v>
      </c>
      <c r="V66" s="313">
        <f t="shared" si="89"/>
        <v>171.00000000000003</v>
      </c>
      <c r="W66" s="16"/>
      <c r="X66" s="16"/>
      <c r="Y66" s="443"/>
      <c r="Z66" s="443"/>
      <c r="AA66" s="12">
        <f t="shared" si="2"/>
        <v>-119.2982456140353</v>
      </c>
      <c r="AB66" s="306">
        <f t="shared" ref="AB66:AB73" si="92">M66/J66</f>
        <v>0.95029239766081863</v>
      </c>
      <c r="AC66" s="442"/>
    </row>
    <row r="67" spans="1:29" ht="15.75" customHeight="1">
      <c r="A67" s="439" t="s">
        <v>1394</v>
      </c>
      <c r="B67" s="314" t="s">
        <v>67</v>
      </c>
      <c r="C67" s="441" t="s">
        <v>70</v>
      </c>
      <c r="D67" s="441"/>
      <c r="E67" s="31">
        <v>24.25</v>
      </c>
      <c r="F67" s="314">
        <v>3557</v>
      </c>
      <c r="G67" s="304">
        <f t="shared" si="84"/>
        <v>86257.25</v>
      </c>
      <c r="H67" s="315" t="s">
        <v>103</v>
      </c>
      <c r="I67" s="312">
        <v>18</v>
      </c>
      <c r="J67" s="26">
        <v>2400</v>
      </c>
      <c r="K67" s="10">
        <f t="shared" si="85"/>
        <v>133.33333333333334</v>
      </c>
      <c r="L67" s="19">
        <v>18</v>
      </c>
      <c r="M67" s="11">
        <f t="shared" si="90"/>
        <v>2294.8387096774195</v>
      </c>
      <c r="N67" s="10">
        <f t="shared" si="86"/>
        <v>127.4910394265233</v>
      </c>
      <c r="O67" s="12">
        <f t="shared" si="87"/>
        <v>0</v>
      </c>
      <c r="P67" s="13">
        <f t="shared" si="88"/>
        <v>-5.8422939068100419</v>
      </c>
      <c r="Q67" s="306">
        <f t="shared" si="91"/>
        <v>0.95618279569892473</v>
      </c>
      <c r="R67" s="442"/>
      <c r="S67" s="28">
        <v>0.27638888888888891</v>
      </c>
      <c r="T67" s="28">
        <v>0.34097222222222223</v>
      </c>
      <c r="U67" s="304">
        <f t="shared" ref="U67:U72" si="93">(S67-T66)*24*60</f>
        <v>4.9999999999999822</v>
      </c>
      <c r="V67" s="313">
        <f t="shared" si="89"/>
        <v>92.999999999999986</v>
      </c>
      <c r="W67" s="16"/>
      <c r="X67" s="16"/>
      <c r="Y67" s="443"/>
      <c r="Z67" s="443"/>
      <c r="AA67" s="12">
        <f t="shared" si="2"/>
        <v>-105.1612903225805</v>
      </c>
      <c r="AB67" s="306">
        <f t="shared" si="92"/>
        <v>0.95618279569892484</v>
      </c>
      <c r="AC67" s="442"/>
    </row>
    <row r="68" spans="1:29" ht="15.75" customHeight="1">
      <c r="A68" s="439" t="s">
        <v>1394</v>
      </c>
      <c r="B68" s="314" t="s">
        <v>67</v>
      </c>
      <c r="C68" s="441" t="s">
        <v>102</v>
      </c>
      <c r="D68" s="441"/>
      <c r="E68" s="31">
        <v>20.52</v>
      </c>
      <c r="F68" s="314">
        <v>3200</v>
      </c>
      <c r="G68" s="304">
        <f t="shared" si="84"/>
        <v>65664</v>
      </c>
      <c r="H68" s="315">
        <v>2</v>
      </c>
      <c r="I68" s="312">
        <v>18</v>
      </c>
      <c r="J68" s="26">
        <v>2400</v>
      </c>
      <c r="K68" s="10">
        <f>J68/I68</f>
        <v>133.33333333333334</v>
      </c>
      <c r="L68" s="19">
        <v>18</v>
      </c>
      <c r="M68" s="11">
        <f t="shared" si="90"/>
        <v>2285.7142857142849</v>
      </c>
      <c r="N68" s="10">
        <f t="shared" si="86"/>
        <v>126.98412698412693</v>
      </c>
      <c r="O68" s="12">
        <f t="shared" si="87"/>
        <v>0</v>
      </c>
      <c r="P68" s="13">
        <f t="shared" si="88"/>
        <v>-6.3492063492064119</v>
      </c>
      <c r="Q68" s="306">
        <f t="shared" si="91"/>
        <v>0.95238095238095188</v>
      </c>
      <c r="R68" s="442"/>
      <c r="S68" s="28">
        <v>0.34583333333333333</v>
      </c>
      <c r="T68" s="28">
        <v>0.40416666666666667</v>
      </c>
      <c r="U68" s="304">
        <f t="shared" si="93"/>
        <v>6.9999999999999751</v>
      </c>
      <c r="V68" s="313">
        <f t="shared" si="89"/>
        <v>84.000000000000028</v>
      </c>
      <c r="W68" s="16"/>
      <c r="X68" s="16"/>
      <c r="Y68" s="443"/>
      <c r="Z68" s="443"/>
      <c r="AA68" s="12">
        <f t="shared" si="2"/>
        <v>-114.28571428571513</v>
      </c>
      <c r="AB68" s="306">
        <f t="shared" si="92"/>
        <v>0.952380952380952</v>
      </c>
      <c r="AC68" s="442"/>
    </row>
    <row r="69" spans="1:29" ht="15.75" customHeight="1">
      <c r="A69" s="439" t="s">
        <v>1394</v>
      </c>
      <c r="B69" s="314" t="s">
        <v>67</v>
      </c>
      <c r="C69" s="441" t="s">
        <v>1161</v>
      </c>
      <c r="D69" s="441"/>
      <c r="E69" s="31">
        <v>23.16</v>
      </c>
      <c r="F69" s="314">
        <v>4600</v>
      </c>
      <c r="G69" s="304">
        <f t="shared" si="84"/>
        <v>106536</v>
      </c>
      <c r="H69" s="315">
        <v>2</v>
      </c>
      <c r="I69" s="312">
        <v>17</v>
      </c>
      <c r="J69" s="26">
        <v>2400</v>
      </c>
      <c r="K69" s="10">
        <f t="shared" ref="K69:K73" si="94">J69/I69</f>
        <v>141.1764705882353</v>
      </c>
      <c r="L69" s="19">
        <v>17</v>
      </c>
      <c r="M69" s="11">
        <f t="shared" si="90"/>
        <v>2280.9917355371908</v>
      </c>
      <c r="N69" s="10">
        <f t="shared" si="86"/>
        <v>134.17598444336417</v>
      </c>
      <c r="O69" s="12">
        <f t="shared" si="87"/>
        <v>0</v>
      </c>
      <c r="P69" s="13">
        <f t="shared" si="88"/>
        <v>-7.0004861448711324</v>
      </c>
      <c r="Q69" s="306">
        <f t="shared" si="91"/>
        <v>0.95041322314049614</v>
      </c>
      <c r="R69" s="442"/>
      <c r="S69" s="28">
        <v>0.40763888888888888</v>
      </c>
      <c r="T69" s="28">
        <v>0.49166666666666664</v>
      </c>
      <c r="U69" s="304">
        <f t="shared" si="93"/>
        <v>4.9999999999999822</v>
      </c>
      <c r="V69" s="313">
        <f t="shared" si="89"/>
        <v>120.99999999999997</v>
      </c>
      <c r="W69" s="16">
        <f>T69</f>
        <v>0.49166666666666664</v>
      </c>
      <c r="X69" s="16">
        <f>S70</f>
        <v>0.53124999999999989</v>
      </c>
      <c r="Y69" s="443"/>
      <c r="Z69" s="443"/>
      <c r="AA69" s="12">
        <f t="shared" ref="AA69:AA73" si="95">M69-J69</f>
        <v>-119.00826446280917</v>
      </c>
      <c r="AB69" s="306">
        <f t="shared" si="92"/>
        <v>0.95041322314049614</v>
      </c>
      <c r="AC69" s="442"/>
    </row>
    <row r="70" spans="1:29" ht="15.75" customHeight="1">
      <c r="A70" s="439" t="s">
        <v>1394</v>
      </c>
      <c r="B70" s="314" t="s">
        <v>67</v>
      </c>
      <c r="C70" s="441" t="s">
        <v>102</v>
      </c>
      <c r="D70" s="441"/>
      <c r="E70" s="31">
        <v>20.52</v>
      </c>
      <c r="F70" s="314">
        <v>1992</v>
      </c>
      <c r="G70" s="304">
        <f t="shared" si="84"/>
        <v>40875.839999999997</v>
      </c>
      <c r="H70" s="315" t="s">
        <v>103</v>
      </c>
      <c r="I70" s="312">
        <v>18</v>
      </c>
      <c r="J70" s="26">
        <v>2400</v>
      </c>
      <c r="K70" s="10">
        <f t="shared" si="94"/>
        <v>133.33333333333334</v>
      </c>
      <c r="L70" s="19">
        <v>18</v>
      </c>
      <c r="M70" s="11">
        <f t="shared" si="90"/>
        <v>2298.4615384615395</v>
      </c>
      <c r="N70" s="10">
        <f t="shared" si="86"/>
        <v>127.69230769230775</v>
      </c>
      <c r="O70" s="12">
        <f t="shared" si="87"/>
        <v>0</v>
      </c>
      <c r="P70" s="13">
        <f t="shared" si="88"/>
        <v>-5.6410256410255926</v>
      </c>
      <c r="Q70" s="306">
        <f t="shared" si="91"/>
        <v>0.95769230769230806</v>
      </c>
      <c r="R70" s="442"/>
      <c r="S70" s="28">
        <v>0.53124999999999989</v>
      </c>
      <c r="T70" s="28">
        <v>0.56736111111111098</v>
      </c>
      <c r="U70" s="304">
        <f t="shared" si="93"/>
        <v>56.999999999999879</v>
      </c>
      <c r="V70" s="313">
        <f t="shared" si="89"/>
        <v>51.999999999999972</v>
      </c>
      <c r="W70" s="16"/>
      <c r="X70" s="16"/>
      <c r="Y70" s="443"/>
      <c r="Z70" s="443"/>
      <c r="AA70" s="12">
        <f t="shared" si="95"/>
        <v>-101.53846153846052</v>
      </c>
      <c r="AB70" s="306">
        <f t="shared" si="92"/>
        <v>0.95769230769230806</v>
      </c>
      <c r="AC70" s="442"/>
    </row>
    <row r="71" spans="1:29" ht="15.75" customHeight="1">
      <c r="A71" s="439" t="s">
        <v>1394</v>
      </c>
      <c r="B71" s="314" t="s">
        <v>67</v>
      </c>
      <c r="C71" s="444" t="s">
        <v>1161</v>
      </c>
      <c r="D71" s="445"/>
      <c r="E71" s="31">
        <v>23.16</v>
      </c>
      <c r="F71" s="314">
        <v>2850</v>
      </c>
      <c r="G71" s="304">
        <f t="shared" si="84"/>
        <v>66006</v>
      </c>
      <c r="H71" s="315" t="s">
        <v>103</v>
      </c>
      <c r="I71" s="312">
        <v>17</v>
      </c>
      <c r="J71" s="26">
        <v>2400</v>
      </c>
      <c r="K71" s="10">
        <f t="shared" si="94"/>
        <v>141.1764705882353</v>
      </c>
      <c r="L71" s="19">
        <v>17</v>
      </c>
      <c r="M71" s="11">
        <f t="shared" si="90"/>
        <v>2279.9999999999982</v>
      </c>
      <c r="N71" s="10">
        <f t="shared" si="86"/>
        <v>134.11764705882342</v>
      </c>
      <c r="O71" s="12">
        <f t="shared" si="87"/>
        <v>0</v>
      </c>
      <c r="P71" s="13">
        <f t="shared" si="88"/>
        <v>-7.0588235294118817</v>
      </c>
      <c r="Q71" s="306">
        <f t="shared" si="91"/>
        <v>0.94999999999999918</v>
      </c>
      <c r="R71" s="442"/>
      <c r="S71" s="28">
        <v>0.57083333333333319</v>
      </c>
      <c r="T71" s="28">
        <v>0.62291666666666656</v>
      </c>
      <c r="U71" s="304">
        <f t="shared" si="93"/>
        <v>4.9999999999999822</v>
      </c>
      <c r="V71" s="313">
        <f t="shared" si="89"/>
        <v>75.000000000000057</v>
      </c>
      <c r="W71" s="16"/>
      <c r="X71" s="16"/>
      <c r="Y71" s="447"/>
      <c r="Z71" s="448"/>
      <c r="AA71" s="12">
        <f t="shared" si="95"/>
        <v>-120.00000000000182</v>
      </c>
      <c r="AB71" s="306">
        <f t="shared" si="92"/>
        <v>0.94999999999999929</v>
      </c>
      <c r="AC71" s="442"/>
    </row>
    <row r="72" spans="1:29" ht="15.75" customHeight="1">
      <c r="A72" s="439" t="s">
        <v>1394</v>
      </c>
      <c r="B72" s="314" t="s">
        <v>67</v>
      </c>
      <c r="C72" s="444" t="s">
        <v>100</v>
      </c>
      <c r="D72" s="445"/>
      <c r="E72" s="31">
        <v>19.02</v>
      </c>
      <c r="F72" s="314">
        <v>4550</v>
      </c>
      <c r="G72" s="304">
        <f t="shared" si="84"/>
        <v>86541</v>
      </c>
      <c r="H72" s="315" t="s">
        <v>103</v>
      </c>
      <c r="I72" s="312">
        <v>15</v>
      </c>
      <c r="J72" s="26">
        <v>2400</v>
      </c>
      <c r="K72" s="10">
        <f t="shared" si="94"/>
        <v>160</v>
      </c>
      <c r="L72" s="19">
        <v>15</v>
      </c>
      <c r="M72" s="11">
        <f t="shared" si="90"/>
        <v>2274.9999999999991</v>
      </c>
      <c r="N72" s="10">
        <f t="shared" si="86"/>
        <v>151.6666666666666</v>
      </c>
      <c r="O72" s="12">
        <f t="shared" si="87"/>
        <v>0</v>
      </c>
      <c r="P72" s="13">
        <f t="shared" si="88"/>
        <v>-8.3333333333333997</v>
      </c>
      <c r="Q72" s="306">
        <f t="shared" si="91"/>
        <v>0.9479166666666663</v>
      </c>
      <c r="R72" s="442"/>
      <c r="S72" s="28">
        <v>0.62777777777777766</v>
      </c>
      <c r="T72" s="28">
        <v>0.71111111111111103</v>
      </c>
      <c r="U72" s="304">
        <f t="shared" si="93"/>
        <v>6.9999999999999751</v>
      </c>
      <c r="V72" s="313">
        <f t="shared" si="89"/>
        <v>120.00000000000006</v>
      </c>
      <c r="W72" s="16"/>
      <c r="X72" s="16"/>
      <c r="Y72" s="447"/>
      <c r="Z72" s="448"/>
      <c r="AA72" s="12">
        <f t="shared" si="95"/>
        <v>-125.00000000000091</v>
      </c>
      <c r="AB72" s="306">
        <f t="shared" si="92"/>
        <v>0.9479166666666663</v>
      </c>
      <c r="AC72" s="442"/>
    </row>
    <row r="73" spans="1:29" ht="16.5" customHeight="1">
      <c r="A73" s="440" t="s">
        <v>1394</v>
      </c>
      <c r="B73" s="31" t="s">
        <v>1387</v>
      </c>
      <c r="C73" s="446"/>
      <c r="D73" s="446"/>
      <c r="E73" s="305"/>
      <c r="F73" s="33"/>
      <c r="G73" s="10"/>
      <c r="H73" s="314"/>
      <c r="I73" s="19">
        <v>17.125</v>
      </c>
      <c r="J73" s="26">
        <v>2400</v>
      </c>
      <c r="K73" s="10">
        <f t="shared" si="94"/>
        <v>140.14598540145985</v>
      </c>
      <c r="L73" s="19">
        <v>17.125</v>
      </c>
      <c r="M73" s="11">
        <f>AVERAGE(M65:M72)</f>
        <v>2285.0799413282139</v>
      </c>
      <c r="N73" s="10">
        <f>M73/L73</f>
        <v>133.43532504106358</v>
      </c>
      <c r="O73" s="12">
        <f>L73-I73</f>
        <v>0</v>
      </c>
      <c r="P73" s="13">
        <f>N73-K73</f>
        <v>-6.7106603603962753</v>
      </c>
      <c r="Q73" s="306">
        <f t="shared" si="91"/>
        <v>0.95211664222008907</v>
      </c>
      <c r="R73" s="442"/>
      <c r="S73" s="28"/>
      <c r="T73" s="28"/>
      <c r="U73" s="10"/>
      <c r="V73" s="313"/>
      <c r="W73" s="10"/>
      <c r="X73" s="10"/>
      <c r="Y73" s="443"/>
      <c r="Z73" s="443"/>
      <c r="AA73" s="12">
        <f t="shared" si="95"/>
        <v>-114.92005867178614</v>
      </c>
      <c r="AB73" s="306">
        <f t="shared" si="92"/>
        <v>0.95211664222008907</v>
      </c>
      <c r="AC73" s="442"/>
    </row>
    <row r="74" spans="1:29">
      <c r="D74" s="22"/>
      <c r="E74" s="22"/>
    </row>
  </sheetData>
  <mergeCells count="194">
    <mergeCell ref="A65:A73"/>
    <mergeCell ref="C65:D65"/>
    <mergeCell ref="R65:R73"/>
    <mergeCell ref="Y65:Z65"/>
    <mergeCell ref="AC65:AC73"/>
    <mergeCell ref="C66:D66"/>
    <mergeCell ref="Y66:Z66"/>
    <mergeCell ref="C67:D67"/>
    <mergeCell ref="Y67:Z67"/>
    <mergeCell ref="C68:D68"/>
    <mergeCell ref="C72:D72"/>
    <mergeCell ref="Y72:Z72"/>
    <mergeCell ref="C73:D73"/>
    <mergeCell ref="Y73:Z73"/>
    <mergeCell ref="Y68:Z68"/>
    <mergeCell ref="C69:D69"/>
    <mergeCell ref="Y69:Z69"/>
    <mergeCell ref="C70:D70"/>
    <mergeCell ref="Y70:Z70"/>
    <mergeCell ref="C71:D71"/>
    <mergeCell ref="Y71:Z71"/>
    <mergeCell ref="AC60:AC64"/>
    <mergeCell ref="C61:D61"/>
    <mergeCell ref="Y61:Z61"/>
    <mergeCell ref="C62:D62"/>
    <mergeCell ref="Y62:Z62"/>
    <mergeCell ref="C63:D63"/>
    <mergeCell ref="Y63:Z63"/>
    <mergeCell ref="C64:D64"/>
    <mergeCell ref="Y64:Z64"/>
    <mergeCell ref="Y59:Z59"/>
    <mergeCell ref="A60:A64"/>
    <mergeCell ref="C60:D60"/>
    <mergeCell ref="R60:R64"/>
    <mergeCell ref="Y60:Z60"/>
    <mergeCell ref="A53:A59"/>
    <mergeCell ref="C53:D53"/>
    <mergeCell ref="R53:R59"/>
    <mergeCell ref="Y53:Z53"/>
    <mergeCell ref="A46:A52"/>
    <mergeCell ref="C46:D46"/>
    <mergeCell ref="R46:R52"/>
    <mergeCell ref="Y46:Z46"/>
    <mergeCell ref="Y51:Z51"/>
    <mergeCell ref="C52:D52"/>
    <mergeCell ref="Y52:Z52"/>
    <mergeCell ref="AC53:AC59"/>
    <mergeCell ref="C54:D54"/>
    <mergeCell ref="Y54:Z54"/>
    <mergeCell ref="C55:D55"/>
    <mergeCell ref="C58:D58"/>
    <mergeCell ref="Y58:Z58"/>
    <mergeCell ref="AC46:AC52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C59:D59"/>
    <mergeCell ref="AC35:AC45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C45:D45"/>
    <mergeCell ref="Y45:Z45"/>
    <mergeCell ref="A35:A45"/>
    <mergeCell ref="C35:D35"/>
    <mergeCell ref="R35:R45"/>
    <mergeCell ref="Y35:Z35"/>
    <mergeCell ref="Y40:Z40"/>
    <mergeCell ref="C41:D41"/>
    <mergeCell ref="A23:A34"/>
    <mergeCell ref="C23:D23"/>
    <mergeCell ref="Y41:Z41"/>
    <mergeCell ref="C42:D42"/>
    <mergeCell ref="Y42:Z42"/>
    <mergeCell ref="C43:D43"/>
    <mergeCell ref="Y43:Z43"/>
    <mergeCell ref="C44:D44"/>
    <mergeCell ref="Y44:Z44"/>
    <mergeCell ref="Y27:Z27"/>
    <mergeCell ref="C28:D28"/>
    <mergeCell ref="Y28:Z28"/>
    <mergeCell ref="C29:D29"/>
    <mergeCell ref="Y29:Z29"/>
    <mergeCell ref="R23:R34"/>
    <mergeCell ref="Y23:Z23"/>
    <mergeCell ref="C33:D33"/>
    <mergeCell ref="Y33:Z33"/>
    <mergeCell ref="C34:D34"/>
    <mergeCell ref="Y34:Z34"/>
    <mergeCell ref="AC23:AC34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C30:D30"/>
    <mergeCell ref="Y30:Z30"/>
    <mergeCell ref="C31:D31"/>
    <mergeCell ref="Y31:Z31"/>
    <mergeCell ref="C32:D32"/>
    <mergeCell ref="Y32:Z32"/>
    <mergeCell ref="Y26:Z26"/>
    <mergeCell ref="C27:D27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0 O73 O5:O12 O16:O30 O34:O60">
    <cfRule type="cellIs" dxfId="1049" priority="61" operator="greaterThan">
      <formula>0</formula>
    </cfRule>
  </conditionalFormatting>
  <conditionalFormatting sqref="P5:P7 P63 AA63 P65:P70 P23:P30 P60 P9:P12 P17:P21 P53:P58 P35:P51 AA5:AA60 AA65:AA73">
    <cfRule type="cellIs" dxfId="1048" priority="65" operator="lessThan">
      <formula>0</formula>
    </cfRule>
  </conditionalFormatting>
  <conditionalFormatting sqref="AB63 Q63:Q70 Q73 Q5:Q12 Q16:Q30 Q34:Q60 AB5:AB60 AB65:AB73">
    <cfRule type="cellIs" dxfId="1047" priority="62" operator="greaterThan">
      <formula>1</formula>
    </cfRule>
    <cfRule type="cellIs" dxfId="1046" priority="63" operator="lessThan">
      <formula>0.8</formula>
    </cfRule>
  </conditionalFormatting>
  <conditionalFormatting sqref="AC11:AC12 R11:R12 AC63 R63:R70 AC16:AC30 R16:R30 R34:R42 AC34:AC42 R73 AC5:AC9 R5:R9 AC45:AC60 R45:R60">
    <cfRule type="cellIs" dxfId="1045" priority="67" operator="lessThan">
      <formula>0.8</formula>
    </cfRule>
  </conditionalFormatting>
  <conditionalFormatting sqref="AC46">
    <cfRule type="cellIs" dxfId="1044" priority="69" operator="lessThan">
      <formula>0.8</formula>
    </cfRule>
  </conditionalFormatting>
  <conditionalFormatting sqref="AC17:AC21">
    <cfRule type="cellIs" dxfId="1043" priority="66" operator="lessThan">
      <formula>0.8</formula>
    </cfRule>
  </conditionalFormatting>
  <conditionalFormatting sqref="AC23">
    <cfRule type="cellIs" dxfId="1042" priority="68" operator="lessThan">
      <formula>0.8</formula>
    </cfRule>
  </conditionalFormatting>
  <conditionalFormatting sqref="AC35:AC42">
    <cfRule type="cellIs" dxfId="1041" priority="64" operator="lessThan">
      <formula>0.8</formula>
    </cfRule>
  </conditionalFormatting>
  <conditionalFormatting sqref="AA64">
    <cfRule type="cellIs" dxfId="1040" priority="60" operator="lessThan">
      <formula>0</formula>
    </cfRule>
  </conditionalFormatting>
  <conditionalFormatting sqref="AB64">
    <cfRule type="cellIs" dxfId="1039" priority="58" operator="greaterThan">
      <formula>1</formula>
    </cfRule>
    <cfRule type="cellIs" dxfId="1038" priority="59" operator="lessThan">
      <formula>0.8</formula>
    </cfRule>
  </conditionalFormatting>
  <conditionalFormatting sqref="O13:O14">
    <cfRule type="cellIs" dxfId="1037" priority="53" operator="greaterThan">
      <formula>0</formula>
    </cfRule>
  </conditionalFormatting>
  <conditionalFormatting sqref="P13:P14">
    <cfRule type="cellIs" dxfId="1036" priority="56" operator="lessThan">
      <formula>0</formula>
    </cfRule>
  </conditionalFormatting>
  <conditionalFormatting sqref="Q13:Q14">
    <cfRule type="cellIs" dxfId="1035" priority="54" operator="greaterThan">
      <formula>1</formula>
    </cfRule>
    <cfRule type="cellIs" dxfId="1034" priority="55" operator="lessThan">
      <formula>0.8</formula>
    </cfRule>
  </conditionalFormatting>
  <conditionalFormatting sqref="R13:R14 AC13:AC14">
    <cfRule type="cellIs" dxfId="1033" priority="57" operator="lessThan">
      <formula>0.8</formula>
    </cfRule>
  </conditionalFormatting>
  <conditionalFormatting sqref="R43 AC43">
    <cfRule type="cellIs" dxfId="1032" priority="52" operator="lessThan">
      <formula>0.8</formula>
    </cfRule>
  </conditionalFormatting>
  <conditionalFormatting sqref="AC43">
    <cfRule type="cellIs" dxfId="1031" priority="51" operator="lessThan">
      <formula>0.8</formula>
    </cfRule>
  </conditionalFormatting>
  <conditionalFormatting sqref="O62">
    <cfRule type="cellIs" dxfId="1030" priority="46" operator="greaterThan">
      <formula>0</formula>
    </cfRule>
  </conditionalFormatting>
  <conditionalFormatting sqref="P62 AA62">
    <cfRule type="cellIs" dxfId="1029" priority="49" operator="lessThan">
      <formula>0</formula>
    </cfRule>
  </conditionalFormatting>
  <conditionalFormatting sqref="Q62 AB62">
    <cfRule type="cellIs" dxfId="1028" priority="47" operator="greaterThan">
      <formula>1</formula>
    </cfRule>
    <cfRule type="cellIs" dxfId="1027" priority="48" operator="lessThan">
      <formula>0.8</formula>
    </cfRule>
  </conditionalFormatting>
  <conditionalFormatting sqref="R62 AC62">
    <cfRule type="cellIs" dxfId="1026" priority="50" operator="lessThan">
      <formula>0.8</formula>
    </cfRule>
  </conditionalFormatting>
  <conditionalFormatting sqref="O31">
    <cfRule type="cellIs" dxfId="1025" priority="41" operator="greaterThan">
      <formula>0</formula>
    </cfRule>
  </conditionalFormatting>
  <conditionalFormatting sqref="P31">
    <cfRule type="cellIs" dxfId="1024" priority="44" operator="lessThan">
      <formula>0</formula>
    </cfRule>
  </conditionalFormatting>
  <conditionalFormatting sqref="Q31">
    <cfRule type="cellIs" dxfId="1023" priority="42" operator="greaterThan">
      <formula>1</formula>
    </cfRule>
    <cfRule type="cellIs" dxfId="1022" priority="43" operator="lessThan">
      <formula>0.8</formula>
    </cfRule>
  </conditionalFormatting>
  <conditionalFormatting sqref="R31 AC31">
    <cfRule type="cellIs" dxfId="1021" priority="45" operator="lessThan">
      <formula>0.8</formula>
    </cfRule>
  </conditionalFormatting>
  <conditionalFormatting sqref="O71">
    <cfRule type="cellIs" dxfId="1020" priority="36" operator="greaterThan">
      <formula>0</formula>
    </cfRule>
  </conditionalFormatting>
  <conditionalFormatting sqref="P71">
    <cfRule type="cellIs" dxfId="1019" priority="39" operator="lessThan">
      <formula>0</formula>
    </cfRule>
  </conditionalFormatting>
  <conditionalFormatting sqref="Q71">
    <cfRule type="cellIs" dxfId="1018" priority="37" operator="greaterThan">
      <formula>1</formula>
    </cfRule>
    <cfRule type="cellIs" dxfId="1017" priority="38" operator="lessThan">
      <formula>0.8</formula>
    </cfRule>
  </conditionalFormatting>
  <conditionalFormatting sqref="R71">
    <cfRule type="cellIs" dxfId="1016" priority="40" operator="lessThan">
      <formula>0.8</formula>
    </cfRule>
  </conditionalFormatting>
  <conditionalFormatting sqref="O15">
    <cfRule type="cellIs" dxfId="1015" priority="31" operator="greaterThan">
      <formula>0</formula>
    </cfRule>
  </conditionalFormatting>
  <conditionalFormatting sqref="P15">
    <cfRule type="cellIs" dxfId="1014" priority="34" operator="lessThan">
      <formula>0</formula>
    </cfRule>
  </conditionalFormatting>
  <conditionalFormatting sqref="Q15">
    <cfRule type="cellIs" dxfId="1013" priority="32" operator="greaterThan">
      <formula>1</formula>
    </cfRule>
    <cfRule type="cellIs" dxfId="1012" priority="33" operator="lessThan">
      <formula>0.8</formula>
    </cfRule>
  </conditionalFormatting>
  <conditionalFormatting sqref="R15 AC15">
    <cfRule type="cellIs" dxfId="1011" priority="35" operator="lessThan">
      <formula>0.8</formula>
    </cfRule>
  </conditionalFormatting>
  <conditionalFormatting sqref="O32">
    <cfRule type="cellIs" dxfId="1010" priority="26" operator="greaterThan">
      <formula>0</formula>
    </cfRule>
  </conditionalFormatting>
  <conditionalFormatting sqref="P32">
    <cfRule type="cellIs" dxfId="1009" priority="29" operator="lessThan">
      <formula>0</formula>
    </cfRule>
  </conditionalFormatting>
  <conditionalFormatting sqref="Q32">
    <cfRule type="cellIs" dxfId="1008" priority="27" operator="greaterThan">
      <formula>1</formula>
    </cfRule>
    <cfRule type="cellIs" dxfId="1007" priority="28" operator="lessThan">
      <formula>0.8</formula>
    </cfRule>
  </conditionalFormatting>
  <conditionalFormatting sqref="R32 AC32">
    <cfRule type="cellIs" dxfId="1006" priority="30" operator="lessThan">
      <formula>0.8</formula>
    </cfRule>
  </conditionalFormatting>
  <conditionalFormatting sqref="O61">
    <cfRule type="cellIs" dxfId="1005" priority="21" operator="greaterThan">
      <formula>0</formula>
    </cfRule>
  </conditionalFormatting>
  <conditionalFormatting sqref="P61 AA61">
    <cfRule type="cellIs" dxfId="1004" priority="24" operator="lessThan">
      <formula>0</formula>
    </cfRule>
  </conditionalFormatting>
  <conditionalFormatting sqref="Q61 AB61">
    <cfRule type="cellIs" dxfId="1003" priority="22" operator="greaterThan">
      <formula>1</formula>
    </cfRule>
    <cfRule type="cellIs" dxfId="1002" priority="23" operator="lessThan">
      <formula>0.8</formula>
    </cfRule>
  </conditionalFormatting>
  <conditionalFormatting sqref="R61 AC61">
    <cfRule type="cellIs" dxfId="1001" priority="25" operator="lessThan">
      <formula>0.8</formula>
    </cfRule>
  </conditionalFormatting>
  <conditionalFormatting sqref="P8">
    <cfRule type="cellIs" dxfId="1000" priority="20" operator="lessThan">
      <formula>0</formula>
    </cfRule>
  </conditionalFormatting>
  <conditionalFormatting sqref="P16">
    <cfRule type="cellIs" dxfId="999" priority="19" operator="lessThan">
      <formula>0</formula>
    </cfRule>
  </conditionalFormatting>
  <conditionalFormatting sqref="P22">
    <cfRule type="cellIs" dxfId="998" priority="18" operator="lessThan">
      <formula>0</formula>
    </cfRule>
  </conditionalFormatting>
  <conditionalFormatting sqref="P34">
    <cfRule type="cellIs" dxfId="997" priority="17" operator="lessThan">
      <formula>0</formula>
    </cfRule>
  </conditionalFormatting>
  <conditionalFormatting sqref="P52">
    <cfRule type="cellIs" dxfId="996" priority="16" operator="lessThan">
      <formula>0</formula>
    </cfRule>
  </conditionalFormatting>
  <conditionalFormatting sqref="P59">
    <cfRule type="cellIs" dxfId="995" priority="15" operator="lessThan">
      <formula>0</formula>
    </cfRule>
  </conditionalFormatting>
  <conditionalFormatting sqref="P64">
    <cfRule type="cellIs" dxfId="994" priority="14" operator="lessThan">
      <formula>0</formula>
    </cfRule>
  </conditionalFormatting>
  <conditionalFormatting sqref="P73">
    <cfRule type="cellIs" dxfId="993" priority="13" operator="lessThan">
      <formula>0</formula>
    </cfRule>
  </conditionalFormatting>
  <conditionalFormatting sqref="R44 AC44">
    <cfRule type="cellIs" dxfId="992" priority="12" operator="lessThan">
      <formula>0.8</formula>
    </cfRule>
  </conditionalFormatting>
  <conditionalFormatting sqref="AC44">
    <cfRule type="cellIs" dxfId="991" priority="11" operator="lessThan">
      <formula>0.8</formula>
    </cfRule>
  </conditionalFormatting>
  <conditionalFormatting sqref="O33">
    <cfRule type="cellIs" dxfId="990" priority="6" operator="greaterThan">
      <formula>0</formula>
    </cfRule>
  </conditionalFormatting>
  <conditionalFormatting sqref="P33">
    <cfRule type="cellIs" dxfId="989" priority="9" operator="lessThan">
      <formula>0</formula>
    </cfRule>
  </conditionalFormatting>
  <conditionalFormatting sqref="Q33">
    <cfRule type="cellIs" dxfId="988" priority="7" operator="greaterThan">
      <formula>1</formula>
    </cfRule>
    <cfRule type="cellIs" dxfId="987" priority="8" operator="lessThan">
      <formula>0.8</formula>
    </cfRule>
  </conditionalFormatting>
  <conditionalFormatting sqref="R33 AC33">
    <cfRule type="cellIs" dxfId="986" priority="10" operator="lessThan">
      <formula>0.8</formula>
    </cfRule>
  </conditionalFormatting>
  <conditionalFormatting sqref="O72">
    <cfRule type="cellIs" dxfId="985" priority="1" operator="greaterThan">
      <formula>0</formula>
    </cfRule>
  </conditionalFormatting>
  <conditionalFormatting sqref="P72">
    <cfRule type="cellIs" dxfId="984" priority="4" operator="lessThan">
      <formula>0</formula>
    </cfRule>
  </conditionalFormatting>
  <conditionalFormatting sqref="Q72">
    <cfRule type="cellIs" dxfId="983" priority="2" operator="greaterThan">
      <formula>1</formula>
    </cfRule>
    <cfRule type="cellIs" dxfId="982" priority="3" operator="lessThan">
      <formula>0.8</formula>
    </cfRule>
  </conditionalFormatting>
  <conditionalFormatting sqref="R72">
    <cfRule type="cellIs" dxfId="981" priority="5" operator="lessThan">
      <formula>0.8</formula>
    </cfRule>
  </conditionalFormatting>
  <dataValidations count="1">
    <dataValidation type="list" allowBlank="1" showInputMessage="1" showErrorMessage="1" sqref="Z8 Y5:Z7 Y8:Y63 Z10:Z60 Y64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B1:Q28"/>
  <sheetViews>
    <sheetView zoomScale="70" zoomScaleNormal="70" workbookViewId="0">
      <selection activeCell="I3" sqref="I3:J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1242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288" t="s">
        <v>1243</v>
      </c>
      <c r="C3" s="493" t="str">
        <f>TEXT('0917 4度C'!A2,"yyyy.mm.ddaaaa")</f>
        <v>2025.09.17星期三</v>
      </c>
      <c r="D3" s="493"/>
      <c r="E3" s="288" t="s">
        <v>1244</v>
      </c>
      <c r="F3" s="494">
        <f>'0917 4度C'!D1</f>
        <v>188216</v>
      </c>
      <c r="G3" s="494"/>
      <c r="H3" s="288" t="s">
        <v>1245</v>
      </c>
      <c r="I3" s="495">
        <f>'0917 4度C'!F1</f>
        <v>6072276.2600000026</v>
      </c>
      <c r="J3" s="495"/>
      <c r="K3" s="45"/>
      <c r="L3" s="46"/>
      <c r="M3" s="47"/>
      <c r="N3" s="47"/>
    </row>
    <row r="4" spans="2:17" ht="28.5" customHeight="1">
      <c r="B4" s="496" t="s">
        <v>1246</v>
      </c>
      <c r="C4" s="496" t="s">
        <v>1247</v>
      </c>
      <c r="D4" s="496"/>
      <c r="E4" s="497" t="s">
        <v>1248</v>
      </c>
      <c r="F4" s="497"/>
      <c r="G4" s="497" t="s">
        <v>1249</v>
      </c>
      <c r="H4" s="497"/>
      <c r="I4" s="497" t="s">
        <v>1250</v>
      </c>
      <c r="J4" s="497"/>
      <c r="L4" s="47"/>
      <c r="M4" s="47"/>
      <c r="N4" s="47"/>
    </row>
    <row r="5" spans="2:17" ht="28.5" customHeight="1">
      <c r="B5" s="496"/>
      <c r="C5" s="496" t="s">
        <v>1251</v>
      </c>
      <c r="D5" s="496"/>
      <c r="E5" s="496" t="s">
        <v>1252</v>
      </c>
      <c r="F5" s="496"/>
      <c r="G5" s="498" t="s">
        <v>1253</v>
      </c>
      <c r="H5" s="498"/>
      <c r="I5" s="499" t="s">
        <v>1254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148.97856688150219</v>
      </c>
      <c r="F6" s="496">
        <f>AVERAGE(D27:O27,D13:J13)</f>
        <v>154.11758614896158</v>
      </c>
      <c r="G6" s="501">
        <f>AVERAGE(D13:J13)</f>
        <v>154.11758614896158</v>
      </c>
      <c r="H6" s="501"/>
      <c r="I6" s="501">
        <f>AVERAGE(K13:M13)</f>
        <v>136.98752192409697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141.96867573036434</v>
      </c>
      <c r="F7" s="506">
        <f>AVERAGE(D28:O28,D14:J14)</f>
        <v>146.9508620264219</v>
      </c>
      <c r="G7" s="507">
        <f>AVERAGE(D14:J14)</f>
        <v>146.9508620264219</v>
      </c>
      <c r="H7" s="507"/>
      <c r="I7" s="507">
        <f>AVERAGE(K14:M14)</f>
        <v>130.34357437289671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0.95245229802225084</v>
      </c>
      <c r="F8" s="504">
        <f>AVERAGE(D15:J15,D29:O29)</f>
        <v>0.9528625083667307</v>
      </c>
      <c r="G8" s="509">
        <f>AVERAGE(D15:J15)</f>
        <v>0.9528625083667307</v>
      </c>
      <c r="H8" s="509"/>
      <c r="I8" s="509">
        <f>AVERAGE(K15:M15)</f>
        <v>0.95149514055179818</v>
      </c>
      <c r="J8" s="509"/>
      <c r="K8" s="48" t="s">
        <v>1255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1256</v>
      </c>
      <c r="C10" s="414"/>
      <c r="D10" s="415" t="s">
        <v>1257</v>
      </c>
      <c r="E10" s="416"/>
      <c r="F10" s="416"/>
      <c r="G10" s="416"/>
      <c r="H10" s="416"/>
      <c r="I10" s="416"/>
      <c r="J10" s="417"/>
      <c r="K10" s="389" t="s">
        <v>1258</v>
      </c>
      <c r="L10" s="390"/>
      <c r="M10" s="391"/>
      <c r="P10" s="51"/>
      <c r="Q10" s="51"/>
    </row>
    <row r="11" spans="2:17" ht="17.25" customHeight="1">
      <c r="B11" s="503" t="s">
        <v>1259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1260</v>
      </c>
      <c r="C13" s="58" t="s">
        <v>1261</v>
      </c>
      <c r="D13" s="59">
        <f>SUMIFS('0917 4度C'!$K:$K,'0917 4度C'!$A:$A,"新豐6線",'0917 4度C'!$B:$B,"平均")</f>
        <v>125</v>
      </c>
      <c r="E13" s="60">
        <f>SUMIFS('0917 4度C'!$K:$K,'0917 4度C'!$A:$A,"新豐2線",'0917 4度C'!$B:$B,"平均")</f>
        <v>88.235294117647058</v>
      </c>
      <c r="F13" s="61">
        <f>SUMIFS('0917 4度C'!$K:$K,'0917 4度C'!$A:$A,"新豐5線",'0917 4度C'!$B:$B,"平均")</f>
        <v>88.541666666666671</v>
      </c>
      <c r="G13" s="61">
        <f>SUMIFS('0917 4度C'!$K:$K,'0917 4度C'!$A:$A,"新豐7線",'0917 4度C'!$B:$B,"平均")</f>
        <v>117.64705882352941</v>
      </c>
      <c r="H13" s="61">
        <f>SUMIFS('0917 4度C'!$K:$K,'0917 4度C'!$A:$A,"新豐3線",'0917 4度C'!$B:$B,"平均")</f>
        <v>310.34482758620692</v>
      </c>
      <c r="I13" s="61">
        <f>SUMIFS('0917 4度C'!$K:$K,'0917 4度C'!$A:$A,"新豐1線",'0917 4度C'!$B:$B,"平均")</f>
        <v>117.34693877551021</v>
      </c>
      <c r="J13" s="62">
        <f>SUMIFS('0917 4度C'!$K:$K,'0917 4度C'!$A:$A,"新豐10線",'0917 4度C'!$B:$B,"平均")</f>
        <v>231.70731707317074</v>
      </c>
      <c r="K13" s="63">
        <f>SUMIFS('0917 4度C'!$K:$K,'0917 4度C'!$A:$A,"新豐8線",'0917 4度C'!$B:$B,"平均")</f>
        <v>132.59668508287291</v>
      </c>
      <c r="L13" s="64">
        <f>SUMIFS('0917 4度C'!$K:$K,'0917 4度C'!$A:$A,"新豐9線",'0917 4度C'!$B:$B,"平均")</f>
        <v>138.21989528795811</v>
      </c>
      <c r="M13" s="62">
        <f>SUMIFS('0917 4度C'!$K:$K,'0917 4度C'!$A:$A,"新豐4線",'0917 4度C'!$B:$B,"平均")</f>
        <v>140.14598540145985</v>
      </c>
    </row>
    <row r="14" spans="2:17" ht="39.6" customHeight="1">
      <c r="B14" s="515"/>
      <c r="C14" s="65" t="s">
        <v>1262</v>
      </c>
      <c r="D14" s="66">
        <f>SUMIFS('0917 4度C'!$N:$N,'0917 4度C'!$A:$A,"新豐6線",'0917 4度C'!$B:$B,"平均")</f>
        <v>119.70225824587709</v>
      </c>
      <c r="E14" s="67">
        <f>SUMIFS('0917 4度C'!$N:$N,'0917 4度C'!$A:$A,"新豐2線",'0917 4度C'!$B:$B,"平均")</f>
        <v>83.687995574405292</v>
      </c>
      <c r="F14" s="67">
        <f>SUMIFS('0917 4度C'!$N:$N,'0917 4度C'!$A:$A,"新豐5線",'0917 4度C'!$B:$B,"平均")</f>
        <v>84.254013099050184</v>
      </c>
      <c r="G14" s="67">
        <f>SUMIFS('0917 4度C'!$N:$N,'0917 4度C'!$A:$A,"新豐7線",'0917 4度C'!$B:$B,"平均")</f>
        <v>111.96437943552189</v>
      </c>
      <c r="H14" s="67">
        <f>SUMIFS('0917 4度C'!$N:$N,'0917 4度C'!$A:$A,"新豐3線",'0917 4度C'!$B:$B,"平均")</f>
        <v>296.40637200766884</v>
      </c>
      <c r="I14" s="67">
        <f>SUMIFS('0917 4度C'!$N:$N,'0917 4度C'!$A:$A,"新豐1線",'0917 4度C'!$B:$B,"平均")</f>
        <v>111.74356006130948</v>
      </c>
      <c r="J14" s="68">
        <f>SUMIFS('0917 4度C'!$N:$N,'0917 4度C'!$A:$A,"新豐10線",'0917 4度C'!$B:$B,"平均")</f>
        <v>220.89745576112048</v>
      </c>
      <c r="K14" s="69">
        <f>SUMIFS('0917 4度C'!$N:$N,'0917 4度C'!$A:$A,"新豐8線",'0917 4度C'!$B:$B,"平均")</f>
        <v>126.0964434670434</v>
      </c>
      <c r="L14" s="70">
        <f>SUMIFS('0917 4度C'!$N:$N,'0917 4度C'!$A:$A,"新豐9線",'0917 4度C'!$B:$B,"平均")</f>
        <v>131.66411734670675</v>
      </c>
      <c r="M14" s="68">
        <f>SUMIFS('0917 4度C'!$N:$N,'0917 4度C'!$A:$A,"新豐4線",'0917 4度C'!$B:$B,"平均")</f>
        <v>133.27016230494002</v>
      </c>
    </row>
    <row r="15" spans="2:17" ht="40.15" customHeight="1">
      <c r="B15" s="515"/>
      <c r="C15" s="71" t="s">
        <v>1263</v>
      </c>
      <c r="D15" s="72">
        <f t="shared" ref="D15:M15" si="0">D14/D13</f>
        <v>0.95761806596701671</v>
      </c>
      <c r="E15" s="73">
        <f t="shared" si="0"/>
        <v>0.94846394984325999</v>
      </c>
      <c r="F15" s="73">
        <f t="shared" si="0"/>
        <v>0.95157473617750787</v>
      </c>
      <c r="G15" s="73">
        <f t="shared" si="0"/>
        <v>0.95169722520193611</v>
      </c>
      <c r="H15" s="73">
        <f t="shared" si="0"/>
        <v>0.95508719869137726</v>
      </c>
      <c r="I15" s="73">
        <f t="shared" si="0"/>
        <v>0.95224946834855029</v>
      </c>
      <c r="J15" s="74">
        <f t="shared" si="0"/>
        <v>0.95334691433746732</v>
      </c>
      <c r="K15" s="72">
        <f t="shared" si="0"/>
        <v>0.9509773444806191</v>
      </c>
      <c r="L15" s="73">
        <f t="shared" si="0"/>
        <v>0.95256993989473449</v>
      </c>
      <c r="M15" s="74">
        <f t="shared" si="0"/>
        <v>0.95093813728004073</v>
      </c>
    </row>
    <row r="16" spans="2:17" ht="17.25" customHeight="1">
      <c r="B16" s="502" t="s">
        <v>1264</v>
      </c>
      <c r="C16" s="289" t="s">
        <v>1265</v>
      </c>
      <c r="D16" s="76">
        <f>VLOOKUP("新豐6線",'0917 4度C'!$A:$T,19,0)</f>
        <v>0.70833333333333337</v>
      </c>
      <c r="E16" s="28">
        <f>VLOOKUP("新豐2線",'0917 4度C'!$A:$T,19,0)</f>
        <v>0.20833333333333334</v>
      </c>
      <c r="F16" s="28">
        <f>VLOOKUP("新豐5線",'0917 4度C'!$A:$T,19,0)</f>
        <v>8.3333333333333329E-2</v>
      </c>
      <c r="G16" s="28">
        <f>VLOOKUP("新豐7線",'0917 4度C'!$A:$T,19,0)</f>
        <v>0.20833333333333334</v>
      </c>
      <c r="H16" s="28">
        <f>VLOOKUP("新豐3線",'0917 4度C'!$A:$T,19,0)</f>
        <v>8.3333333333333329E-2</v>
      </c>
      <c r="I16" s="28">
        <f>VLOOKUP("新豐1線",'0917 4度C'!$A:$T,19,0)</f>
        <v>0.29166666666666669</v>
      </c>
      <c r="J16" s="77">
        <f>VLOOKUP("新豐10線",'0917 4度C'!$A:$T,19,0)</f>
        <v>8.3333333333333329E-2</v>
      </c>
      <c r="K16" s="78">
        <f>VLOOKUP("新豐8線",'0917 4度C'!$A:$T,19,0)</f>
        <v>8.3333333333333329E-2</v>
      </c>
      <c r="L16" s="79">
        <f>VLOOKUP("新豐9線",'0917 4度C'!$A:$T,19,0)</f>
        <v>8.3333333333333329E-2</v>
      </c>
      <c r="M16" s="80">
        <f>VLOOKUP("新豐4線",'0917 4度C'!$A:$T,19,0)</f>
        <v>8.3333333333333329E-2</v>
      </c>
    </row>
    <row r="17" spans="2:13" ht="17.25" customHeight="1">
      <c r="B17" s="503"/>
      <c r="C17" s="289" t="s">
        <v>1266</v>
      </c>
      <c r="D17" s="78">
        <f>LOOKUP(2,1/(('0917 4度C'!$A:$A="新豐6線")*('0917 4度C'!$T:$T&lt;&gt;"")),'0917 4度C'!$T:$T)</f>
        <v>0.82708333333333328</v>
      </c>
      <c r="E17" s="28">
        <f>LOOKUP(2,1/(('0917 4度C'!$A:$A="新豐2線")*('0917 4度C'!$T:$T&lt;&gt;"")),'0917 4度C'!$T:$T)</f>
        <v>0.42986111111111114</v>
      </c>
      <c r="F17" s="28">
        <f>LOOKUP(2,1/(('0917 4度C'!$A:$A="新豐5線")*('0917 4度C'!$T:$T&lt;&gt;"")),'0917 4度C'!$T:$T)</f>
        <v>0.83680555555555558</v>
      </c>
      <c r="G17" s="28">
        <f>LOOKUP(2,1/(('0917 4度C'!$A:$A="新豐7線")*('0917 4度C'!$T:$T&lt;&gt;"")),'0917 4度C'!$T:$T)</f>
        <v>0.77361111111111114</v>
      </c>
      <c r="H17" s="28">
        <f>LOOKUP(2,1/(('0917 4度C'!$A:$A="新豐3線")*('0917 4度C'!$T:$T&lt;&gt;"")),'0917 4度C'!$T:$T)</f>
        <v>0.48402777777777767</v>
      </c>
      <c r="I17" s="28">
        <f>LOOKUP(2,1/(('0917 4度C'!$A:$A="新豐1線")*('0917 4度C'!$T:$T&lt;&gt;"")),'0917 4度C'!$T:$T)</f>
        <v>0.84236111111111112</v>
      </c>
      <c r="J17" s="77">
        <f>LOOKUP(2,1/(('0917 4度C'!$A:$A="新豐10線")*('0917 4度C'!$T:$T&lt;&gt;"")),'0917 4度C'!$T:$T)</f>
        <v>0.33055555555555555</v>
      </c>
      <c r="K17" s="76">
        <f>LOOKUP(2,1/(('0917 4度C'!$A:$A="新豐8線")*('0917 4度C'!$T:$T&lt;&gt;"")),'0917 4度C'!$T:$T)</f>
        <v>0.76458333333333306</v>
      </c>
      <c r="L17" s="28">
        <f>LOOKUP(2,1/(('0917 4度C'!$A:$A="新豐9線")*('0917 4度C'!$T:$T&lt;&gt;"")),'0917 4度C'!$T:$T)</f>
        <v>0.77777777777777779</v>
      </c>
      <c r="M17" s="77">
        <f>LOOKUP(2,1/(('0917 4度C'!$A:$A="新豐4線")*('0917 4度C'!$T:$T&lt;&gt;"")),'0917 4度C'!$T:$T)</f>
        <v>0.7451388888888888</v>
      </c>
    </row>
    <row r="18" spans="2:13" ht="17.25" customHeight="1">
      <c r="B18" s="503" t="s">
        <v>1267</v>
      </c>
      <c r="C18" s="514"/>
      <c r="D18" s="81">
        <f>SUMIFS('0917 4度C'!$I:$I,'0917 4度C'!$A:$A,"新豐6線",'0917 4度C'!$B:$B,"平均")</f>
        <v>16</v>
      </c>
      <c r="E18" s="82">
        <f>SUMIFS('0917 4度C'!$I:$I,'0917 4度C'!$A:$A,"新豐2線",'0917 4度C'!$B:$B,"平均")</f>
        <v>17</v>
      </c>
      <c r="F18" s="82">
        <f>SUMIFS('0917 4度C'!$I:$I,'0917 4度C'!$A:$A,"新豐5線",'0917 4度C'!$B:$B,"平均")</f>
        <v>19.2</v>
      </c>
      <c r="G18" s="82">
        <f>SUMIFS('0917 4度C'!$I:$I,'0917 4度C'!$A:$A,"新豐7線",'0917 4度C'!$B:$B,"平均")</f>
        <v>17</v>
      </c>
      <c r="H18" s="82">
        <f>SUMIFS('0917 4度C'!$I:$I,'0917 4度C'!$A:$A,"新豐3線",'0917 4度C'!$B:$B,"平均")</f>
        <v>9.6666666666666661</v>
      </c>
      <c r="I18" s="82">
        <f>SUMIFS('0917 4度C'!$I:$I,'0917 4度C'!$A:$A,"新豐1線",'0917 4度C'!$B:$B,"平均")</f>
        <v>16.333333333333332</v>
      </c>
      <c r="J18" s="83">
        <f>SUMIFS('0917 4度C'!$I:$I,'0917 4度C'!$A:$A,"新豐10線",'0917 4度C'!$B:$B,"平均")</f>
        <v>10.25</v>
      </c>
      <c r="K18" s="81">
        <f>SUMIFS('0917 4度C'!$I:$I,'0917 4度C'!$A:$A,"新豐8線",'0917 4度C'!$B:$B,"平均")</f>
        <v>18.100000000000001</v>
      </c>
      <c r="L18" s="82">
        <f>SUMIFS('0917 4度C'!$I:$I,'0917 4度C'!$A:$A,"新豐9線",'0917 4度C'!$B:$B,"平均")</f>
        <v>17.363636363636363</v>
      </c>
      <c r="M18" s="83">
        <f>SUMIFS('0917 4度C'!$I:$I,'0917 4度C'!$A:$A,"新豐4線",'0917 4度C'!$B:$B,"平均")</f>
        <v>17.125</v>
      </c>
    </row>
    <row r="19" spans="2:13" ht="17.25" customHeight="1">
      <c r="B19" s="510" t="s">
        <v>1268</v>
      </c>
      <c r="C19" s="511"/>
      <c r="D19" s="84" t="s">
        <v>148</v>
      </c>
      <c r="E19" s="85" t="s">
        <v>149</v>
      </c>
      <c r="F19" s="85" t="s">
        <v>338</v>
      </c>
      <c r="G19" s="85" t="s">
        <v>1269</v>
      </c>
      <c r="H19" s="85" t="s">
        <v>151</v>
      </c>
      <c r="I19" s="85" t="s">
        <v>148</v>
      </c>
      <c r="J19" s="86" t="s">
        <v>151</v>
      </c>
      <c r="K19" s="84" t="s">
        <v>1270</v>
      </c>
      <c r="L19" s="85" t="s">
        <v>1270</v>
      </c>
      <c r="M19" s="86" t="s">
        <v>1270</v>
      </c>
    </row>
    <row r="20" spans="2:13" ht="17.25" customHeight="1">
      <c r="B20" s="510" t="s">
        <v>1271</v>
      </c>
      <c r="C20" s="511"/>
      <c r="D20" s="84"/>
      <c r="E20" s="85"/>
      <c r="F20" s="85" t="s">
        <v>1272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1273</v>
      </c>
      <c r="C21" s="513"/>
      <c r="D21" s="87"/>
      <c r="E21" s="88" t="s">
        <v>1274</v>
      </c>
      <c r="F21" s="387" t="s">
        <v>1275</v>
      </c>
      <c r="G21" s="388"/>
      <c r="H21" s="88" t="s">
        <v>1276</v>
      </c>
      <c r="I21" s="88" t="s">
        <v>1277</v>
      </c>
      <c r="J21" s="89" t="s">
        <v>1276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98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>
    <pageSetUpPr fitToPage="1"/>
  </sheetPr>
  <dimension ref="A1:AC74"/>
  <sheetViews>
    <sheetView zoomScale="80" zoomScaleNormal="80" workbookViewId="0">
      <pane ySplit="4" topLeftCell="A56" activePane="bottomLeft" state="frozen"/>
      <selection activeCell="I3" sqref="I3:J3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1278</v>
      </c>
      <c r="B1" s="1"/>
      <c r="C1" s="2" t="s">
        <v>1279</v>
      </c>
      <c r="D1" s="3">
        <f>SUM(F5:F73)</f>
        <v>188216</v>
      </c>
      <c r="E1" s="290" t="s">
        <v>1280</v>
      </c>
      <c r="F1" s="1">
        <f>SUM(G5:G73)</f>
        <v>6072276.2600000026</v>
      </c>
      <c r="G1" s="1" t="s">
        <v>1281</v>
      </c>
      <c r="H1" s="38">
        <f>L8+L16+L59+L64+L22+L73+L45+L52+L33+L10</f>
        <v>158.03863636363636</v>
      </c>
      <c r="I1" s="482" t="s">
        <v>1282</v>
      </c>
      <c r="J1" s="482"/>
      <c r="K1" s="482"/>
      <c r="L1" s="482" t="s">
        <v>1283</v>
      </c>
      <c r="M1" s="482"/>
      <c r="N1" s="482"/>
      <c r="O1" s="482" t="s">
        <v>1284</v>
      </c>
      <c r="P1" s="482"/>
      <c r="Q1" s="482"/>
      <c r="R1" s="482"/>
      <c r="S1" s="482" t="s">
        <v>1285</v>
      </c>
      <c r="T1" s="482"/>
      <c r="U1" s="482"/>
      <c r="V1" s="482"/>
      <c r="W1" s="482"/>
      <c r="X1" s="482"/>
      <c r="Y1" s="482" t="s">
        <v>1286</v>
      </c>
      <c r="Z1" s="482"/>
      <c r="AA1" s="482" t="s">
        <v>1287</v>
      </c>
      <c r="AB1" s="483"/>
      <c r="AC1" s="483"/>
    </row>
    <row r="2" spans="1:29" ht="26.25" customHeight="1">
      <c r="A2" s="24">
        <v>45917</v>
      </c>
      <c r="B2" s="25" t="s">
        <v>237</v>
      </c>
      <c r="C2" s="2" t="s">
        <v>1260</v>
      </c>
      <c r="D2" s="6">
        <f>AVERAGE(N8,N10,N52,N59,N16,N64,N22,N33,N45,N73)</f>
        <v>141.96867573036431</v>
      </c>
      <c r="E2" s="7" t="s">
        <v>11</v>
      </c>
      <c r="F2" s="8">
        <f>F1/D1</f>
        <v>32.262274514387741</v>
      </c>
      <c r="G2" s="1" t="s">
        <v>1288</v>
      </c>
      <c r="H2" s="39">
        <f>COUNT(H5:H71)</f>
        <v>12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1289</v>
      </c>
      <c r="B3" s="443" t="s">
        <v>1290</v>
      </c>
      <c r="C3" s="443" t="s">
        <v>1291</v>
      </c>
      <c r="D3" s="443"/>
      <c r="E3" s="484" t="s">
        <v>1292</v>
      </c>
      <c r="F3" s="443" t="s">
        <v>1293</v>
      </c>
      <c r="G3" s="484" t="s">
        <v>1294</v>
      </c>
      <c r="H3" s="487" t="s">
        <v>1295</v>
      </c>
      <c r="I3" s="474" t="s">
        <v>306</v>
      </c>
      <c r="J3" s="479" t="s">
        <v>1296</v>
      </c>
      <c r="K3" s="481" t="s">
        <v>1260</v>
      </c>
      <c r="L3" s="474" t="s">
        <v>306</v>
      </c>
      <c r="M3" s="479" t="s">
        <v>1296</v>
      </c>
      <c r="N3" s="481" t="s">
        <v>1260</v>
      </c>
      <c r="O3" s="474" t="s">
        <v>306</v>
      </c>
      <c r="P3" s="481" t="s">
        <v>1260</v>
      </c>
      <c r="Q3" s="480" t="s">
        <v>1297</v>
      </c>
      <c r="R3" s="451" t="s">
        <v>1298</v>
      </c>
      <c r="S3" s="486" t="s">
        <v>25</v>
      </c>
      <c r="T3" s="486"/>
      <c r="U3" s="476" t="s">
        <v>26</v>
      </c>
      <c r="V3" s="476" t="s">
        <v>1299</v>
      </c>
      <c r="W3" s="443" t="s">
        <v>1300</v>
      </c>
      <c r="X3" s="443"/>
      <c r="Y3" s="477" t="s">
        <v>1301</v>
      </c>
      <c r="Z3" s="478"/>
      <c r="AA3" s="479" t="s">
        <v>1296</v>
      </c>
      <c r="AB3" s="480" t="s">
        <v>1297</v>
      </c>
      <c r="AC3" s="451" t="s">
        <v>1302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91" t="s">
        <v>31</v>
      </c>
      <c r="T4" s="291" t="s">
        <v>32</v>
      </c>
      <c r="U4" s="476"/>
      <c r="V4" s="476"/>
      <c r="W4" s="290" t="s">
        <v>1303</v>
      </c>
      <c r="X4" s="290" t="s">
        <v>1304</v>
      </c>
      <c r="Y4" s="478"/>
      <c r="Z4" s="478"/>
      <c r="AA4" s="479"/>
      <c r="AB4" s="480"/>
      <c r="AC4" s="451"/>
    </row>
    <row r="5" spans="1:29">
      <c r="A5" s="473" t="s">
        <v>1305</v>
      </c>
      <c r="B5" s="31" t="s">
        <v>58</v>
      </c>
      <c r="C5" s="475" t="s">
        <v>104</v>
      </c>
      <c r="D5" s="475"/>
      <c r="E5" s="31">
        <v>46.93</v>
      </c>
      <c r="F5" s="291">
        <v>1020</v>
      </c>
      <c r="G5" s="290">
        <f>E5*F5</f>
        <v>47868.6</v>
      </c>
      <c r="H5" s="295" t="s">
        <v>103</v>
      </c>
      <c r="I5" s="292">
        <v>16</v>
      </c>
      <c r="J5" s="26">
        <v>2000</v>
      </c>
      <c r="K5" s="10">
        <f>J5/I5</f>
        <v>125</v>
      </c>
      <c r="L5" s="292">
        <v>16</v>
      </c>
      <c r="M5" s="11">
        <f>F5/V5*60</f>
        <v>1912.4999999999975</v>
      </c>
      <c r="N5" s="10">
        <f>M5/L5</f>
        <v>119.53124999999984</v>
      </c>
      <c r="O5" s="12">
        <f t="shared" ref="O5:O7" si="0">L5-I5</f>
        <v>0</v>
      </c>
      <c r="P5" s="13">
        <f t="shared" ref="P5:P7" si="1">N5-K5</f>
        <v>-5.4687500000001563</v>
      </c>
      <c r="Q5" s="293">
        <f>N5/K5</f>
        <v>0.95624999999999871</v>
      </c>
      <c r="R5" s="442">
        <f>Q8</f>
        <v>0.95761806596701671</v>
      </c>
      <c r="S5" s="28">
        <v>0.70833333333333337</v>
      </c>
      <c r="T5" s="28">
        <v>0.73055555555555562</v>
      </c>
      <c r="U5" s="290"/>
      <c r="V5" s="298">
        <f>(T5-S5)*24*60</f>
        <v>32.000000000000043</v>
      </c>
      <c r="W5" s="16"/>
      <c r="X5" s="17"/>
      <c r="Y5" s="443"/>
      <c r="Z5" s="443"/>
      <c r="AA5" s="12">
        <f t="shared" ref="AA5:AA68" si="2">M5-J5</f>
        <v>-87.500000000002501</v>
      </c>
      <c r="AB5" s="293">
        <f t="shared" ref="AB5:AB7" si="3">M5/J5</f>
        <v>0.95624999999999871</v>
      </c>
      <c r="AC5" s="442">
        <f>AB8</f>
        <v>0.95761806596701671</v>
      </c>
    </row>
    <row r="6" spans="1:29">
      <c r="A6" s="474" t="s">
        <v>1306</v>
      </c>
      <c r="B6" s="31" t="s">
        <v>58</v>
      </c>
      <c r="C6" s="475" t="s">
        <v>105</v>
      </c>
      <c r="D6" s="475"/>
      <c r="E6" s="31">
        <v>50.49</v>
      </c>
      <c r="F6" s="291">
        <v>2199</v>
      </c>
      <c r="G6" s="290">
        <f t="shared" ref="G6:G7" si="4">E6*F6</f>
        <v>111027.51000000001</v>
      </c>
      <c r="H6" s="295" t="s">
        <v>103</v>
      </c>
      <c r="I6" s="292">
        <v>15</v>
      </c>
      <c r="J6" s="26">
        <v>2000</v>
      </c>
      <c r="K6" s="10">
        <f t="shared" ref="K6:K7" si="5">J6/I6</f>
        <v>133.33333333333334</v>
      </c>
      <c r="L6" s="292">
        <v>15</v>
      </c>
      <c r="M6" s="11">
        <f>F6/V6*60</f>
        <v>1912.1739130434805</v>
      </c>
      <c r="N6" s="10">
        <f t="shared" ref="N6:N7" si="6">M6/L6</f>
        <v>127.47826086956537</v>
      </c>
      <c r="O6" s="12">
        <f t="shared" si="0"/>
        <v>0</v>
      </c>
      <c r="P6" s="13">
        <f t="shared" si="1"/>
        <v>-5.8550724637679679</v>
      </c>
      <c r="Q6" s="293">
        <f t="shared" ref="Q6:Q7" si="7">N6/K6</f>
        <v>0.95608695652174025</v>
      </c>
      <c r="R6" s="442"/>
      <c r="S6" s="28">
        <v>0.73472222222222228</v>
      </c>
      <c r="T6" s="28">
        <v>0.78263888888888888</v>
      </c>
      <c r="U6" s="290">
        <f>(S6-T5)*24*60</f>
        <v>5.9999999999999787</v>
      </c>
      <c r="V6" s="298">
        <f>(T6-S6)*24*60</f>
        <v>68.999999999999915</v>
      </c>
      <c r="W6" s="16"/>
      <c r="X6" s="16"/>
      <c r="Y6" s="443"/>
      <c r="Z6" s="443"/>
      <c r="AA6" s="12">
        <f t="shared" si="2"/>
        <v>-87.826086956519475</v>
      </c>
      <c r="AB6" s="293">
        <f t="shared" si="3"/>
        <v>0.95608695652174025</v>
      </c>
      <c r="AC6" s="442"/>
    </row>
    <row r="7" spans="1:29">
      <c r="A7" s="474" t="s">
        <v>1306</v>
      </c>
      <c r="B7" s="31" t="s">
        <v>58</v>
      </c>
      <c r="C7" s="471" t="s">
        <v>106</v>
      </c>
      <c r="D7" s="472"/>
      <c r="E7" s="31">
        <v>50.67</v>
      </c>
      <c r="F7" s="291">
        <v>1857</v>
      </c>
      <c r="G7" s="290">
        <f t="shared" si="4"/>
        <v>94094.19</v>
      </c>
      <c r="H7" s="295" t="s">
        <v>103</v>
      </c>
      <c r="I7" s="292">
        <v>17</v>
      </c>
      <c r="J7" s="26">
        <v>2000</v>
      </c>
      <c r="K7" s="10">
        <f t="shared" si="5"/>
        <v>117.64705882352941</v>
      </c>
      <c r="L7" s="292">
        <v>17</v>
      </c>
      <c r="M7" s="11">
        <f t="shared" ref="M7" si="8">F7/V7*60</f>
        <v>1921.0344827586223</v>
      </c>
      <c r="N7" s="10">
        <f t="shared" si="6"/>
        <v>113.00202839756602</v>
      </c>
      <c r="O7" s="12">
        <f t="shared" si="0"/>
        <v>0</v>
      </c>
      <c r="P7" s="13">
        <f t="shared" si="1"/>
        <v>-4.6450304259633839</v>
      </c>
      <c r="Q7" s="293">
        <f t="shared" si="7"/>
        <v>0.96051724137931127</v>
      </c>
      <c r="R7" s="442"/>
      <c r="S7" s="28">
        <v>0.78680555555555554</v>
      </c>
      <c r="T7" s="28">
        <v>0.82708333333333328</v>
      </c>
      <c r="U7" s="290">
        <f t="shared" ref="U7" si="9">(S7-T6)*24*60</f>
        <v>5.9999999999999787</v>
      </c>
      <c r="V7" s="298">
        <f t="shared" ref="V7" si="10">(T7-S7)*24*60</f>
        <v>57.999999999999957</v>
      </c>
      <c r="W7" s="16"/>
      <c r="X7" s="16"/>
      <c r="Y7" s="447"/>
      <c r="Z7" s="448"/>
      <c r="AA7" s="12">
        <f t="shared" si="2"/>
        <v>-78.965517241377711</v>
      </c>
      <c r="AB7" s="293">
        <f t="shared" si="3"/>
        <v>0.96051724137931116</v>
      </c>
      <c r="AC7" s="442"/>
    </row>
    <row r="8" spans="1:29">
      <c r="A8" s="474" t="s">
        <v>1306</v>
      </c>
      <c r="B8" s="31" t="s">
        <v>705</v>
      </c>
      <c r="C8" s="446"/>
      <c r="D8" s="446"/>
      <c r="E8" s="294"/>
      <c r="F8" s="33"/>
      <c r="G8" s="10"/>
      <c r="H8" s="291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1915.2361319340334</v>
      </c>
      <c r="N8" s="10">
        <f>M8/L8</f>
        <v>119.70225824587709</v>
      </c>
      <c r="O8" s="12">
        <f>L8-I8</f>
        <v>0</v>
      </c>
      <c r="P8" s="13">
        <f>N8-K8</f>
        <v>-5.2977417541229102</v>
      </c>
      <c r="Q8" s="293">
        <f>N8/K8</f>
        <v>0.95761806596701671</v>
      </c>
      <c r="R8" s="442"/>
      <c r="S8" s="28"/>
      <c r="T8" s="28"/>
      <c r="U8" s="290"/>
      <c r="V8" s="298"/>
      <c r="W8" s="10"/>
      <c r="X8" s="10"/>
      <c r="Y8" s="443"/>
      <c r="Z8" s="443"/>
      <c r="AA8" s="12">
        <f t="shared" si="2"/>
        <v>-84.763868065966562</v>
      </c>
      <c r="AB8" s="293">
        <f>M8/J8</f>
        <v>0.95761806596701671</v>
      </c>
      <c r="AC8" s="442"/>
    </row>
    <row r="9" spans="1:29" ht="15.75" customHeight="1">
      <c r="A9" s="439" t="s">
        <v>726</v>
      </c>
      <c r="B9" s="31" t="s">
        <v>53</v>
      </c>
      <c r="C9" s="471" t="s">
        <v>54</v>
      </c>
      <c r="D9" s="472"/>
      <c r="E9" s="31">
        <v>39.799999999999997</v>
      </c>
      <c r="F9" s="291">
        <v>7564</v>
      </c>
      <c r="G9" s="290">
        <f t="shared" ref="G9" si="11">E9*F9</f>
        <v>301047.19999999995</v>
      </c>
      <c r="H9" s="295" t="s">
        <v>103</v>
      </c>
      <c r="I9" s="292">
        <v>17</v>
      </c>
      <c r="J9" s="26">
        <v>1500</v>
      </c>
      <c r="K9" s="10">
        <f t="shared" ref="K9" si="12">J9/I9</f>
        <v>88.235294117647058</v>
      </c>
      <c r="L9" s="292">
        <v>17</v>
      </c>
      <c r="M9" s="11">
        <f t="shared" ref="M9" si="13">F9/V9*60</f>
        <v>1422.6959247648899</v>
      </c>
      <c r="N9" s="10">
        <f t="shared" ref="N9" si="14">M9/L9</f>
        <v>83.687995574405292</v>
      </c>
      <c r="O9" s="12">
        <f t="shared" ref="O9" si="15">L9-I9</f>
        <v>0</v>
      </c>
      <c r="P9" s="13">
        <f>N9-K9</f>
        <v>-4.5472985432417659</v>
      </c>
      <c r="Q9" s="293">
        <f>N9/K9</f>
        <v>0.94846394984325999</v>
      </c>
      <c r="R9" s="442">
        <f>Q10</f>
        <v>0.94846394984325999</v>
      </c>
      <c r="S9" s="28">
        <v>0.20833333333333334</v>
      </c>
      <c r="T9" s="28">
        <v>0.42986111111111114</v>
      </c>
      <c r="U9" s="290"/>
      <c r="V9" s="298">
        <f t="shared" ref="V9" si="16">(T9-S9)*24*60</f>
        <v>319.00000000000006</v>
      </c>
      <c r="W9" s="16"/>
      <c r="X9" s="16"/>
      <c r="Y9" s="443"/>
      <c r="Z9" s="443"/>
      <c r="AA9" s="12">
        <f t="shared" si="2"/>
        <v>-77.304075235110076</v>
      </c>
      <c r="AB9" s="293">
        <f>M9/J9</f>
        <v>0.94846394984325999</v>
      </c>
      <c r="AC9" s="442">
        <f>AB10</f>
        <v>0.94846394984325999</v>
      </c>
    </row>
    <row r="10" spans="1:29" ht="16.5" customHeight="1">
      <c r="A10" s="439" t="s">
        <v>726</v>
      </c>
      <c r="B10" s="31" t="s">
        <v>705</v>
      </c>
      <c r="C10" s="446"/>
      <c r="D10" s="446"/>
      <c r="E10" s="294"/>
      <c r="F10" s="26"/>
      <c r="G10" s="11"/>
      <c r="H10" s="291"/>
      <c r="I10" s="19">
        <v>17</v>
      </c>
      <c r="J10" s="26">
        <v>1500</v>
      </c>
      <c r="K10" s="10">
        <f>J10/I10</f>
        <v>88.235294117647058</v>
      </c>
      <c r="L10" s="19">
        <v>17</v>
      </c>
      <c r="M10" s="11">
        <f>AVERAGE(M9:M9)</f>
        <v>1422.6959247648899</v>
      </c>
      <c r="N10" s="10">
        <f>M10/L10</f>
        <v>83.687995574405292</v>
      </c>
      <c r="O10" s="12">
        <f>L10-I10</f>
        <v>0</v>
      </c>
      <c r="P10" s="13">
        <f>N10-K10</f>
        <v>-4.5472985432417659</v>
      </c>
      <c r="Q10" s="293">
        <f>N10/K10</f>
        <v>0.94846394984325999</v>
      </c>
      <c r="R10" s="442"/>
      <c r="S10" s="28"/>
      <c r="T10" s="28"/>
      <c r="U10" s="10"/>
      <c r="V10" s="298"/>
      <c r="W10" s="10"/>
      <c r="X10" s="10"/>
      <c r="Y10" s="443"/>
      <c r="Z10" s="443"/>
      <c r="AA10" s="12">
        <f t="shared" si="2"/>
        <v>-77.304075235110076</v>
      </c>
      <c r="AB10" s="293">
        <f t="shared" ref="AB10:AB22" si="17">M10/J10</f>
        <v>0.94846394984325999</v>
      </c>
      <c r="AC10" s="442"/>
    </row>
    <row r="11" spans="1:29" ht="16.5" customHeight="1">
      <c r="A11" s="469" t="s">
        <v>1307</v>
      </c>
      <c r="B11" s="291" t="s">
        <v>56</v>
      </c>
      <c r="C11" s="464" t="s">
        <v>57</v>
      </c>
      <c r="D11" s="464"/>
      <c r="E11" s="31">
        <v>41</v>
      </c>
      <c r="F11" s="291">
        <v>2042</v>
      </c>
      <c r="G11" s="290">
        <f t="shared" ref="G11:G15" si="18">E11*F11</f>
        <v>83722</v>
      </c>
      <c r="H11" s="295" t="s">
        <v>103</v>
      </c>
      <c r="I11" s="292">
        <v>26</v>
      </c>
      <c r="J11" s="26">
        <v>1500</v>
      </c>
      <c r="K11" s="10">
        <f>J11/I11</f>
        <v>57.692307692307693</v>
      </c>
      <c r="L11" s="292">
        <v>26</v>
      </c>
      <c r="M11" s="11">
        <f>F11/V11*60</f>
        <v>1424.651162790698</v>
      </c>
      <c r="N11" s="10">
        <f t="shared" ref="N11:N21" si="19">M11/L11</f>
        <v>54.794275491949925</v>
      </c>
      <c r="O11" s="12">
        <f t="shared" ref="O11" si="20">L11-I11</f>
        <v>0</v>
      </c>
      <c r="P11" s="13">
        <f t="shared" ref="P11" si="21">N11-K11</f>
        <v>-2.8980322003577683</v>
      </c>
      <c r="Q11" s="293">
        <f>N11/K11</f>
        <v>0.94976744186046536</v>
      </c>
      <c r="R11" s="442">
        <f>Q16</f>
        <v>0.95157473617750787</v>
      </c>
      <c r="S11" s="28">
        <v>8.3333333333333329E-2</v>
      </c>
      <c r="T11" s="28">
        <v>0.14305555555555555</v>
      </c>
      <c r="U11" s="290"/>
      <c r="V11" s="298">
        <f>(T11-S11)*24*60</f>
        <v>85.999999999999986</v>
      </c>
      <c r="W11" s="16">
        <f>T11</f>
        <v>0.14305555555555555</v>
      </c>
      <c r="X11" s="16">
        <f>S12</f>
        <v>0.16319444444444445</v>
      </c>
      <c r="Y11" s="443"/>
      <c r="Z11" s="443"/>
      <c r="AA11" s="12">
        <f t="shared" si="2"/>
        <v>-75.348837209302019</v>
      </c>
      <c r="AB11" s="293">
        <f t="shared" si="17"/>
        <v>0.94976744186046536</v>
      </c>
      <c r="AC11" s="442">
        <f>AB16</f>
        <v>0.95157473617750798</v>
      </c>
    </row>
    <row r="12" spans="1:29" ht="16.5" customHeight="1">
      <c r="A12" s="470" t="s">
        <v>1308</v>
      </c>
      <c r="B12" s="291" t="s">
        <v>53</v>
      </c>
      <c r="C12" s="464" t="s">
        <v>107</v>
      </c>
      <c r="D12" s="464"/>
      <c r="E12" s="31">
        <v>39.619999999999997</v>
      </c>
      <c r="F12" s="291">
        <v>5247</v>
      </c>
      <c r="G12" s="290">
        <f t="shared" si="18"/>
        <v>207886.13999999998</v>
      </c>
      <c r="H12" s="295" t="s">
        <v>103</v>
      </c>
      <c r="I12" s="292">
        <v>19</v>
      </c>
      <c r="J12" s="26">
        <v>1500</v>
      </c>
      <c r="K12" s="10">
        <f>J12/I12</f>
        <v>78.94736842105263</v>
      </c>
      <c r="L12" s="292">
        <v>19</v>
      </c>
      <c r="M12" s="11">
        <f>F12/V12*60</f>
        <v>1424.5248868778283</v>
      </c>
      <c r="N12" s="10">
        <f t="shared" si="19"/>
        <v>74.974994046201488</v>
      </c>
      <c r="O12" s="12">
        <f>L12-I12</f>
        <v>0</v>
      </c>
      <c r="P12" s="13">
        <f>N12-K12</f>
        <v>-3.9723743748511424</v>
      </c>
      <c r="Q12" s="293">
        <f>N12/K12</f>
        <v>0.94968325791855224</v>
      </c>
      <c r="R12" s="442"/>
      <c r="S12" s="28">
        <v>0.16319444444444445</v>
      </c>
      <c r="T12" s="28">
        <v>0.31666666666666665</v>
      </c>
      <c r="U12" s="290">
        <f>IF(S12=TIME(17,0,0),"",(S12-T11)*24*60)</f>
        <v>29.000000000000018</v>
      </c>
      <c r="V12" s="298">
        <f>(T12-S12)*24*60</f>
        <v>220.99999999999997</v>
      </c>
      <c r="W12" s="16"/>
      <c r="X12" s="16"/>
      <c r="Y12" s="443"/>
      <c r="Z12" s="443"/>
      <c r="AA12" s="12">
        <f t="shared" si="2"/>
        <v>-75.475113122171706</v>
      </c>
      <c r="AB12" s="293">
        <f t="shared" si="17"/>
        <v>0.94968325791855224</v>
      </c>
      <c r="AC12" s="442"/>
    </row>
    <row r="13" spans="1:29" ht="16.5" customHeight="1">
      <c r="A13" s="470" t="s">
        <v>1308</v>
      </c>
      <c r="B13" s="291" t="s">
        <v>53</v>
      </c>
      <c r="C13" s="464" t="s">
        <v>163</v>
      </c>
      <c r="D13" s="464"/>
      <c r="E13" s="31">
        <v>39.36</v>
      </c>
      <c r="F13" s="291">
        <v>4712</v>
      </c>
      <c r="G13" s="290">
        <f t="shared" si="18"/>
        <v>185464.32000000001</v>
      </c>
      <c r="H13" s="295" t="s">
        <v>103</v>
      </c>
      <c r="I13" s="292">
        <v>20</v>
      </c>
      <c r="J13" s="26">
        <v>1500</v>
      </c>
      <c r="K13" s="10">
        <f t="shared" ref="K13:K15" si="22">J13/I13</f>
        <v>75</v>
      </c>
      <c r="L13" s="292">
        <v>20</v>
      </c>
      <c r="M13" s="11">
        <f t="shared" ref="M13:M15" si="23">F13/V13*60</f>
        <v>1420.7035175879396</v>
      </c>
      <c r="N13" s="10">
        <f t="shared" si="19"/>
        <v>71.035175879396974</v>
      </c>
      <c r="O13" s="12">
        <f t="shared" ref="O13:O15" si="24">L13-I13</f>
        <v>0</v>
      </c>
      <c r="P13" s="13">
        <f t="shared" ref="P13:P15" si="25">N13-K13</f>
        <v>-3.9648241206030264</v>
      </c>
      <c r="Q13" s="293">
        <f t="shared" ref="Q13:Q21" si="26">N13/K13</f>
        <v>0.94713567839195967</v>
      </c>
      <c r="R13" s="442"/>
      <c r="S13" s="28">
        <v>0.3208333333333333</v>
      </c>
      <c r="T13" s="28">
        <v>0.45902777777777776</v>
      </c>
      <c r="U13" s="290">
        <f t="shared" ref="U13:U15" si="27">IF(S13=TIME(17,0,0),"",(S13-T12)*24*60)</f>
        <v>5.9999999999999787</v>
      </c>
      <c r="V13" s="298">
        <f t="shared" ref="V13:V15" si="28">(T13-S13)*24*60</f>
        <v>199</v>
      </c>
      <c r="W13" s="16"/>
      <c r="X13" s="16"/>
      <c r="Y13" s="443"/>
      <c r="Z13" s="443"/>
      <c r="AA13" s="12">
        <f t="shared" si="2"/>
        <v>-79.296482412060413</v>
      </c>
      <c r="AB13" s="293">
        <f t="shared" si="17"/>
        <v>0.94713567839195978</v>
      </c>
      <c r="AC13" s="442"/>
    </row>
    <row r="14" spans="1:29" ht="16.5" customHeight="1">
      <c r="A14" s="470" t="s">
        <v>1308</v>
      </c>
      <c r="B14" s="291" t="s">
        <v>58</v>
      </c>
      <c r="C14" s="464" t="s">
        <v>59</v>
      </c>
      <c r="D14" s="464"/>
      <c r="E14" s="31">
        <v>50.98</v>
      </c>
      <c r="F14" s="291">
        <v>2734</v>
      </c>
      <c r="G14" s="290">
        <f t="shared" si="18"/>
        <v>139379.31999999998</v>
      </c>
      <c r="H14" s="295" t="s">
        <v>103</v>
      </c>
      <c r="I14" s="292">
        <v>16</v>
      </c>
      <c r="J14" s="26">
        <v>2000</v>
      </c>
      <c r="K14" s="10">
        <f t="shared" si="22"/>
        <v>125</v>
      </c>
      <c r="L14" s="292">
        <v>16</v>
      </c>
      <c r="M14" s="11">
        <f t="shared" si="23"/>
        <v>1907.441860465116</v>
      </c>
      <c r="N14" s="10">
        <f t="shared" si="19"/>
        <v>119.21511627906975</v>
      </c>
      <c r="O14" s="12">
        <f t="shared" si="24"/>
        <v>0</v>
      </c>
      <c r="P14" s="13">
        <f t="shared" si="25"/>
        <v>-5.784883720930253</v>
      </c>
      <c r="Q14" s="293">
        <f t="shared" si="26"/>
        <v>0.953720930232558</v>
      </c>
      <c r="R14" s="442"/>
      <c r="S14" s="28">
        <v>0.70833333333333337</v>
      </c>
      <c r="T14" s="28">
        <v>0.7680555555555556</v>
      </c>
      <c r="U14" s="290" t="str">
        <f t="shared" si="27"/>
        <v/>
      </c>
      <c r="V14" s="298">
        <f t="shared" si="28"/>
        <v>86.000000000000014</v>
      </c>
      <c r="W14" s="16"/>
      <c r="X14" s="16"/>
      <c r="Y14" s="443"/>
      <c r="Z14" s="443"/>
      <c r="AA14" s="12">
        <f t="shared" si="2"/>
        <v>-92.558139534884049</v>
      </c>
      <c r="AB14" s="293">
        <f t="shared" si="17"/>
        <v>0.953720930232558</v>
      </c>
      <c r="AC14" s="442"/>
    </row>
    <row r="15" spans="1:29" ht="16.5" customHeight="1">
      <c r="A15" s="470" t="s">
        <v>1308</v>
      </c>
      <c r="B15" s="291" t="s">
        <v>58</v>
      </c>
      <c r="C15" s="464" t="s">
        <v>60</v>
      </c>
      <c r="D15" s="464"/>
      <c r="E15" s="31">
        <v>50.92</v>
      </c>
      <c r="F15" s="291">
        <v>2994</v>
      </c>
      <c r="G15" s="290">
        <f t="shared" si="18"/>
        <v>152454.48000000001</v>
      </c>
      <c r="H15" s="295" t="s">
        <v>103</v>
      </c>
      <c r="I15" s="292">
        <v>15</v>
      </c>
      <c r="J15" s="26">
        <v>2000</v>
      </c>
      <c r="K15" s="10">
        <f t="shared" si="22"/>
        <v>133.33333333333334</v>
      </c>
      <c r="L15" s="292">
        <v>15</v>
      </c>
      <c r="M15" s="11">
        <f t="shared" si="23"/>
        <v>1911.0638297872345</v>
      </c>
      <c r="N15" s="10">
        <f t="shared" si="19"/>
        <v>127.40425531914896</v>
      </c>
      <c r="O15" s="12">
        <f t="shared" si="24"/>
        <v>0</v>
      </c>
      <c r="P15" s="13">
        <f t="shared" si="25"/>
        <v>-5.929078014184384</v>
      </c>
      <c r="Q15" s="293">
        <f t="shared" si="26"/>
        <v>0.95553191489361711</v>
      </c>
      <c r="R15" s="442"/>
      <c r="S15" s="28">
        <v>0.77152777777777781</v>
      </c>
      <c r="T15" s="28">
        <v>0.83680555555555558</v>
      </c>
      <c r="U15" s="290">
        <f t="shared" si="27"/>
        <v>4.9999999999999822</v>
      </c>
      <c r="V15" s="298">
        <f t="shared" si="28"/>
        <v>93.999999999999986</v>
      </c>
      <c r="W15" s="16"/>
      <c r="X15" s="16"/>
      <c r="Y15" s="443"/>
      <c r="Z15" s="443"/>
      <c r="AA15" s="12">
        <f t="shared" si="2"/>
        <v>-88.936170212765546</v>
      </c>
      <c r="AB15" s="293">
        <f t="shared" si="17"/>
        <v>0.95553191489361722</v>
      </c>
      <c r="AC15" s="442"/>
    </row>
    <row r="16" spans="1:29" ht="16.5" customHeight="1">
      <c r="A16" s="470" t="s">
        <v>1308</v>
      </c>
      <c r="B16" s="31" t="s">
        <v>1309</v>
      </c>
      <c r="C16" s="446"/>
      <c r="D16" s="446"/>
      <c r="E16" s="294"/>
      <c r="F16" s="33"/>
      <c r="G16" s="10"/>
      <c r="H16" s="291"/>
      <c r="I16" s="19">
        <v>19.2</v>
      </c>
      <c r="J16" s="26">
        <v>1700</v>
      </c>
      <c r="K16" s="10">
        <f>J16/I16</f>
        <v>88.541666666666671</v>
      </c>
      <c r="L16" s="19">
        <v>19.2</v>
      </c>
      <c r="M16" s="11">
        <f>AVERAGE(M11:M15)</f>
        <v>1617.6770515017636</v>
      </c>
      <c r="N16" s="10">
        <f t="shared" si="19"/>
        <v>84.254013099050184</v>
      </c>
      <c r="O16" s="12">
        <f>L16-I16</f>
        <v>0</v>
      </c>
      <c r="P16" s="13">
        <f>N16-K16</f>
        <v>-4.2876535676164877</v>
      </c>
      <c r="Q16" s="293">
        <f t="shared" si="26"/>
        <v>0.95157473617750787</v>
      </c>
      <c r="R16" s="442"/>
      <c r="S16" s="28"/>
      <c r="T16" s="28"/>
      <c r="U16" s="290"/>
      <c r="V16" s="298"/>
      <c r="W16" s="10"/>
      <c r="X16" s="10"/>
      <c r="Y16" s="443"/>
      <c r="Z16" s="443"/>
      <c r="AA16" s="12">
        <f t="shared" si="2"/>
        <v>-82.322948498236428</v>
      </c>
      <c r="AB16" s="293">
        <f t="shared" si="17"/>
        <v>0.95157473617750798</v>
      </c>
      <c r="AC16" s="442"/>
    </row>
    <row r="17" spans="1:29" ht="15.75" customHeight="1">
      <c r="A17" s="467" t="s">
        <v>1310</v>
      </c>
      <c r="B17" s="31" t="s">
        <v>56</v>
      </c>
      <c r="C17" s="464" t="s">
        <v>61</v>
      </c>
      <c r="D17" s="464"/>
      <c r="E17" s="31">
        <v>43.14</v>
      </c>
      <c r="F17" s="291">
        <v>1335</v>
      </c>
      <c r="G17" s="290">
        <f t="shared" ref="G17:G21" si="29">E17*F17</f>
        <v>57591.9</v>
      </c>
      <c r="H17" s="295" t="s">
        <v>103</v>
      </c>
      <c r="I17" s="292">
        <v>17</v>
      </c>
      <c r="J17" s="26">
        <v>2000</v>
      </c>
      <c r="K17" s="10">
        <f t="shared" ref="K17:K22" si="30">J17/I17</f>
        <v>117.64705882352941</v>
      </c>
      <c r="L17" s="292">
        <v>17</v>
      </c>
      <c r="M17" s="11">
        <f t="shared" ref="M17:M21" si="31">F17/V17*60</f>
        <v>1907.1428571428564</v>
      </c>
      <c r="N17" s="10">
        <f t="shared" si="19"/>
        <v>112.1848739495798</v>
      </c>
      <c r="O17" s="12">
        <f t="shared" ref="O17:O21" si="32">L17-I17</f>
        <v>0</v>
      </c>
      <c r="P17" s="13">
        <f t="shared" ref="P17:P21" si="33">N17-K17</f>
        <v>-5.4621848739496102</v>
      </c>
      <c r="Q17" s="293">
        <f t="shared" si="26"/>
        <v>0.95357142857142829</v>
      </c>
      <c r="R17" s="442">
        <f>Q22</f>
        <v>0.95169722520193611</v>
      </c>
      <c r="S17" s="28">
        <v>0.20833333333333334</v>
      </c>
      <c r="T17" s="28">
        <v>0.23750000000000002</v>
      </c>
      <c r="U17" s="290"/>
      <c r="V17" s="298">
        <f>(T17-S17)*24*60</f>
        <v>42.000000000000014</v>
      </c>
      <c r="W17" s="18"/>
      <c r="X17" s="18"/>
      <c r="Y17" s="443"/>
      <c r="Z17" s="443"/>
      <c r="AA17" s="12">
        <f t="shared" si="2"/>
        <v>-92.857142857143572</v>
      </c>
      <c r="AB17" s="293">
        <f t="shared" si="17"/>
        <v>0.95357142857142818</v>
      </c>
      <c r="AC17" s="442">
        <f>AB22</f>
        <v>0.95169722520193611</v>
      </c>
    </row>
    <row r="18" spans="1:29" ht="15.75" customHeight="1">
      <c r="A18" s="468" t="s">
        <v>1311</v>
      </c>
      <c r="B18" s="31" t="s">
        <v>58</v>
      </c>
      <c r="C18" s="464" t="s">
        <v>62</v>
      </c>
      <c r="D18" s="464"/>
      <c r="E18" s="31">
        <v>57.73</v>
      </c>
      <c r="F18" s="291">
        <v>2632</v>
      </c>
      <c r="G18" s="290">
        <f t="shared" si="29"/>
        <v>151945.35999999999</v>
      </c>
      <c r="H18" s="295" t="s">
        <v>103</v>
      </c>
      <c r="I18" s="292">
        <v>15</v>
      </c>
      <c r="J18" s="26">
        <v>2000</v>
      </c>
      <c r="K18" s="10">
        <f t="shared" si="30"/>
        <v>133.33333333333334</v>
      </c>
      <c r="L18" s="292">
        <v>15</v>
      </c>
      <c r="M18" s="11">
        <f t="shared" si="31"/>
        <v>1902.6506024096391</v>
      </c>
      <c r="N18" s="10">
        <f t="shared" si="19"/>
        <v>126.84337349397593</v>
      </c>
      <c r="O18" s="12">
        <f t="shared" si="32"/>
        <v>0</v>
      </c>
      <c r="P18" s="13">
        <f t="shared" si="33"/>
        <v>-6.4899598393574109</v>
      </c>
      <c r="Q18" s="293">
        <f t="shared" si="26"/>
        <v>0.9513253012048194</v>
      </c>
      <c r="R18" s="442"/>
      <c r="S18" s="28">
        <v>0.24097222222222223</v>
      </c>
      <c r="T18" s="28">
        <v>0.2986111111111111</v>
      </c>
      <c r="U18" s="290">
        <f>IF(S18=TIME(17,0,0),"",(S18-T17)*24*60)</f>
        <v>4.9999999999999822</v>
      </c>
      <c r="V18" s="298">
        <f t="shared" ref="V18:V21" si="34">(T18-S18)*24*60</f>
        <v>82.999999999999986</v>
      </c>
      <c r="W18" s="16"/>
      <c r="X18" s="290"/>
      <c r="Y18" s="443"/>
      <c r="Z18" s="443"/>
      <c r="AA18" s="12">
        <f t="shared" si="2"/>
        <v>-97.349397590360923</v>
      </c>
      <c r="AB18" s="293">
        <f t="shared" si="17"/>
        <v>0.95132530120481951</v>
      </c>
      <c r="AC18" s="442"/>
    </row>
    <row r="19" spans="1:29" ht="15.75" customHeight="1">
      <c r="A19" s="468" t="s">
        <v>1311</v>
      </c>
      <c r="B19" s="31" t="s">
        <v>58</v>
      </c>
      <c r="C19" s="464" t="s">
        <v>63</v>
      </c>
      <c r="D19" s="464"/>
      <c r="E19" s="31">
        <v>53.68</v>
      </c>
      <c r="F19" s="291">
        <v>1715</v>
      </c>
      <c r="G19" s="290">
        <f t="shared" si="29"/>
        <v>92061.2</v>
      </c>
      <c r="H19" s="295" t="s">
        <v>103</v>
      </c>
      <c r="I19" s="292">
        <v>16</v>
      </c>
      <c r="J19" s="26">
        <v>2000</v>
      </c>
      <c r="K19" s="10">
        <f t="shared" si="30"/>
        <v>125</v>
      </c>
      <c r="L19" s="292">
        <v>16</v>
      </c>
      <c r="M19" s="11">
        <f t="shared" si="31"/>
        <v>1905.5555555555566</v>
      </c>
      <c r="N19" s="10">
        <f t="shared" si="19"/>
        <v>119.09722222222229</v>
      </c>
      <c r="O19" s="12">
        <f t="shared" si="32"/>
        <v>0</v>
      </c>
      <c r="P19" s="13">
        <f t="shared" si="33"/>
        <v>-5.9027777777777146</v>
      </c>
      <c r="Q19" s="293">
        <f t="shared" si="26"/>
        <v>0.95277777777777828</v>
      </c>
      <c r="R19" s="442"/>
      <c r="S19" s="28">
        <v>0.30277777777777776</v>
      </c>
      <c r="T19" s="28">
        <v>0.34027777777777773</v>
      </c>
      <c r="U19" s="290">
        <f t="shared" ref="U19:U21" si="35">IF(S19=TIME(17,0,0),"",(S19-T18)*24*60)</f>
        <v>5.9999999999999787</v>
      </c>
      <c r="V19" s="298">
        <f t="shared" si="34"/>
        <v>53.999999999999972</v>
      </c>
      <c r="W19" s="16"/>
      <c r="X19" s="290"/>
      <c r="Y19" s="443"/>
      <c r="Z19" s="443"/>
      <c r="AA19" s="12">
        <f t="shared" si="2"/>
        <v>-94.444444444443434</v>
      </c>
      <c r="AB19" s="293">
        <f t="shared" si="17"/>
        <v>0.95277777777777828</v>
      </c>
      <c r="AC19" s="442"/>
    </row>
    <row r="20" spans="1:29" ht="15.75" customHeight="1">
      <c r="A20" s="468" t="s">
        <v>1311</v>
      </c>
      <c r="B20" s="31" t="s">
        <v>58</v>
      </c>
      <c r="C20" s="464" t="s">
        <v>1170</v>
      </c>
      <c r="D20" s="464"/>
      <c r="E20" s="31">
        <v>50.81</v>
      </c>
      <c r="F20" s="291">
        <v>2828</v>
      </c>
      <c r="G20" s="290">
        <f t="shared" si="29"/>
        <v>143690.68</v>
      </c>
      <c r="H20" s="295" t="s">
        <v>103</v>
      </c>
      <c r="I20" s="292">
        <v>17</v>
      </c>
      <c r="J20" s="26">
        <v>2000</v>
      </c>
      <c r="K20" s="10">
        <f t="shared" si="30"/>
        <v>117.64705882352941</v>
      </c>
      <c r="L20" s="292">
        <v>17</v>
      </c>
      <c r="M20" s="11">
        <f t="shared" si="31"/>
        <v>1906.5168539325841</v>
      </c>
      <c r="N20" s="10">
        <f t="shared" si="19"/>
        <v>112.14805023132848</v>
      </c>
      <c r="O20" s="12">
        <f t="shared" si="32"/>
        <v>0</v>
      </c>
      <c r="P20" s="13">
        <f t="shared" si="33"/>
        <v>-5.4990085922009229</v>
      </c>
      <c r="Q20" s="293">
        <f t="shared" si="26"/>
        <v>0.95325842696629215</v>
      </c>
      <c r="R20" s="442"/>
      <c r="S20" s="28">
        <v>0.34583333333333327</v>
      </c>
      <c r="T20" s="28">
        <v>0.40763888888888883</v>
      </c>
      <c r="U20" s="290">
        <f t="shared" si="35"/>
        <v>7.9999999999999716</v>
      </c>
      <c r="V20" s="298">
        <f t="shared" si="34"/>
        <v>89</v>
      </c>
      <c r="W20" s="16"/>
      <c r="X20" s="290"/>
      <c r="Y20" s="443"/>
      <c r="Z20" s="443"/>
      <c r="AA20" s="12">
        <f t="shared" si="2"/>
        <v>-93.483146067415873</v>
      </c>
      <c r="AB20" s="293">
        <f t="shared" si="17"/>
        <v>0.95325842696629204</v>
      </c>
      <c r="AC20" s="442"/>
    </row>
    <row r="21" spans="1:29" ht="15.75" customHeight="1">
      <c r="A21" s="468" t="s">
        <v>1311</v>
      </c>
      <c r="B21" s="31" t="s">
        <v>58</v>
      </c>
      <c r="C21" s="464" t="s">
        <v>65</v>
      </c>
      <c r="D21" s="464"/>
      <c r="E21" s="31">
        <v>54.09</v>
      </c>
      <c r="F21" s="291">
        <v>2969</v>
      </c>
      <c r="G21" s="290">
        <f t="shared" si="29"/>
        <v>160593.21000000002</v>
      </c>
      <c r="H21" s="295" t="s">
        <v>103</v>
      </c>
      <c r="I21" s="292">
        <v>19</v>
      </c>
      <c r="J21" s="26">
        <v>2000</v>
      </c>
      <c r="K21" s="10">
        <f t="shared" si="30"/>
        <v>105.26315789473684</v>
      </c>
      <c r="L21" s="292">
        <v>19</v>
      </c>
      <c r="M21" s="11">
        <f t="shared" si="31"/>
        <v>1895.1063829787238</v>
      </c>
      <c r="N21" s="10">
        <f t="shared" si="19"/>
        <v>99.742441209406522</v>
      </c>
      <c r="O21" s="12">
        <f t="shared" si="32"/>
        <v>0</v>
      </c>
      <c r="P21" s="13">
        <f t="shared" si="33"/>
        <v>-5.5207166853303136</v>
      </c>
      <c r="Q21" s="293">
        <f t="shared" si="26"/>
        <v>0.94755319148936201</v>
      </c>
      <c r="R21" s="442"/>
      <c r="S21" s="28">
        <v>0.70833333333333337</v>
      </c>
      <c r="T21" s="28">
        <v>0.77361111111111114</v>
      </c>
      <c r="U21" s="290" t="str">
        <f t="shared" si="35"/>
        <v/>
      </c>
      <c r="V21" s="298">
        <f t="shared" si="34"/>
        <v>93.999999999999986</v>
      </c>
      <c r="W21" s="16"/>
      <c r="X21" s="290"/>
      <c r="Y21" s="443"/>
      <c r="Z21" s="443"/>
      <c r="AA21" s="12">
        <f t="shared" si="2"/>
        <v>-104.89361702127621</v>
      </c>
      <c r="AB21" s="293">
        <f t="shared" si="17"/>
        <v>0.9475531914893619</v>
      </c>
      <c r="AC21" s="442"/>
    </row>
    <row r="22" spans="1:29" ht="15.75" customHeight="1">
      <c r="A22" s="468" t="s">
        <v>1311</v>
      </c>
      <c r="B22" s="31" t="s">
        <v>1312</v>
      </c>
      <c r="C22" s="446"/>
      <c r="D22" s="446"/>
      <c r="E22" s="294"/>
      <c r="F22" s="291"/>
      <c r="G22" s="290"/>
      <c r="H22" s="291"/>
      <c r="I22" s="19">
        <v>17</v>
      </c>
      <c r="J22" s="26">
        <v>2000</v>
      </c>
      <c r="K22" s="10">
        <f t="shared" si="30"/>
        <v>117.64705882352941</v>
      </c>
      <c r="L22" s="19">
        <v>17</v>
      </c>
      <c r="M22" s="11">
        <f>AVERAGE(M17:M21)</f>
        <v>1903.3944504038723</v>
      </c>
      <c r="N22" s="10">
        <f>M22/L22</f>
        <v>111.96437943552189</v>
      </c>
      <c r="O22" s="12">
        <f>L22-I22</f>
        <v>0</v>
      </c>
      <c r="P22" s="13">
        <f>N22-K22</f>
        <v>-5.6826793880075144</v>
      </c>
      <c r="Q22" s="293">
        <f>N22/K22</f>
        <v>0.95169722520193611</v>
      </c>
      <c r="R22" s="442"/>
      <c r="S22" s="28"/>
      <c r="T22" s="28"/>
      <c r="U22" s="10"/>
      <c r="V22" s="298"/>
      <c r="W22" s="10"/>
      <c r="X22" s="10"/>
      <c r="Y22" s="443"/>
      <c r="Z22" s="443"/>
      <c r="AA22" s="12">
        <f t="shared" si="2"/>
        <v>-96.60554959612773</v>
      </c>
      <c r="AB22" s="293">
        <f t="shared" si="17"/>
        <v>0.95169722520193611</v>
      </c>
      <c r="AC22" s="442"/>
    </row>
    <row r="23" spans="1:29" ht="15.75" customHeight="1">
      <c r="A23" s="463" t="s">
        <v>1313</v>
      </c>
      <c r="B23" s="31" t="s">
        <v>67</v>
      </c>
      <c r="C23" s="464" t="s">
        <v>68</v>
      </c>
      <c r="D23" s="464"/>
      <c r="E23" s="31">
        <v>26.2</v>
      </c>
      <c r="F23" s="291">
        <v>5263</v>
      </c>
      <c r="G23" s="290">
        <f t="shared" ref="G23:G32" si="36">E23*F23</f>
        <v>137890.6</v>
      </c>
      <c r="H23" s="295" t="s">
        <v>103</v>
      </c>
      <c r="I23" s="292">
        <v>20</v>
      </c>
      <c r="J23" s="26">
        <v>2400</v>
      </c>
      <c r="K23" s="10">
        <f>J23/I23</f>
        <v>120</v>
      </c>
      <c r="L23" s="292">
        <v>20</v>
      </c>
      <c r="M23" s="11">
        <f t="shared" ref="M23:M32" si="37">F23/V23*60</f>
        <v>2271.7985611510794</v>
      </c>
      <c r="N23" s="10">
        <f t="shared" ref="N23:N32" si="38">M23/L23</f>
        <v>113.58992805755398</v>
      </c>
      <c r="O23" s="12">
        <f t="shared" ref="O23:O32" si="39">L23-I23</f>
        <v>0</v>
      </c>
      <c r="P23" s="13">
        <f t="shared" ref="P23:P32" si="40">N23-K23</f>
        <v>-6.4100719424460237</v>
      </c>
      <c r="Q23" s="293">
        <f t="shared" ref="Q23:Q28" si="41">N23/K23</f>
        <v>0.94658273381294977</v>
      </c>
      <c r="R23" s="442">
        <f>Q33</f>
        <v>0.9509773444806191</v>
      </c>
      <c r="S23" s="28">
        <v>8.3333333333333329E-2</v>
      </c>
      <c r="T23" s="28">
        <v>0.17986111111111111</v>
      </c>
      <c r="U23" s="290"/>
      <c r="V23" s="298">
        <f t="shared" ref="V23:V32" si="42">(T23-S23)*24*60</f>
        <v>139</v>
      </c>
      <c r="W23" s="16">
        <f>T23</f>
        <v>0.17986111111111111</v>
      </c>
      <c r="X23" s="16">
        <f>S24</f>
        <v>0.19791666666666666</v>
      </c>
      <c r="Y23" s="443"/>
      <c r="Z23" s="443"/>
      <c r="AA23" s="12">
        <f t="shared" si="2"/>
        <v>-128.20143884892059</v>
      </c>
      <c r="AB23" s="293">
        <f>M23/J23</f>
        <v>0.94658273381294977</v>
      </c>
      <c r="AC23" s="442">
        <f>AB33</f>
        <v>0.95097734448061899</v>
      </c>
    </row>
    <row r="24" spans="1:29" ht="15.75" customHeight="1">
      <c r="A24" s="463" t="s">
        <v>1313</v>
      </c>
      <c r="B24" s="31" t="s">
        <v>67</v>
      </c>
      <c r="C24" s="464" t="s">
        <v>69</v>
      </c>
      <c r="D24" s="464"/>
      <c r="E24" s="31">
        <v>31.29</v>
      </c>
      <c r="F24" s="291">
        <v>5800</v>
      </c>
      <c r="G24" s="290">
        <f t="shared" si="36"/>
        <v>181482</v>
      </c>
      <c r="H24" s="295">
        <v>2</v>
      </c>
      <c r="I24" s="292">
        <v>18</v>
      </c>
      <c r="J24" s="26">
        <v>2400</v>
      </c>
      <c r="K24" s="10">
        <f t="shared" ref="K24:K33" si="43">J24/I24</f>
        <v>133.33333333333334</v>
      </c>
      <c r="L24" s="292">
        <v>18</v>
      </c>
      <c r="M24" s="11">
        <f t="shared" si="37"/>
        <v>2274.5098039215686</v>
      </c>
      <c r="N24" s="10">
        <f t="shared" si="38"/>
        <v>126.36165577342048</v>
      </c>
      <c r="O24" s="12">
        <f t="shared" si="39"/>
        <v>0</v>
      </c>
      <c r="P24" s="13">
        <f t="shared" si="40"/>
        <v>-6.9716775599128624</v>
      </c>
      <c r="Q24" s="293">
        <f t="shared" si="41"/>
        <v>0.94771241830065356</v>
      </c>
      <c r="R24" s="442"/>
      <c r="S24" s="28">
        <v>0.19791666666666666</v>
      </c>
      <c r="T24" s="28">
        <v>0.30416666666666664</v>
      </c>
      <c r="U24" s="290">
        <f>(S24-T23)*24*60</f>
        <v>25.999999999999986</v>
      </c>
      <c r="V24" s="298">
        <f t="shared" si="42"/>
        <v>153</v>
      </c>
      <c r="W24" s="16"/>
      <c r="X24" s="16"/>
      <c r="Y24" s="443"/>
      <c r="Z24" s="443"/>
      <c r="AA24" s="12">
        <f t="shared" si="2"/>
        <v>-125.49019607843138</v>
      </c>
      <c r="AB24" s="293">
        <f t="shared" ref="AB24:AB32" si="44">M24/J24</f>
        <v>0.94771241830065356</v>
      </c>
      <c r="AC24" s="442"/>
    </row>
    <row r="25" spans="1:29" ht="15.75" customHeight="1">
      <c r="A25" s="463" t="s">
        <v>1313</v>
      </c>
      <c r="B25" s="31" t="s">
        <v>67</v>
      </c>
      <c r="C25" s="464" t="s">
        <v>101</v>
      </c>
      <c r="D25" s="464"/>
      <c r="E25" s="31">
        <v>25</v>
      </c>
      <c r="F25" s="291">
        <v>3300</v>
      </c>
      <c r="G25" s="290">
        <f t="shared" si="36"/>
        <v>82500</v>
      </c>
      <c r="H25" s="295">
        <v>2</v>
      </c>
      <c r="I25" s="292">
        <v>15</v>
      </c>
      <c r="J25" s="26">
        <v>2400</v>
      </c>
      <c r="K25" s="10">
        <f t="shared" si="43"/>
        <v>160</v>
      </c>
      <c r="L25" s="292">
        <v>15</v>
      </c>
      <c r="M25" s="11">
        <f t="shared" si="37"/>
        <v>2275.8620689655168</v>
      </c>
      <c r="N25" s="10">
        <f t="shared" si="38"/>
        <v>151.72413793103445</v>
      </c>
      <c r="O25" s="12">
        <f t="shared" si="39"/>
        <v>0</v>
      </c>
      <c r="P25" s="13">
        <f t="shared" si="40"/>
        <v>-8.2758620689655515</v>
      </c>
      <c r="Q25" s="293">
        <f t="shared" si="41"/>
        <v>0.9482758620689653</v>
      </c>
      <c r="R25" s="442"/>
      <c r="S25" s="28">
        <v>0.30972222222222218</v>
      </c>
      <c r="T25" s="28">
        <v>0.37013888888888885</v>
      </c>
      <c r="U25" s="290">
        <f t="shared" ref="U25:U32" si="45">(S25-T24)*24*60</f>
        <v>7.9999999999999716</v>
      </c>
      <c r="V25" s="298">
        <f t="shared" si="42"/>
        <v>87.000000000000014</v>
      </c>
      <c r="W25" s="16"/>
      <c r="X25" s="16"/>
      <c r="Y25" s="443"/>
      <c r="Z25" s="443"/>
      <c r="AA25" s="12">
        <f t="shared" si="2"/>
        <v>-124.13793103448324</v>
      </c>
      <c r="AB25" s="293">
        <f t="shared" si="44"/>
        <v>0.9482758620689653</v>
      </c>
      <c r="AC25" s="442"/>
    </row>
    <row r="26" spans="1:29" ht="15.75" customHeight="1">
      <c r="A26" s="463" t="s">
        <v>1313</v>
      </c>
      <c r="B26" s="31" t="s">
        <v>67</v>
      </c>
      <c r="C26" s="464" t="s">
        <v>165</v>
      </c>
      <c r="D26" s="464"/>
      <c r="E26" s="31">
        <v>26.18</v>
      </c>
      <c r="F26" s="291">
        <v>3200</v>
      </c>
      <c r="G26" s="290">
        <f t="shared" si="36"/>
        <v>83776</v>
      </c>
      <c r="H26" s="295">
        <v>2</v>
      </c>
      <c r="I26" s="292">
        <v>19</v>
      </c>
      <c r="J26" s="26">
        <v>2400</v>
      </c>
      <c r="K26" s="10">
        <f t="shared" si="43"/>
        <v>126.31578947368421</v>
      </c>
      <c r="L26" s="292">
        <v>19</v>
      </c>
      <c r="M26" s="11">
        <f t="shared" si="37"/>
        <v>2285.7142857142849</v>
      </c>
      <c r="N26" s="10">
        <f t="shared" si="38"/>
        <v>120.30075187969921</v>
      </c>
      <c r="O26" s="12">
        <f t="shared" si="39"/>
        <v>0</v>
      </c>
      <c r="P26" s="13">
        <f t="shared" si="40"/>
        <v>-6.0150375939849994</v>
      </c>
      <c r="Q26" s="293">
        <f t="shared" si="41"/>
        <v>0.95238095238095211</v>
      </c>
      <c r="R26" s="442"/>
      <c r="S26" s="28">
        <v>0.37569444444444439</v>
      </c>
      <c r="T26" s="28">
        <v>0.43402777777777773</v>
      </c>
      <c r="U26" s="290">
        <f t="shared" si="45"/>
        <v>7.9999999999999716</v>
      </c>
      <c r="V26" s="298">
        <f t="shared" si="42"/>
        <v>84.000000000000028</v>
      </c>
      <c r="W26" s="16"/>
      <c r="X26" s="16"/>
      <c r="Y26" s="443"/>
      <c r="Z26" s="443"/>
      <c r="AA26" s="12">
        <f t="shared" si="2"/>
        <v>-114.28571428571513</v>
      </c>
      <c r="AB26" s="293">
        <f t="shared" si="44"/>
        <v>0.952380952380952</v>
      </c>
      <c r="AC26" s="442"/>
    </row>
    <row r="27" spans="1:29" ht="15.75" customHeight="1">
      <c r="A27" s="463" t="s">
        <v>1313</v>
      </c>
      <c r="B27" s="31" t="s">
        <v>67</v>
      </c>
      <c r="C27" s="464" t="s">
        <v>77</v>
      </c>
      <c r="D27" s="464"/>
      <c r="E27" s="31">
        <v>26.2</v>
      </c>
      <c r="F27" s="291">
        <v>3000</v>
      </c>
      <c r="G27" s="290">
        <f t="shared" si="36"/>
        <v>78600</v>
      </c>
      <c r="H27" s="295">
        <v>2</v>
      </c>
      <c r="I27" s="292">
        <v>19</v>
      </c>
      <c r="J27" s="26">
        <v>2400</v>
      </c>
      <c r="K27" s="10">
        <f t="shared" si="43"/>
        <v>126.31578947368421</v>
      </c>
      <c r="L27" s="292">
        <v>19</v>
      </c>
      <c r="M27" s="11">
        <f t="shared" si="37"/>
        <v>2278.4810126582288</v>
      </c>
      <c r="N27" s="10">
        <f t="shared" si="38"/>
        <v>119.92005329780152</v>
      </c>
      <c r="O27" s="12">
        <f t="shared" si="39"/>
        <v>0</v>
      </c>
      <c r="P27" s="13">
        <f t="shared" si="40"/>
        <v>-6.3957361758826892</v>
      </c>
      <c r="Q27" s="293">
        <f t="shared" si="41"/>
        <v>0.94936708860759533</v>
      </c>
      <c r="R27" s="442"/>
      <c r="S27" s="28">
        <v>0.43819444444444439</v>
      </c>
      <c r="T27" s="28">
        <v>0.49305555555555547</v>
      </c>
      <c r="U27" s="290">
        <f t="shared" si="45"/>
        <v>5.9999999999999787</v>
      </c>
      <c r="V27" s="298">
        <f t="shared" si="42"/>
        <v>78.999999999999957</v>
      </c>
      <c r="W27" s="16"/>
      <c r="X27" s="16"/>
      <c r="Y27" s="443"/>
      <c r="Z27" s="443"/>
      <c r="AA27" s="12">
        <f t="shared" si="2"/>
        <v>-121.51898734177121</v>
      </c>
      <c r="AB27" s="293">
        <f t="shared" si="44"/>
        <v>0.94936708860759533</v>
      </c>
      <c r="AC27" s="442"/>
    </row>
    <row r="28" spans="1:29" ht="15.75" customHeight="1">
      <c r="A28" s="463" t="s">
        <v>1313</v>
      </c>
      <c r="B28" s="31" t="s">
        <v>67</v>
      </c>
      <c r="C28" s="464" t="s">
        <v>78</v>
      </c>
      <c r="D28" s="464"/>
      <c r="E28" s="31">
        <v>25.98</v>
      </c>
      <c r="F28" s="291">
        <v>1750</v>
      </c>
      <c r="G28" s="290">
        <f t="shared" si="36"/>
        <v>45465</v>
      </c>
      <c r="H28" s="295">
        <v>2</v>
      </c>
      <c r="I28" s="292">
        <v>17</v>
      </c>
      <c r="J28" s="26">
        <v>2400</v>
      </c>
      <c r="K28" s="10">
        <f t="shared" si="43"/>
        <v>141.1764705882353</v>
      </c>
      <c r="L28" s="292">
        <v>17</v>
      </c>
      <c r="M28" s="11">
        <f t="shared" si="37"/>
        <v>2282.608695652174</v>
      </c>
      <c r="N28" s="10">
        <f t="shared" si="38"/>
        <v>134.27109974424553</v>
      </c>
      <c r="O28" s="12">
        <f t="shared" si="39"/>
        <v>0</v>
      </c>
      <c r="P28" s="13">
        <f t="shared" si="40"/>
        <v>-6.9053708439897719</v>
      </c>
      <c r="Q28" s="293">
        <f t="shared" si="41"/>
        <v>0.95108695652173914</v>
      </c>
      <c r="R28" s="442"/>
      <c r="S28" s="28">
        <v>0.49861111111111101</v>
      </c>
      <c r="T28" s="28">
        <v>0.53055555555555545</v>
      </c>
      <c r="U28" s="290">
        <f t="shared" si="45"/>
        <v>7.9999999999999716</v>
      </c>
      <c r="V28" s="298">
        <f t="shared" si="42"/>
        <v>46</v>
      </c>
      <c r="W28" s="16">
        <f>T28</f>
        <v>0.53055555555555545</v>
      </c>
      <c r="X28" s="16">
        <f>S29</f>
        <v>0.57152777777777763</v>
      </c>
      <c r="Y28" s="443"/>
      <c r="Z28" s="443"/>
      <c r="AA28" s="12">
        <f t="shared" si="2"/>
        <v>-117.39130434782601</v>
      </c>
      <c r="AB28" s="293">
        <f t="shared" si="44"/>
        <v>0.95108695652173914</v>
      </c>
      <c r="AC28" s="442"/>
    </row>
    <row r="29" spans="1:29" ht="15.75" customHeight="1">
      <c r="A29" s="463" t="s">
        <v>1313</v>
      </c>
      <c r="B29" s="31" t="s">
        <v>67</v>
      </c>
      <c r="C29" s="464" t="s">
        <v>69</v>
      </c>
      <c r="D29" s="464"/>
      <c r="E29" s="31">
        <v>31.29</v>
      </c>
      <c r="F29" s="291">
        <v>4264</v>
      </c>
      <c r="G29" s="290">
        <f t="shared" si="36"/>
        <v>133420.56</v>
      </c>
      <c r="H29" s="295" t="s">
        <v>103</v>
      </c>
      <c r="I29" s="292">
        <v>18</v>
      </c>
      <c r="J29" s="26">
        <v>2400</v>
      </c>
      <c r="K29" s="10">
        <f t="shared" si="43"/>
        <v>133.33333333333334</v>
      </c>
      <c r="L29" s="292">
        <v>18</v>
      </c>
      <c r="M29" s="11">
        <f t="shared" si="37"/>
        <v>2284.285714285716</v>
      </c>
      <c r="N29" s="10">
        <f t="shared" si="38"/>
        <v>126.904761904762</v>
      </c>
      <c r="O29" s="12">
        <f t="shared" si="39"/>
        <v>0</v>
      </c>
      <c r="P29" s="13">
        <f t="shared" si="40"/>
        <v>-6.4285714285713453</v>
      </c>
      <c r="Q29" s="293">
        <f>N29/K29</f>
        <v>0.9517857142857149</v>
      </c>
      <c r="R29" s="442"/>
      <c r="S29" s="28">
        <v>0.57152777777777763</v>
      </c>
      <c r="T29" s="28">
        <v>0.64930555555555536</v>
      </c>
      <c r="U29" s="290">
        <f t="shared" si="45"/>
        <v>58.99999999999995</v>
      </c>
      <c r="V29" s="298">
        <f t="shared" si="42"/>
        <v>111.99999999999991</v>
      </c>
      <c r="W29" s="16"/>
      <c r="X29" s="16"/>
      <c r="Y29" s="443"/>
      <c r="Z29" s="443"/>
      <c r="AA29" s="12">
        <f t="shared" si="2"/>
        <v>-115.71428571428396</v>
      </c>
      <c r="AB29" s="293">
        <f t="shared" si="44"/>
        <v>0.95178571428571501</v>
      </c>
      <c r="AC29" s="442"/>
    </row>
    <row r="30" spans="1:29" ht="15.75" customHeight="1">
      <c r="A30" s="463" t="s">
        <v>1313</v>
      </c>
      <c r="B30" s="31" t="s">
        <v>67</v>
      </c>
      <c r="C30" s="464" t="s">
        <v>78</v>
      </c>
      <c r="D30" s="464"/>
      <c r="E30" s="31">
        <v>25.98</v>
      </c>
      <c r="F30" s="291">
        <v>1261</v>
      </c>
      <c r="G30" s="290">
        <f t="shared" si="36"/>
        <v>32760.78</v>
      </c>
      <c r="H30" s="295" t="s">
        <v>103</v>
      </c>
      <c r="I30" s="292">
        <v>17</v>
      </c>
      <c r="J30" s="26">
        <v>2400</v>
      </c>
      <c r="K30" s="10">
        <f t="shared" si="43"/>
        <v>141.1764705882353</v>
      </c>
      <c r="L30" s="292">
        <v>17</v>
      </c>
      <c r="M30" s="11">
        <f t="shared" si="37"/>
        <v>2292.7272727272698</v>
      </c>
      <c r="N30" s="10">
        <f t="shared" si="38"/>
        <v>134.86631016042764</v>
      </c>
      <c r="O30" s="12">
        <f t="shared" si="39"/>
        <v>0</v>
      </c>
      <c r="P30" s="13">
        <f t="shared" si="40"/>
        <v>-6.3101604278076593</v>
      </c>
      <c r="Q30" s="293">
        <f>N30/K30</f>
        <v>0.9553030303030291</v>
      </c>
      <c r="R30" s="442"/>
      <c r="S30" s="28">
        <v>0.65486111111111089</v>
      </c>
      <c r="T30" s="28">
        <v>0.67777777777777759</v>
      </c>
      <c r="U30" s="290">
        <f t="shared" si="45"/>
        <v>7.9999999999999716</v>
      </c>
      <c r="V30" s="298">
        <f t="shared" si="42"/>
        <v>33.000000000000043</v>
      </c>
      <c r="W30" s="16"/>
      <c r="X30" s="16"/>
      <c r="Y30" s="443"/>
      <c r="Z30" s="443"/>
      <c r="AA30" s="12">
        <f t="shared" si="2"/>
        <v>-107.27272727273021</v>
      </c>
      <c r="AB30" s="293">
        <f t="shared" si="44"/>
        <v>0.9553030303030291</v>
      </c>
      <c r="AC30" s="442"/>
    </row>
    <row r="31" spans="1:29" ht="15.75" customHeight="1">
      <c r="A31" s="463" t="s">
        <v>1313</v>
      </c>
      <c r="B31" s="31" t="s">
        <v>67</v>
      </c>
      <c r="C31" s="465" t="s">
        <v>165</v>
      </c>
      <c r="D31" s="466"/>
      <c r="E31" s="31">
        <v>26.18</v>
      </c>
      <c r="F31" s="291">
        <v>2326</v>
      </c>
      <c r="G31" s="290">
        <f t="shared" si="36"/>
        <v>60894.68</v>
      </c>
      <c r="H31" s="295" t="s">
        <v>103</v>
      </c>
      <c r="I31" s="292">
        <v>19</v>
      </c>
      <c r="J31" s="26">
        <v>2400</v>
      </c>
      <c r="K31" s="10">
        <f t="shared" si="43"/>
        <v>126.31578947368421</v>
      </c>
      <c r="L31" s="292">
        <v>19</v>
      </c>
      <c r="M31" s="11">
        <f t="shared" si="37"/>
        <v>2287.8688524590184</v>
      </c>
      <c r="N31" s="10">
        <f t="shared" si="38"/>
        <v>120.41415012942203</v>
      </c>
      <c r="O31" s="12">
        <f t="shared" si="39"/>
        <v>0</v>
      </c>
      <c r="P31" s="13">
        <f t="shared" si="40"/>
        <v>-5.9016393442621791</v>
      </c>
      <c r="Q31" s="293">
        <f t="shared" ref="Q31" si="46">N31/K31</f>
        <v>0.95327868852459108</v>
      </c>
      <c r="R31" s="442"/>
      <c r="S31" s="28">
        <v>0.68333333333333313</v>
      </c>
      <c r="T31" s="28">
        <v>0.7256944444444442</v>
      </c>
      <c r="U31" s="290">
        <f t="shared" si="45"/>
        <v>7.9999999999999716</v>
      </c>
      <c r="V31" s="298">
        <f t="shared" si="42"/>
        <v>60.999999999999943</v>
      </c>
      <c r="W31" s="16"/>
      <c r="X31" s="16"/>
      <c r="Y31" s="447"/>
      <c r="Z31" s="448"/>
      <c r="AA31" s="12">
        <f t="shared" si="2"/>
        <v>-112.1311475409816</v>
      </c>
      <c r="AB31" s="293">
        <f t="shared" si="44"/>
        <v>0.95327868852459097</v>
      </c>
      <c r="AC31" s="442"/>
    </row>
    <row r="32" spans="1:29" ht="15.75" customHeight="1">
      <c r="A32" s="463" t="s">
        <v>1313</v>
      </c>
      <c r="B32" s="31" t="s">
        <v>67</v>
      </c>
      <c r="C32" s="465" t="s">
        <v>77</v>
      </c>
      <c r="D32" s="466"/>
      <c r="E32" s="31">
        <v>26.2</v>
      </c>
      <c r="F32" s="291">
        <v>1908</v>
      </c>
      <c r="G32" s="290">
        <f t="shared" si="36"/>
        <v>49989.599999999999</v>
      </c>
      <c r="H32" s="295" t="s">
        <v>103</v>
      </c>
      <c r="I32" s="292">
        <v>19</v>
      </c>
      <c r="J32" s="26">
        <v>2400</v>
      </c>
      <c r="K32" s="10">
        <f t="shared" si="43"/>
        <v>126.31578947368421</v>
      </c>
      <c r="L32" s="292">
        <v>19</v>
      </c>
      <c r="M32" s="11">
        <f t="shared" si="37"/>
        <v>2289.6000000000008</v>
      </c>
      <c r="N32" s="10">
        <f t="shared" si="38"/>
        <v>120.50526315789477</v>
      </c>
      <c r="O32" s="12">
        <f t="shared" si="39"/>
        <v>0</v>
      </c>
      <c r="P32" s="13">
        <f t="shared" si="40"/>
        <v>-5.8105263157894314</v>
      </c>
      <c r="Q32" s="293">
        <f>N32/K32</f>
        <v>0.95400000000000029</v>
      </c>
      <c r="R32" s="442"/>
      <c r="S32" s="28">
        <v>0.72986111111111085</v>
      </c>
      <c r="T32" s="28">
        <v>0.76458333333333306</v>
      </c>
      <c r="U32" s="290">
        <f t="shared" si="45"/>
        <v>5.9999999999999787</v>
      </c>
      <c r="V32" s="298">
        <f t="shared" si="42"/>
        <v>49.999999999999986</v>
      </c>
      <c r="W32" s="16"/>
      <c r="X32" s="16"/>
      <c r="Y32" s="447"/>
      <c r="Z32" s="448"/>
      <c r="AA32" s="12">
        <f t="shared" si="2"/>
        <v>-110.39999999999918</v>
      </c>
      <c r="AB32" s="293">
        <f t="shared" si="44"/>
        <v>0.95400000000000029</v>
      </c>
      <c r="AC32" s="442"/>
    </row>
    <row r="33" spans="1:29" ht="15.75" customHeight="1">
      <c r="A33" s="463" t="s">
        <v>1313</v>
      </c>
      <c r="B33" s="31" t="s">
        <v>1312</v>
      </c>
      <c r="C33" s="446"/>
      <c r="D33" s="446"/>
      <c r="E33" s="294"/>
      <c r="F33" s="291"/>
      <c r="G33" s="290"/>
      <c r="H33" s="291"/>
      <c r="I33" s="19">
        <v>18.100000000000001</v>
      </c>
      <c r="J33" s="26">
        <v>2400</v>
      </c>
      <c r="K33" s="10">
        <f t="shared" si="43"/>
        <v>132.59668508287291</v>
      </c>
      <c r="L33" s="19">
        <v>18.100000000000001</v>
      </c>
      <c r="M33" s="11">
        <f>AVERAGE(M23:M32)</f>
        <v>2282.3456267534857</v>
      </c>
      <c r="N33" s="10">
        <f>M33/L33</f>
        <v>126.0964434670434</v>
      </c>
      <c r="O33" s="12">
        <f>L33-I33</f>
        <v>0</v>
      </c>
      <c r="P33" s="13">
        <f>N33-K33</f>
        <v>-6.5002416158295091</v>
      </c>
      <c r="Q33" s="293">
        <f>N33/K33</f>
        <v>0.9509773444806191</v>
      </c>
      <c r="R33" s="442"/>
      <c r="S33" s="28"/>
      <c r="T33" s="28"/>
      <c r="U33" s="290"/>
      <c r="V33" s="298"/>
      <c r="W33" s="290"/>
      <c r="X33" s="290"/>
      <c r="Y33" s="443"/>
      <c r="Z33" s="443"/>
      <c r="AA33" s="12">
        <f t="shared" si="2"/>
        <v>-117.6543732465143</v>
      </c>
      <c r="AB33" s="293">
        <f>M33/J33</f>
        <v>0.95097734448061899</v>
      </c>
      <c r="AC33" s="442"/>
    </row>
    <row r="34" spans="1:29" ht="15.75" customHeight="1">
      <c r="A34" s="461" t="s">
        <v>1314</v>
      </c>
      <c r="B34" s="31" t="s">
        <v>67</v>
      </c>
      <c r="C34" s="441" t="s">
        <v>73</v>
      </c>
      <c r="D34" s="441"/>
      <c r="E34" s="31">
        <v>26.2</v>
      </c>
      <c r="F34" s="291">
        <v>4400</v>
      </c>
      <c r="G34" s="290">
        <f t="shared" ref="G34:G44" si="47">E34*F34</f>
        <v>115280</v>
      </c>
      <c r="H34" s="295">
        <v>2</v>
      </c>
      <c r="I34" s="292">
        <v>18</v>
      </c>
      <c r="J34" s="26">
        <v>2400</v>
      </c>
      <c r="K34" s="10">
        <f>J34/I34</f>
        <v>133.33333333333334</v>
      </c>
      <c r="L34" s="292">
        <v>18</v>
      </c>
      <c r="M34" s="11">
        <f>F34/V34*60</f>
        <v>2275.8620689655172</v>
      </c>
      <c r="N34" s="10">
        <f>M34/L34</f>
        <v>126.43678160919541</v>
      </c>
      <c r="O34" s="12">
        <f t="shared" ref="O34:O44" si="48">L34-I34</f>
        <v>0</v>
      </c>
      <c r="P34" s="13">
        <f t="shared" ref="P34:P52" si="49">N34-K34</f>
        <v>-6.8965517241379359</v>
      </c>
      <c r="Q34" s="293">
        <f t="shared" ref="Q34:Q49" si="50">N34/K34</f>
        <v>0.94827586206896552</v>
      </c>
      <c r="R34" s="442">
        <f>Q45</f>
        <v>0.95256993989473449</v>
      </c>
      <c r="S34" s="28">
        <v>8.3333333333333329E-2</v>
      </c>
      <c r="T34" s="28">
        <v>0.16388888888888889</v>
      </c>
      <c r="U34" s="290"/>
      <c r="V34" s="298">
        <f t="shared" ref="V34:V44" si="51">(T34-S34)*24*60</f>
        <v>116.00000000000001</v>
      </c>
      <c r="W34" s="18">
        <f>T34</f>
        <v>0.16388888888888889</v>
      </c>
      <c r="X34" s="18">
        <f>S35</f>
        <v>0.18402777777777779</v>
      </c>
      <c r="Y34" s="443"/>
      <c r="Z34" s="443"/>
      <c r="AA34" s="12">
        <f t="shared" si="2"/>
        <v>-124.13793103448279</v>
      </c>
      <c r="AB34" s="293">
        <f>M34/J34</f>
        <v>0.94827586206896552</v>
      </c>
      <c r="AC34" s="442">
        <f>AB45</f>
        <v>0.95256993989473437</v>
      </c>
    </row>
    <row r="35" spans="1:29" ht="15.75" customHeight="1">
      <c r="A35" s="461" t="s">
        <v>1314</v>
      </c>
      <c r="B35" s="31" t="s">
        <v>67</v>
      </c>
      <c r="C35" s="441" t="s">
        <v>74</v>
      </c>
      <c r="D35" s="441"/>
      <c r="E35" s="31">
        <v>24.45</v>
      </c>
      <c r="F35" s="291">
        <v>2571</v>
      </c>
      <c r="G35" s="290">
        <f t="shared" si="47"/>
        <v>62860.95</v>
      </c>
      <c r="H35" s="295" t="s">
        <v>103</v>
      </c>
      <c r="I35" s="292">
        <v>20</v>
      </c>
      <c r="J35" s="26">
        <v>2400</v>
      </c>
      <c r="K35" s="10">
        <f t="shared" ref="K35:K51" si="52">J35/I35</f>
        <v>120</v>
      </c>
      <c r="L35" s="292">
        <v>20</v>
      </c>
      <c r="M35" s="11">
        <f t="shared" ref="M35:M44" si="53">F35/V35*60</f>
        <v>2302.3880597014927</v>
      </c>
      <c r="N35" s="10">
        <f t="shared" ref="N35:N44" si="54">M35/L35</f>
        <v>115.11940298507463</v>
      </c>
      <c r="O35" s="12">
        <f t="shared" si="48"/>
        <v>0</v>
      </c>
      <c r="P35" s="13">
        <f t="shared" si="49"/>
        <v>-4.880597014925371</v>
      </c>
      <c r="Q35" s="293">
        <f t="shared" si="50"/>
        <v>0.95932835820895523</v>
      </c>
      <c r="R35" s="442"/>
      <c r="S35" s="28">
        <v>0.18402777777777779</v>
      </c>
      <c r="T35" s="28">
        <v>0.23055555555555557</v>
      </c>
      <c r="U35" s="290">
        <f>(S35-T34)*24*60</f>
        <v>29.000000000000018</v>
      </c>
      <c r="V35" s="298">
        <f t="shared" si="51"/>
        <v>67</v>
      </c>
      <c r="W35" s="290"/>
      <c r="X35" s="290"/>
      <c r="Y35" s="443"/>
      <c r="Z35" s="443"/>
      <c r="AA35" s="12">
        <f t="shared" si="2"/>
        <v>-97.611940298507307</v>
      </c>
      <c r="AB35" s="293">
        <f t="shared" ref="AB35:AB64" si="55">M35/J35</f>
        <v>0.95932835820895523</v>
      </c>
      <c r="AC35" s="442"/>
    </row>
    <row r="36" spans="1:29">
      <c r="A36" s="462" t="s">
        <v>1314</v>
      </c>
      <c r="B36" s="31" t="s">
        <v>67</v>
      </c>
      <c r="C36" s="441" t="s">
        <v>75</v>
      </c>
      <c r="D36" s="441"/>
      <c r="E36" s="31">
        <v>26.39</v>
      </c>
      <c r="F36" s="291">
        <v>4200</v>
      </c>
      <c r="G36" s="290">
        <f t="shared" si="47"/>
        <v>110838</v>
      </c>
      <c r="H36" s="295">
        <v>2</v>
      </c>
      <c r="I36" s="292">
        <v>19</v>
      </c>
      <c r="J36" s="26">
        <v>2400</v>
      </c>
      <c r="K36" s="10">
        <f t="shared" si="52"/>
        <v>126.31578947368421</v>
      </c>
      <c r="L36" s="292">
        <v>19</v>
      </c>
      <c r="M36" s="11">
        <f t="shared" si="53"/>
        <v>2270.2702702702704</v>
      </c>
      <c r="N36" s="10">
        <f t="shared" si="54"/>
        <v>119.48790896159318</v>
      </c>
      <c r="O36" s="12">
        <f t="shared" si="48"/>
        <v>0</v>
      </c>
      <c r="P36" s="13">
        <f t="shared" si="49"/>
        <v>-6.8278805120910278</v>
      </c>
      <c r="Q36" s="293">
        <f t="shared" si="50"/>
        <v>0.94594594594594605</v>
      </c>
      <c r="R36" s="442"/>
      <c r="S36" s="28">
        <v>0.23402777777777778</v>
      </c>
      <c r="T36" s="28">
        <v>0.31111111111111112</v>
      </c>
      <c r="U36" s="290">
        <f t="shared" ref="U36:U44" si="56">(S36-T35)*24*60</f>
        <v>4.9999999999999822</v>
      </c>
      <c r="V36" s="298">
        <f t="shared" si="51"/>
        <v>111</v>
      </c>
      <c r="W36" s="290"/>
      <c r="X36" s="290"/>
      <c r="Y36" s="443"/>
      <c r="Z36" s="443"/>
      <c r="AA36" s="12">
        <f t="shared" si="2"/>
        <v>-129.72972972972957</v>
      </c>
      <c r="AB36" s="293">
        <f t="shared" si="55"/>
        <v>0.94594594594594605</v>
      </c>
      <c r="AC36" s="442"/>
    </row>
    <row r="37" spans="1:29">
      <c r="A37" s="462" t="s">
        <v>1314</v>
      </c>
      <c r="B37" s="31" t="s">
        <v>67</v>
      </c>
      <c r="C37" s="441" t="s">
        <v>76</v>
      </c>
      <c r="D37" s="441"/>
      <c r="E37" s="31">
        <v>20.52</v>
      </c>
      <c r="F37" s="291">
        <v>2200</v>
      </c>
      <c r="G37" s="290">
        <f t="shared" si="47"/>
        <v>45144</v>
      </c>
      <c r="H37" s="295">
        <v>2</v>
      </c>
      <c r="I37" s="292">
        <v>18</v>
      </c>
      <c r="J37" s="26">
        <v>2400</v>
      </c>
      <c r="K37" s="10">
        <f t="shared" si="52"/>
        <v>133.33333333333334</v>
      </c>
      <c r="L37" s="292">
        <v>18</v>
      </c>
      <c r="M37" s="11">
        <f t="shared" si="53"/>
        <v>2275.8620689655158</v>
      </c>
      <c r="N37" s="10">
        <f t="shared" si="54"/>
        <v>126.43678160919532</v>
      </c>
      <c r="O37" s="12">
        <f t="shared" si="48"/>
        <v>0</v>
      </c>
      <c r="P37" s="13">
        <f t="shared" si="49"/>
        <v>-6.8965517241380212</v>
      </c>
      <c r="Q37" s="293">
        <f t="shared" si="50"/>
        <v>0.94827586206896486</v>
      </c>
      <c r="R37" s="442"/>
      <c r="S37" s="28">
        <v>0.31666666666666665</v>
      </c>
      <c r="T37" s="28">
        <v>0.35694444444444445</v>
      </c>
      <c r="U37" s="290">
        <f t="shared" si="56"/>
        <v>7.9999999999999716</v>
      </c>
      <c r="V37" s="298">
        <f t="shared" si="51"/>
        <v>58.000000000000036</v>
      </c>
      <c r="W37" s="16"/>
      <c r="X37" s="16"/>
      <c r="Y37" s="443"/>
      <c r="Z37" s="443"/>
      <c r="AA37" s="12">
        <f t="shared" si="2"/>
        <v>-124.13793103448415</v>
      </c>
      <c r="AB37" s="293">
        <f t="shared" si="55"/>
        <v>0.94827586206896497</v>
      </c>
      <c r="AC37" s="442"/>
    </row>
    <row r="38" spans="1:29">
      <c r="A38" s="462" t="s">
        <v>1314</v>
      </c>
      <c r="B38" s="31" t="s">
        <v>67</v>
      </c>
      <c r="C38" s="441" t="s">
        <v>1167</v>
      </c>
      <c r="D38" s="441"/>
      <c r="E38" s="31">
        <v>23.34</v>
      </c>
      <c r="F38" s="291">
        <v>4700</v>
      </c>
      <c r="G38" s="290">
        <f t="shared" si="47"/>
        <v>109698</v>
      </c>
      <c r="H38" s="295">
        <v>2</v>
      </c>
      <c r="I38" s="292">
        <v>15</v>
      </c>
      <c r="J38" s="26">
        <v>2400</v>
      </c>
      <c r="K38" s="10">
        <f t="shared" si="52"/>
        <v>160</v>
      </c>
      <c r="L38" s="292">
        <v>15</v>
      </c>
      <c r="M38" s="11">
        <f t="shared" si="53"/>
        <v>2274.1935483870961</v>
      </c>
      <c r="N38" s="10">
        <f t="shared" si="54"/>
        <v>151.61290322580641</v>
      </c>
      <c r="O38" s="12">
        <f t="shared" si="48"/>
        <v>0</v>
      </c>
      <c r="P38" s="13">
        <f t="shared" si="49"/>
        <v>-8.3870967741935942</v>
      </c>
      <c r="Q38" s="293">
        <f t="shared" si="50"/>
        <v>0.94758064516129004</v>
      </c>
      <c r="R38" s="442"/>
      <c r="S38" s="28">
        <v>0.36041666666666666</v>
      </c>
      <c r="T38" s="28">
        <v>0.4465277777777778</v>
      </c>
      <c r="U38" s="290">
        <f t="shared" si="56"/>
        <v>4.9999999999999822</v>
      </c>
      <c r="V38" s="298">
        <f t="shared" si="51"/>
        <v>124.00000000000004</v>
      </c>
      <c r="W38" s="16"/>
      <c r="X38" s="16"/>
      <c r="Y38" s="443"/>
      <c r="Z38" s="443"/>
      <c r="AA38" s="12">
        <f t="shared" si="2"/>
        <v>-125.80645161290386</v>
      </c>
      <c r="AB38" s="293">
        <f t="shared" si="55"/>
        <v>0.94758064516129004</v>
      </c>
      <c r="AC38" s="442"/>
    </row>
    <row r="39" spans="1:29">
      <c r="A39" s="462" t="s">
        <v>1314</v>
      </c>
      <c r="B39" s="31" t="s">
        <v>67</v>
      </c>
      <c r="C39" s="441" t="s">
        <v>71</v>
      </c>
      <c r="D39" s="441"/>
      <c r="E39" s="31">
        <v>22.35</v>
      </c>
      <c r="F39" s="291">
        <v>2176</v>
      </c>
      <c r="G39" s="290">
        <f t="shared" si="47"/>
        <v>48633.600000000006</v>
      </c>
      <c r="H39" s="295" t="s">
        <v>103</v>
      </c>
      <c r="I39" s="292">
        <v>16</v>
      </c>
      <c r="J39" s="26">
        <v>2400</v>
      </c>
      <c r="K39" s="10">
        <f t="shared" si="52"/>
        <v>150</v>
      </c>
      <c r="L39" s="292">
        <v>16</v>
      </c>
      <c r="M39" s="11">
        <f t="shared" si="53"/>
        <v>2290.5263157894724</v>
      </c>
      <c r="N39" s="10">
        <f t="shared" si="54"/>
        <v>143.15789473684202</v>
      </c>
      <c r="O39" s="12">
        <f t="shared" si="48"/>
        <v>0</v>
      </c>
      <c r="P39" s="13">
        <f t="shared" si="49"/>
        <v>-6.8421052631579755</v>
      </c>
      <c r="Q39" s="293">
        <f t="shared" si="50"/>
        <v>0.95438596491228012</v>
      </c>
      <c r="R39" s="442"/>
      <c r="S39" s="28">
        <v>0.45208333333333334</v>
      </c>
      <c r="T39" s="28">
        <v>0.4916666666666667</v>
      </c>
      <c r="U39" s="290">
        <f t="shared" si="56"/>
        <v>7.9999999999999716</v>
      </c>
      <c r="V39" s="298">
        <f t="shared" si="51"/>
        <v>57.000000000000036</v>
      </c>
      <c r="W39" s="16">
        <f>T39</f>
        <v>0.4916666666666667</v>
      </c>
      <c r="X39" s="16">
        <f>S40</f>
        <v>0.53055555555555556</v>
      </c>
      <c r="Y39" s="443"/>
      <c r="Z39" s="443"/>
      <c r="AA39" s="12">
        <f t="shared" si="2"/>
        <v>-109.47368421052761</v>
      </c>
      <c r="AB39" s="293">
        <f t="shared" si="55"/>
        <v>0.95438596491228012</v>
      </c>
      <c r="AC39" s="442"/>
    </row>
    <row r="40" spans="1:29">
      <c r="A40" s="462" t="s">
        <v>1314</v>
      </c>
      <c r="B40" s="31" t="s">
        <v>67</v>
      </c>
      <c r="C40" s="441" t="s">
        <v>75</v>
      </c>
      <c r="D40" s="441"/>
      <c r="E40" s="31">
        <v>26.39</v>
      </c>
      <c r="F40" s="291">
        <v>3017</v>
      </c>
      <c r="G40" s="290">
        <f t="shared" si="47"/>
        <v>79618.63</v>
      </c>
      <c r="H40" s="295" t="s">
        <v>103</v>
      </c>
      <c r="I40" s="292">
        <v>19</v>
      </c>
      <c r="J40" s="26">
        <v>2400</v>
      </c>
      <c r="K40" s="10">
        <f t="shared" si="52"/>
        <v>126.31578947368421</v>
      </c>
      <c r="L40" s="292">
        <v>19</v>
      </c>
      <c r="M40" s="11">
        <f t="shared" si="53"/>
        <v>2291.39240506329</v>
      </c>
      <c r="N40" s="10">
        <f t="shared" si="54"/>
        <v>120.59960026648895</v>
      </c>
      <c r="O40" s="12">
        <f t="shared" si="48"/>
        <v>0</v>
      </c>
      <c r="P40" s="13">
        <f t="shared" si="49"/>
        <v>-5.7161892071952565</v>
      </c>
      <c r="Q40" s="293">
        <f t="shared" si="50"/>
        <v>0.95474683544303751</v>
      </c>
      <c r="R40" s="442"/>
      <c r="S40" s="28">
        <v>0.53055555555555556</v>
      </c>
      <c r="T40" s="28">
        <v>0.5854166666666667</v>
      </c>
      <c r="U40" s="290">
        <f t="shared" si="56"/>
        <v>55.999999999999957</v>
      </c>
      <c r="V40" s="298">
        <f t="shared" si="51"/>
        <v>79.000000000000043</v>
      </c>
      <c r="W40" s="16"/>
      <c r="X40" s="16"/>
      <c r="Y40" s="447"/>
      <c r="Z40" s="448"/>
      <c r="AA40" s="12">
        <f t="shared" si="2"/>
        <v>-108.60759493671003</v>
      </c>
      <c r="AB40" s="293">
        <f t="shared" si="55"/>
        <v>0.95474683544303751</v>
      </c>
      <c r="AC40" s="442"/>
    </row>
    <row r="41" spans="1:29">
      <c r="A41" s="462" t="s">
        <v>1314</v>
      </c>
      <c r="B41" s="31" t="s">
        <v>67</v>
      </c>
      <c r="C41" s="441" t="s">
        <v>1167</v>
      </c>
      <c r="D41" s="441"/>
      <c r="E41" s="31">
        <v>23.34</v>
      </c>
      <c r="F41" s="291">
        <v>3295</v>
      </c>
      <c r="G41" s="290">
        <f t="shared" si="47"/>
        <v>76905.3</v>
      </c>
      <c r="H41" s="295" t="s">
        <v>103</v>
      </c>
      <c r="I41" s="292">
        <v>15</v>
      </c>
      <c r="J41" s="26">
        <v>2400</v>
      </c>
      <c r="K41" s="10">
        <f t="shared" si="52"/>
        <v>160</v>
      </c>
      <c r="L41" s="292">
        <v>15</v>
      </c>
      <c r="M41" s="11">
        <f t="shared" si="53"/>
        <v>2272.4137931034479</v>
      </c>
      <c r="N41" s="10">
        <f t="shared" si="54"/>
        <v>151.4942528735632</v>
      </c>
      <c r="O41" s="12">
        <f t="shared" si="48"/>
        <v>0</v>
      </c>
      <c r="P41" s="13">
        <f t="shared" si="49"/>
        <v>-8.5057471264368019</v>
      </c>
      <c r="Q41" s="293">
        <f t="shared" si="50"/>
        <v>0.94683908045976994</v>
      </c>
      <c r="R41" s="442"/>
      <c r="S41" s="28">
        <v>0.59027777777777779</v>
      </c>
      <c r="T41" s="28">
        <v>0.65069444444444446</v>
      </c>
      <c r="U41" s="290">
        <f t="shared" si="56"/>
        <v>6.9999999999999751</v>
      </c>
      <c r="V41" s="298">
        <f t="shared" si="51"/>
        <v>87.000000000000014</v>
      </c>
      <c r="W41" s="16"/>
      <c r="X41" s="16"/>
      <c r="Y41" s="447"/>
      <c r="Z41" s="448"/>
      <c r="AA41" s="12">
        <f t="shared" si="2"/>
        <v>-127.58620689655208</v>
      </c>
      <c r="AB41" s="293">
        <f t="shared" si="55"/>
        <v>0.94683908045976994</v>
      </c>
      <c r="AC41" s="442"/>
    </row>
    <row r="42" spans="1:29">
      <c r="A42" s="462" t="s">
        <v>1314</v>
      </c>
      <c r="B42" s="31" t="s">
        <v>67</v>
      </c>
      <c r="C42" s="441" t="s">
        <v>76</v>
      </c>
      <c r="D42" s="441"/>
      <c r="E42" s="31">
        <v>20.52</v>
      </c>
      <c r="F42" s="291">
        <v>1577</v>
      </c>
      <c r="G42" s="290">
        <f t="shared" si="47"/>
        <v>32360.04</v>
      </c>
      <c r="H42" s="295" t="s">
        <v>103</v>
      </c>
      <c r="I42" s="292">
        <v>18</v>
      </c>
      <c r="J42" s="26">
        <v>2400</v>
      </c>
      <c r="K42" s="10">
        <f t="shared" si="52"/>
        <v>133.33333333333334</v>
      </c>
      <c r="L42" s="292">
        <v>18</v>
      </c>
      <c r="M42" s="11">
        <f t="shared" si="53"/>
        <v>2307.8048780487793</v>
      </c>
      <c r="N42" s="10">
        <f t="shared" si="54"/>
        <v>128.21138211382106</v>
      </c>
      <c r="O42" s="12">
        <f t="shared" si="48"/>
        <v>0</v>
      </c>
      <c r="P42" s="13">
        <f t="shared" si="49"/>
        <v>-5.1219512195122832</v>
      </c>
      <c r="Q42" s="293">
        <f t="shared" si="50"/>
        <v>0.96158536585365784</v>
      </c>
      <c r="R42" s="442"/>
      <c r="S42" s="28">
        <v>0.65555555555555556</v>
      </c>
      <c r="T42" s="28">
        <v>0.68402777777777779</v>
      </c>
      <c r="U42" s="290">
        <f t="shared" si="56"/>
        <v>6.9999999999999751</v>
      </c>
      <c r="V42" s="298">
        <f t="shared" si="51"/>
        <v>41.000000000000014</v>
      </c>
      <c r="W42" s="16"/>
      <c r="X42" s="16"/>
      <c r="Y42" s="447"/>
      <c r="Z42" s="448"/>
      <c r="AA42" s="12">
        <f t="shared" si="2"/>
        <v>-92.195121951220699</v>
      </c>
      <c r="AB42" s="293">
        <f t="shared" si="55"/>
        <v>0.96158536585365806</v>
      </c>
      <c r="AC42" s="442"/>
    </row>
    <row r="43" spans="1:29">
      <c r="A43" s="462" t="s">
        <v>1314</v>
      </c>
      <c r="B43" s="31" t="s">
        <v>67</v>
      </c>
      <c r="C43" s="441" t="s">
        <v>101</v>
      </c>
      <c r="D43" s="441"/>
      <c r="E43" s="31">
        <v>25</v>
      </c>
      <c r="F43" s="291">
        <v>1341</v>
      </c>
      <c r="G43" s="290">
        <f t="shared" si="47"/>
        <v>33525</v>
      </c>
      <c r="H43" s="295" t="s">
        <v>103</v>
      </c>
      <c r="I43" s="292">
        <v>15</v>
      </c>
      <c r="J43" s="26">
        <v>2400</v>
      </c>
      <c r="K43" s="10">
        <f t="shared" si="52"/>
        <v>160</v>
      </c>
      <c r="L43" s="292">
        <v>15</v>
      </c>
      <c r="M43" s="11">
        <f t="shared" si="53"/>
        <v>2298.8571428571404</v>
      </c>
      <c r="N43" s="10">
        <f t="shared" si="54"/>
        <v>153.2571428571427</v>
      </c>
      <c r="O43" s="12">
        <f t="shared" si="48"/>
        <v>0</v>
      </c>
      <c r="P43" s="13">
        <f t="shared" si="49"/>
        <v>-6.7428571428573036</v>
      </c>
      <c r="Q43" s="293">
        <f t="shared" si="50"/>
        <v>0.95785714285714185</v>
      </c>
      <c r="R43" s="442"/>
      <c r="S43" s="28">
        <v>0.68958333333333333</v>
      </c>
      <c r="T43" s="28">
        <v>0.71388888888888891</v>
      </c>
      <c r="U43" s="290">
        <f t="shared" si="56"/>
        <v>7.9999999999999716</v>
      </c>
      <c r="V43" s="298">
        <f t="shared" si="51"/>
        <v>35.000000000000036</v>
      </c>
      <c r="W43" s="16"/>
      <c r="X43" s="16"/>
      <c r="Y43" s="447"/>
      <c r="Z43" s="448"/>
      <c r="AA43" s="12">
        <f t="shared" si="2"/>
        <v>-101.14285714285961</v>
      </c>
      <c r="AB43" s="293">
        <f t="shared" si="55"/>
        <v>0.95785714285714185</v>
      </c>
      <c r="AC43" s="442"/>
    </row>
    <row r="44" spans="1:29">
      <c r="A44" s="462" t="s">
        <v>1314</v>
      </c>
      <c r="B44" s="31" t="s">
        <v>67</v>
      </c>
      <c r="C44" s="441" t="s">
        <v>73</v>
      </c>
      <c r="D44" s="441"/>
      <c r="E44" s="31">
        <v>26.2</v>
      </c>
      <c r="F44" s="291">
        <v>3318</v>
      </c>
      <c r="G44" s="290">
        <f t="shared" si="47"/>
        <v>86931.599999999991</v>
      </c>
      <c r="H44" s="295" t="s">
        <v>103</v>
      </c>
      <c r="I44" s="292">
        <v>18</v>
      </c>
      <c r="J44" s="26">
        <v>2400</v>
      </c>
      <c r="K44" s="10">
        <f t="shared" si="52"/>
        <v>133.33333333333334</v>
      </c>
      <c r="L44" s="292">
        <v>18</v>
      </c>
      <c r="M44" s="11">
        <f t="shared" si="53"/>
        <v>2288.2758620689651</v>
      </c>
      <c r="N44" s="10">
        <f t="shared" si="54"/>
        <v>127.12643678160917</v>
      </c>
      <c r="O44" s="12">
        <f t="shared" si="48"/>
        <v>0</v>
      </c>
      <c r="P44" s="13">
        <f t="shared" si="49"/>
        <v>-6.2068965517241708</v>
      </c>
      <c r="Q44" s="293">
        <f t="shared" si="50"/>
        <v>0.95344827586206871</v>
      </c>
      <c r="R44" s="442"/>
      <c r="S44" s="28">
        <v>0.71736111111111112</v>
      </c>
      <c r="T44" s="28">
        <v>0.77777777777777779</v>
      </c>
      <c r="U44" s="290">
        <f t="shared" si="56"/>
        <v>4.9999999999999822</v>
      </c>
      <c r="V44" s="298">
        <f t="shared" si="51"/>
        <v>87.000000000000014</v>
      </c>
      <c r="W44" s="16"/>
      <c r="X44" s="16"/>
      <c r="Y44" s="447"/>
      <c r="Z44" s="448"/>
      <c r="AA44" s="12">
        <f t="shared" si="2"/>
        <v>-111.72413793103487</v>
      </c>
      <c r="AB44" s="293">
        <f t="shared" si="55"/>
        <v>0.95344827586206882</v>
      </c>
      <c r="AC44" s="442"/>
    </row>
    <row r="45" spans="1:29">
      <c r="A45" s="462" t="s">
        <v>1314</v>
      </c>
      <c r="B45" s="33" t="s">
        <v>1312</v>
      </c>
      <c r="C45" s="446"/>
      <c r="D45" s="446"/>
      <c r="E45" s="294"/>
      <c r="F45" s="33"/>
      <c r="G45" s="10"/>
      <c r="H45" s="291"/>
      <c r="I45" s="19">
        <v>17.363636363636363</v>
      </c>
      <c r="J45" s="26">
        <v>2400</v>
      </c>
      <c r="K45" s="10">
        <f t="shared" si="52"/>
        <v>138.21989528795811</v>
      </c>
      <c r="L45" s="19">
        <v>17.363636363636363</v>
      </c>
      <c r="M45" s="11">
        <f>AVERAGE(M34:M44)</f>
        <v>2286.1678557473624</v>
      </c>
      <c r="N45" s="10">
        <f>M45/L45</f>
        <v>131.66411734670675</v>
      </c>
      <c r="O45" s="12">
        <f>L45-I45</f>
        <v>0</v>
      </c>
      <c r="P45" s="13">
        <f t="shared" si="49"/>
        <v>-6.5557779412513639</v>
      </c>
      <c r="Q45" s="293">
        <f t="shared" si="50"/>
        <v>0.95256993989473449</v>
      </c>
      <c r="R45" s="442"/>
      <c r="S45" s="28"/>
      <c r="T45" s="28"/>
      <c r="U45" s="10"/>
      <c r="V45" s="298"/>
      <c r="W45" s="10"/>
      <c r="X45" s="10"/>
      <c r="Y45" s="443"/>
      <c r="Z45" s="443"/>
      <c r="AA45" s="12">
        <f t="shared" si="2"/>
        <v>-113.83214425263759</v>
      </c>
      <c r="AB45" s="293">
        <f t="shared" si="55"/>
        <v>0.95256993989473437</v>
      </c>
      <c r="AC45" s="442"/>
    </row>
    <row r="46" spans="1:29" ht="15.75" customHeight="1">
      <c r="A46" s="453" t="s">
        <v>1315</v>
      </c>
      <c r="B46" s="31" t="s">
        <v>79</v>
      </c>
      <c r="C46" s="444" t="s">
        <v>80</v>
      </c>
      <c r="D46" s="445"/>
      <c r="E46" s="31">
        <v>21.13</v>
      </c>
      <c r="F46" s="291">
        <v>5591</v>
      </c>
      <c r="G46" s="290">
        <f t="shared" ref="G46:G51" si="57">E46*F46</f>
        <v>118137.82999999999</v>
      </c>
      <c r="H46" s="295" t="s">
        <v>103</v>
      </c>
      <c r="I46" s="292">
        <v>10</v>
      </c>
      <c r="J46" s="26">
        <v>3000</v>
      </c>
      <c r="K46" s="10">
        <f t="shared" si="52"/>
        <v>300</v>
      </c>
      <c r="L46" s="292">
        <v>10</v>
      </c>
      <c r="M46" s="11">
        <f t="shared" ref="M46:M47" si="58">F46/V46*60</f>
        <v>2842.8813559322034</v>
      </c>
      <c r="N46" s="11">
        <f t="shared" ref="N46:N52" si="59">M46/L46</f>
        <v>284.28813559322032</v>
      </c>
      <c r="O46" s="12">
        <f t="shared" ref="O46:O52" si="60">L46-I46</f>
        <v>0</v>
      </c>
      <c r="P46" s="13">
        <f t="shared" si="49"/>
        <v>-15.711864406779682</v>
      </c>
      <c r="Q46" s="293">
        <f t="shared" si="50"/>
        <v>0.94762711864406768</v>
      </c>
      <c r="R46" s="456">
        <f>Q52</f>
        <v>0.95508719869137726</v>
      </c>
      <c r="S46" s="28">
        <v>8.3333333333333329E-2</v>
      </c>
      <c r="T46" s="28">
        <v>0.16527777777777777</v>
      </c>
      <c r="U46" s="18"/>
      <c r="V46" s="298">
        <f t="shared" ref="V46:V51" si="61">(T46-S46)*24*60</f>
        <v>118</v>
      </c>
      <c r="W46" s="16">
        <f>T46</f>
        <v>0.16527777777777777</v>
      </c>
      <c r="X46" s="16">
        <f>S47</f>
        <v>0.18611111111111112</v>
      </c>
      <c r="Y46" s="447"/>
      <c r="Z46" s="448"/>
      <c r="AA46" s="12">
        <f t="shared" si="2"/>
        <v>-157.11864406779659</v>
      </c>
      <c r="AB46" s="293">
        <f t="shared" si="55"/>
        <v>0.94762711864406779</v>
      </c>
      <c r="AC46" s="456">
        <f>AB52</f>
        <v>0.95508719869137726</v>
      </c>
    </row>
    <row r="47" spans="1:29" ht="15.75" customHeight="1">
      <c r="A47" s="454" t="s">
        <v>1315</v>
      </c>
      <c r="B47" s="31" t="s">
        <v>79</v>
      </c>
      <c r="C47" s="444" t="s">
        <v>81</v>
      </c>
      <c r="D47" s="445"/>
      <c r="E47" s="31">
        <v>27.17</v>
      </c>
      <c r="F47" s="291">
        <v>6923</v>
      </c>
      <c r="G47" s="290">
        <f t="shared" si="57"/>
        <v>188097.91</v>
      </c>
      <c r="H47" s="295" t="s">
        <v>103</v>
      </c>
      <c r="I47" s="292">
        <v>10</v>
      </c>
      <c r="J47" s="26">
        <v>3000</v>
      </c>
      <c r="K47" s="10">
        <f t="shared" si="52"/>
        <v>300</v>
      </c>
      <c r="L47" s="292">
        <v>10</v>
      </c>
      <c r="M47" s="11">
        <f t="shared" si="58"/>
        <v>2845.0684931506853</v>
      </c>
      <c r="N47" s="11">
        <f t="shared" si="59"/>
        <v>284.50684931506851</v>
      </c>
      <c r="O47" s="12">
        <f t="shared" si="60"/>
        <v>0</v>
      </c>
      <c r="P47" s="13">
        <f t="shared" si="49"/>
        <v>-15.493150684931493</v>
      </c>
      <c r="Q47" s="293">
        <f t="shared" si="50"/>
        <v>0.94835616438356174</v>
      </c>
      <c r="R47" s="457"/>
      <c r="S47" s="28">
        <v>0.18611111111111112</v>
      </c>
      <c r="T47" s="28">
        <v>0.28749999999999998</v>
      </c>
      <c r="U47" s="290">
        <f>(S47-T46)*24*60</f>
        <v>30.000000000000014</v>
      </c>
      <c r="V47" s="298">
        <f t="shared" si="61"/>
        <v>145.99999999999997</v>
      </c>
      <c r="W47" s="16"/>
      <c r="X47" s="16"/>
      <c r="Y47" s="447"/>
      <c r="Z47" s="448"/>
      <c r="AA47" s="12">
        <f t="shared" si="2"/>
        <v>-154.9315068493147</v>
      </c>
      <c r="AB47" s="293">
        <f t="shared" si="55"/>
        <v>0.94835616438356174</v>
      </c>
      <c r="AC47" s="457"/>
    </row>
    <row r="48" spans="1:29" ht="15.75" customHeight="1">
      <c r="A48" s="454" t="s">
        <v>1315</v>
      </c>
      <c r="B48" s="31" t="s">
        <v>79</v>
      </c>
      <c r="C48" s="444" t="s">
        <v>82</v>
      </c>
      <c r="D48" s="445"/>
      <c r="E48" s="31">
        <v>35.119999999999997</v>
      </c>
      <c r="F48" s="291">
        <v>4853</v>
      </c>
      <c r="G48" s="290">
        <f t="shared" si="57"/>
        <v>170437.36</v>
      </c>
      <c r="H48" s="295" t="s">
        <v>103</v>
      </c>
      <c r="I48" s="292">
        <v>10</v>
      </c>
      <c r="J48" s="26">
        <v>3000</v>
      </c>
      <c r="K48" s="10">
        <f t="shared" si="52"/>
        <v>300</v>
      </c>
      <c r="L48" s="292">
        <v>10</v>
      </c>
      <c r="M48" s="11">
        <f>F48/V48*60</f>
        <v>2854.7058823529424</v>
      </c>
      <c r="N48" s="11">
        <f t="shared" si="59"/>
        <v>285.47058823529426</v>
      </c>
      <c r="O48" s="12">
        <f t="shared" si="60"/>
        <v>0</v>
      </c>
      <c r="P48" s="13">
        <f t="shared" si="49"/>
        <v>-14.529411764705742</v>
      </c>
      <c r="Q48" s="293">
        <f t="shared" si="50"/>
        <v>0.95156862745098081</v>
      </c>
      <c r="R48" s="457"/>
      <c r="S48" s="28">
        <v>0.29097222222222219</v>
      </c>
      <c r="T48" s="28">
        <v>0.36180555555555549</v>
      </c>
      <c r="U48" s="290">
        <f t="shared" ref="U48:U51" si="62">(S48-T47)*24*60</f>
        <v>4.9999999999999822</v>
      </c>
      <c r="V48" s="298">
        <f t="shared" si="61"/>
        <v>101.99999999999996</v>
      </c>
      <c r="W48" s="16"/>
      <c r="X48" s="16"/>
      <c r="Y48" s="447"/>
      <c r="Z48" s="448"/>
      <c r="AA48" s="12">
        <f t="shared" si="2"/>
        <v>-145.29411764705765</v>
      </c>
      <c r="AB48" s="293">
        <f t="shared" si="55"/>
        <v>0.95156862745098081</v>
      </c>
      <c r="AC48" s="457"/>
    </row>
    <row r="49" spans="1:29" ht="15.75" customHeight="1">
      <c r="A49" s="454" t="s">
        <v>1315</v>
      </c>
      <c r="B49" s="31" t="s">
        <v>79</v>
      </c>
      <c r="C49" s="444" t="s">
        <v>85</v>
      </c>
      <c r="D49" s="445"/>
      <c r="E49" s="31">
        <v>35.869999999999997</v>
      </c>
      <c r="F49" s="291">
        <v>3228</v>
      </c>
      <c r="G49" s="290">
        <f t="shared" si="57"/>
        <v>115788.35999999999</v>
      </c>
      <c r="H49" s="295" t="s">
        <v>103</v>
      </c>
      <c r="I49" s="292">
        <v>10</v>
      </c>
      <c r="J49" s="26">
        <v>3000</v>
      </c>
      <c r="K49" s="10">
        <f t="shared" si="52"/>
        <v>300</v>
      </c>
      <c r="L49" s="292">
        <v>10</v>
      </c>
      <c r="M49" s="11">
        <f t="shared" ref="M49:M51" si="63">F49/V49*60</f>
        <v>2848.2352941176468</v>
      </c>
      <c r="N49" s="11">
        <f t="shared" si="59"/>
        <v>284.8235294117647</v>
      </c>
      <c r="O49" s="12">
        <f t="shared" si="60"/>
        <v>0</v>
      </c>
      <c r="P49" s="13">
        <f t="shared" si="49"/>
        <v>-15.176470588235304</v>
      </c>
      <c r="Q49" s="293">
        <f t="shared" si="50"/>
        <v>0.94941176470588229</v>
      </c>
      <c r="R49" s="457"/>
      <c r="S49" s="28">
        <v>0.36736111111111103</v>
      </c>
      <c r="T49" s="28">
        <v>0.41458333333333325</v>
      </c>
      <c r="U49" s="290">
        <f t="shared" si="62"/>
        <v>7.9999999999999716</v>
      </c>
      <c r="V49" s="298">
        <f t="shared" si="61"/>
        <v>68</v>
      </c>
      <c r="W49" s="16"/>
      <c r="X49" s="16"/>
      <c r="Y49" s="447"/>
      <c r="Z49" s="448"/>
      <c r="AA49" s="12">
        <f t="shared" si="2"/>
        <v>-151.76470588235316</v>
      </c>
      <c r="AB49" s="293">
        <f t="shared" si="55"/>
        <v>0.94941176470588229</v>
      </c>
      <c r="AC49" s="457"/>
    </row>
    <row r="50" spans="1:29" ht="15.75" customHeight="1">
      <c r="A50" s="454" t="s">
        <v>1315</v>
      </c>
      <c r="B50" s="31" t="s">
        <v>79</v>
      </c>
      <c r="C50" s="444" t="s">
        <v>86</v>
      </c>
      <c r="D50" s="445"/>
      <c r="E50" s="31">
        <v>36.14</v>
      </c>
      <c r="F50" s="291">
        <v>2265</v>
      </c>
      <c r="G50" s="290">
        <f t="shared" si="57"/>
        <v>81857.100000000006</v>
      </c>
      <c r="H50" s="295" t="s">
        <v>103</v>
      </c>
      <c r="I50" s="292">
        <v>8</v>
      </c>
      <c r="J50" s="26">
        <v>3000</v>
      </c>
      <c r="K50" s="10">
        <f t="shared" si="52"/>
        <v>375</v>
      </c>
      <c r="L50" s="292">
        <v>8</v>
      </c>
      <c r="M50" s="11">
        <f t="shared" si="63"/>
        <v>2891.489361702128</v>
      </c>
      <c r="N50" s="11">
        <f t="shared" si="59"/>
        <v>361.436170212766</v>
      </c>
      <c r="O50" s="12">
        <f t="shared" si="60"/>
        <v>0</v>
      </c>
      <c r="P50" s="13">
        <f t="shared" si="49"/>
        <v>-13.563829787233999</v>
      </c>
      <c r="Q50" s="293">
        <f>N50/K50</f>
        <v>0.96382978723404267</v>
      </c>
      <c r="R50" s="457"/>
      <c r="S50" s="28">
        <v>0.42013888888888878</v>
      </c>
      <c r="T50" s="28">
        <v>0.45277777777777767</v>
      </c>
      <c r="U50" s="290">
        <f t="shared" si="62"/>
        <v>7.9999999999999716</v>
      </c>
      <c r="V50" s="298">
        <f t="shared" si="61"/>
        <v>46.999999999999993</v>
      </c>
      <c r="W50" s="16"/>
      <c r="X50" s="16"/>
      <c r="Y50" s="447"/>
      <c r="Z50" s="448"/>
      <c r="AA50" s="12">
        <f t="shared" si="2"/>
        <v>-108.51063829787199</v>
      </c>
      <c r="AB50" s="293">
        <f t="shared" si="55"/>
        <v>0.96382978723404267</v>
      </c>
      <c r="AC50" s="457"/>
    </row>
    <row r="51" spans="1:29" ht="15.75" customHeight="1">
      <c r="A51" s="454" t="s">
        <v>1315</v>
      </c>
      <c r="B51" s="31" t="s">
        <v>79</v>
      </c>
      <c r="C51" s="444" t="s">
        <v>95</v>
      </c>
      <c r="D51" s="445"/>
      <c r="E51" s="31">
        <v>35.369999999999997</v>
      </c>
      <c r="F51" s="291">
        <v>1794</v>
      </c>
      <c r="G51" s="290">
        <f t="shared" si="57"/>
        <v>63453.78</v>
      </c>
      <c r="H51" s="295" t="s">
        <v>103</v>
      </c>
      <c r="I51" s="292">
        <v>10</v>
      </c>
      <c r="J51" s="26">
        <v>3000</v>
      </c>
      <c r="K51" s="10">
        <f t="shared" si="52"/>
        <v>300</v>
      </c>
      <c r="L51" s="292">
        <v>10</v>
      </c>
      <c r="M51" s="11">
        <f t="shared" si="63"/>
        <v>2909.1891891891869</v>
      </c>
      <c r="N51" s="11">
        <f t="shared" si="59"/>
        <v>290.91891891891868</v>
      </c>
      <c r="O51" s="12">
        <f t="shared" si="60"/>
        <v>0</v>
      </c>
      <c r="P51" s="13">
        <f t="shared" si="49"/>
        <v>-9.0810810810813223</v>
      </c>
      <c r="Q51" s="293">
        <f t="shared" ref="Q51:Q52" si="64">N51/K51</f>
        <v>0.96972972972972893</v>
      </c>
      <c r="R51" s="457"/>
      <c r="S51" s="28">
        <v>0.4583333333333332</v>
      </c>
      <c r="T51" s="28">
        <v>0.48402777777777767</v>
      </c>
      <c r="U51" s="290">
        <f t="shared" si="62"/>
        <v>7.9999999999999716</v>
      </c>
      <c r="V51" s="298">
        <f t="shared" si="61"/>
        <v>37.000000000000028</v>
      </c>
      <c r="W51" s="16"/>
      <c r="X51" s="16"/>
      <c r="Y51" s="447"/>
      <c r="Z51" s="448"/>
      <c r="AA51" s="12">
        <f t="shared" si="2"/>
        <v>-90.810810810813109</v>
      </c>
      <c r="AB51" s="293">
        <f t="shared" si="55"/>
        <v>0.96972972972972893</v>
      </c>
      <c r="AC51" s="457"/>
    </row>
    <row r="52" spans="1:29" ht="15.75" customHeight="1">
      <c r="A52" s="455" t="s">
        <v>1315</v>
      </c>
      <c r="B52" s="31" t="s">
        <v>1312</v>
      </c>
      <c r="C52" s="459"/>
      <c r="D52" s="460"/>
      <c r="E52" s="301"/>
      <c r="F52" s="291"/>
      <c r="G52" s="290"/>
      <c r="H52" s="291"/>
      <c r="I52" s="19">
        <v>9.6666666666666661</v>
      </c>
      <c r="J52" s="26">
        <v>3000</v>
      </c>
      <c r="K52" s="10">
        <f>J52/I52</f>
        <v>310.34482758620692</v>
      </c>
      <c r="L52" s="19">
        <v>9.6666666666666661</v>
      </c>
      <c r="M52" s="11">
        <f>AVERAGE(M46:M51)</f>
        <v>2865.2615960741318</v>
      </c>
      <c r="N52" s="10">
        <f t="shared" si="59"/>
        <v>296.40637200766884</v>
      </c>
      <c r="O52" s="12">
        <f t="shared" si="60"/>
        <v>0</v>
      </c>
      <c r="P52" s="13">
        <f t="shared" si="49"/>
        <v>-13.938455578538083</v>
      </c>
      <c r="Q52" s="293">
        <f t="shared" si="64"/>
        <v>0.95508719869137726</v>
      </c>
      <c r="R52" s="458"/>
      <c r="S52" s="28"/>
      <c r="T52" s="28"/>
      <c r="U52" s="290"/>
      <c r="V52" s="298"/>
      <c r="W52" s="16"/>
      <c r="X52" s="16"/>
      <c r="Y52" s="447"/>
      <c r="Z52" s="448"/>
      <c r="AA52" s="12">
        <f t="shared" si="2"/>
        <v>-134.73840392586817</v>
      </c>
      <c r="AB52" s="293">
        <f t="shared" si="55"/>
        <v>0.95508719869137726</v>
      </c>
      <c r="AC52" s="458"/>
    </row>
    <row r="53" spans="1:29" ht="15.75" customHeight="1">
      <c r="A53" s="451" t="s">
        <v>1316</v>
      </c>
      <c r="B53" s="31" t="s">
        <v>53</v>
      </c>
      <c r="C53" s="441" t="s">
        <v>87</v>
      </c>
      <c r="D53" s="441"/>
      <c r="E53" s="31">
        <v>46</v>
      </c>
      <c r="F53" s="35">
        <v>3502</v>
      </c>
      <c r="G53" s="290">
        <f t="shared" ref="G53:G58" si="65">E53*F53</f>
        <v>161092</v>
      </c>
      <c r="H53" s="295" t="s">
        <v>103</v>
      </c>
      <c r="I53" s="292">
        <v>17</v>
      </c>
      <c r="J53" s="26">
        <v>2000</v>
      </c>
      <c r="K53" s="10">
        <f t="shared" ref="K53:K58" si="66">J53/I53</f>
        <v>117.64705882352941</v>
      </c>
      <c r="L53" s="292">
        <v>17</v>
      </c>
      <c r="M53" s="11">
        <f t="shared" ref="M53:M58" si="67">F53/V53*60</f>
        <v>1910.181818181818</v>
      </c>
      <c r="N53" s="11">
        <f>M53/L53</f>
        <v>112.36363636363636</v>
      </c>
      <c r="O53" s="12">
        <f>L53-I53</f>
        <v>0</v>
      </c>
      <c r="P53" s="13">
        <f>N53-K53</f>
        <v>-5.2834224598930462</v>
      </c>
      <c r="Q53" s="293">
        <f>N53/K53</f>
        <v>0.9550909090909091</v>
      </c>
      <c r="R53" s="442">
        <f>Q59</f>
        <v>0.95224946834855029</v>
      </c>
      <c r="S53" s="28">
        <v>0.29166666666666669</v>
      </c>
      <c r="T53" s="28">
        <v>0.36805555555555558</v>
      </c>
      <c r="U53" s="18"/>
      <c r="V53" s="298">
        <f t="shared" ref="V53:V58" si="68">(T53-S53)*24*60</f>
        <v>110.00000000000001</v>
      </c>
      <c r="W53" s="18"/>
      <c r="X53" s="18"/>
      <c r="Y53" s="443"/>
      <c r="Z53" s="443"/>
      <c r="AA53" s="12">
        <f t="shared" si="2"/>
        <v>-89.818181818181984</v>
      </c>
      <c r="AB53" s="293">
        <f t="shared" si="55"/>
        <v>0.95509090909090899</v>
      </c>
      <c r="AC53" s="442">
        <f>AB59</f>
        <v>0.95224946834855018</v>
      </c>
    </row>
    <row r="54" spans="1:29" ht="15.75" customHeight="1">
      <c r="A54" s="451" t="s">
        <v>1316</v>
      </c>
      <c r="B54" s="31" t="s">
        <v>53</v>
      </c>
      <c r="C54" s="441" t="s">
        <v>88</v>
      </c>
      <c r="D54" s="441"/>
      <c r="E54" s="31">
        <v>46</v>
      </c>
      <c r="F54" s="35">
        <v>3507</v>
      </c>
      <c r="G54" s="290">
        <f t="shared" si="65"/>
        <v>161322</v>
      </c>
      <c r="H54" s="295" t="s">
        <v>103</v>
      </c>
      <c r="I54" s="292">
        <v>17</v>
      </c>
      <c r="J54" s="26">
        <v>2000</v>
      </c>
      <c r="K54" s="10">
        <f t="shared" si="66"/>
        <v>117.64705882352941</v>
      </c>
      <c r="L54" s="292">
        <v>17</v>
      </c>
      <c r="M54" s="11">
        <f t="shared" si="67"/>
        <v>1895.6756756756756</v>
      </c>
      <c r="N54" s="11">
        <f t="shared" ref="N54:N58" si="69">M54/L54</f>
        <v>111.51033386327504</v>
      </c>
      <c r="O54" s="12">
        <f t="shared" ref="O54:O58" si="70">L54-I54</f>
        <v>0</v>
      </c>
      <c r="P54" s="13">
        <f t="shared" ref="P54:P58" si="71">N54-K54</f>
        <v>-6.1367249602543694</v>
      </c>
      <c r="Q54" s="293">
        <f t="shared" ref="Q54:Q58" si="72">N54/K54</f>
        <v>0.94783783783783782</v>
      </c>
      <c r="R54" s="442"/>
      <c r="S54" s="28">
        <v>0.37152777777777779</v>
      </c>
      <c r="T54" s="28">
        <v>0.44861111111111113</v>
      </c>
      <c r="U54" s="290">
        <f>IF(S54=TIME(17,0,0),"",(S54-T53)*24*60)</f>
        <v>4.9999999999999822</v>
      </c>
      <c r="V54" s="298">
        <f t="shared" si="68"/>
        <v>111</v>
      </c>
      <c r="W54" s="16"/>
      <c r="X54" s="16"/>
      <c r="Y54" s="443"/>
      <c r="Z54" s="443"/>
      <c r="AA54" s="12">
        <f t="shared" si="2"/>
        <v>-104.32432432432438</v>
      </c>
      <c r="AB54" s="293">
        <f t="shared" si="55"/>
        <v>0.94783783783783782</v>
      </c>
      <c r="AC54" s="442"/>
    </row>
    <row r="55" spans="1:29" ht="15.75" customHeight="1">
      <c r="A55" s="451" t="s">
        <v>1316</v>
      </c>
      <c r="B55" s="31" t="s">
        <v>58</v>
      </c>
      <c r="C55" s="444" t="s">
        <v>168</v>
      </c>
      <c r="D55" s="445"/>
      <c r="E55" s="31">
        <v>54.09</v>
      </c>
      <c r="F55" s="35">
        <v>1955</v>
      </c>
      <c r="G55" s="290">
        <f t="shared" si="65"/>
        <v>105745.95000000001</v>
      </c>
      <c r="H55" s="295" t="s">
        <v>103</v>
      </c>
      <c r="I55" s="292">
        <v>16</v>
      </c>
      <c r="J55" s="26">
        <v>2000</v>
      </c>
      <c r="K55" s="10">
        <f t="shared" si="66"/>
        <v>125</v>
      </c>
      <c r="L55" s="292">
        <v>16</v>
      </c>
      <c r="M55" s="11">
        <f t="shared" si="67"/>
        <v>1891.9354838709671</v>
      </c>
      <c r="N55" s="11">
        <f t="shared" si="69"/>
        <v>118.24596774193544</v>
      </c>
      <c r="O55" s="12">
        <f t="shared" si="70"/>
        <v>0</v>
      </c>
      <c r="P55" s="13">
        <f t="shared" si="71"/>
        <v>-6.7540322580645551</v>
      </c>
      <c r="Q55" s="293">
        <f t="shared" si="72"/>
        <v>0.94596774193548361</v>
      </c>
      <c r="R55" s="442"/>
      <c r="S55" s="28">
        <v>0.45277777777777778</v>
      </c>
      <c r="T55" s="28">
        <v>0.49583333333333335</v>
      </c>
      <c r="U55" s="290">
        <f t="shared" ref="U55:U58" si="73">IF(S55=TIME(17,0,0),"",(S55-T54)*24*60)</f>
        <v>5.9999999999999787</v>
      </c>
      <c r="V55" s="298">
        <f t="shared" si="68"/>
        <v>62.000000000000021</v>
      </c>
      <c r="W55" s="16"/>
      <c r="X55" s="16"/>
      <c r="Y55" s="296"/>
      <c r="Z55" s="297"/>
      <c r="AA55" s="12">
        <f t="shared" si="2"/>
        <v>-108.06451612903288</v>
      </c>
      <c r="AB55" s="293">
        <f t="shared" si="55"/>
        <v>0.94596774193548361</v>
      </c>
      <c r="AC55" s="442"/>
    </row>
    <row r="56" spans="1:29" ht="15.75" customHeight="1">
      <c r="A56" s="451" t="s">
        <v>1316</v>
      </c>
      <c r="B56" s="31" t="s">
        <v>58</v>
      </c>
      <c r="C56" s="299" t="s">
        <v>89</v>
      </c>
      <c r="D56" s="300"/>
      <c r="E56" s="31">
        <v>55.56</v>
      </c>
      <c r="F56" s="35">
        <v>2256</v>
      </c>
      <c r="G56" s="290">
        <f t="shared" si="65"/>
        <v>125343.36</v>
      </c>
      <c r="H56" s="295" t="s">
        <v>103</v>
      </c>
      <c r="I56" s="292">
        <v>17</v>
      </c>
      <c r="J56" s="26">
        <v>2000</v>
      </c>
      <c r="K56" s="10">
        <f t="shared" si="66"/>
        <v>117.64705882352941</v>
      </c>
      <c r="L56" s="292">
        <v>17</v>
      </c>
      <c r="M56" s="11">
        <f t="shared" si="67"/>
        <v>1906.4788732394347</v>
      </c>
      <c r="N56" s="11">
        <f t="shared" si="69"/>
        <v>112.14581607290792</v>
      </c>
      <c r="O56" s="12">
        <f t="shared" si="70"/>
        <v>0</v>
      </c>
      <c r="P56" s="13">
        <f t="shared" si="71"/>
        <v>-5.5012427506214863</v>
      </c>
      <c r="Q56" s="293">
        <f t="shared" si="72"/>
        <v>0.95323943661971733</v>
      </c>
      <c r="R56" s="442"/>
      <c r="S56" s="28">
        <v>0.70833333333333337</v>
      </c>
      <c r="T56" s="28">
        <v>0.75763888888888897</v>
      </c>
      <c r="U56" s="290" t="str">
        <f t="shared" si="73"/>
        <v/>
      </c>
      <c r="V56" s="298">
        <f t="shared" si="68"/>
        <v>71.000000000000071</v>
      </c>
      <c r="W56" s="16"/>
      <c r="X56" s="16"/>
      <c r="Y56" s="296"/>
      <c r="Z56" s="297"/>
      <c r="AA56" s="12">
        <f t="shared" si="2"/>
        <v>-93.521126760565267</v>
      </c>
      <c r="AB56" s="293">
        <f t="shared" si="55"/>
        <v>0.95323943661971733</v>
      </c>
      <c r="AC56" s="442"/>
    </row>
    <row r="57" spans="1:29" ht="15.75" customHeight="1">
      <c r="A57" s="451" t="s">
        <v>1316</v>
      </c>
      <c r="B57" s="31" t="s">
        <v>58</v>
      </c>
      <c r="C57" s="299" t="s">
        <v>90</v>
      </c>
      <c r="D57" s="300"/>
      <c r="E57" s="31">
        <v>55.32</v>
      </c>
      <c r="F57" s="35">
        <v>1789</v>
      </c>
      <c r="G57" s="290">
        <f t="shared" si="65"/>
        <v>98967.48</v>
      </c>
      <c r="H57" s="295" t="s">
        <v>103</v>
      </c>
      <c r="I57" s="292">
        <v>15</v>
      </c>
      <c r="J57" s="26">
        <v>2000</v>
      </c>
      <c r="K57" s="10">
        <f t="shared" si="66"/>
        <v>133.33333333333334</v>
      </c>
      <c r="L57" s="292">
        <v>15</v>
      </c>
      <c r="M57" s="11">
        <f t="shared" si="67"/>
        <v>1916.7857142857156</v>
      </c>
      <c r="N57" s="11">
        <f t="shared" si="69"/>
        <v>127.78571428571438</v>
      </c>
      <c r="O57" s="12">
        <f t="shared" si="70"/>
        <v>0</v>
      </c>
      <c r="P57" s="13">
        <f t="shared" si="71"/>
        <v>-5.5476190476189657</v>
      </c>
      <c r="Q57" s="293">
        <f t="shared" si="72"/>
        <v>0.95839285714285771</v>
      </c>
      <c r="R57" s="442"/>
      <c r="S57" s="28">
        <v>0.76250000000000007</v>
      </c>
      <c r="T57" s="28">
        <v>0.80138888888888893</v>
      </c>
      <c r="U57" s="290">
        <f t="shared" si="73"/>
        <v>6.9999999999999751</v>
      </c>
      <c r="V57" s="298">
        <f t="shared" si="68"/>
        <v>55.999999999999957</v>
      </c>
      <c r="W57" s="16"/>
      <c r="X57" s="16"/>
      <c r="Y57" s="296"/>
      <c r="Z57" s="297"/>
      <c r="AA57" s="12">
        <f t="shared" si="2"/>
        <v>-83.214285714284415</v>
      </c>
      <c r="AB57" s="293">
        <f t="shared" si="55"/>
        <v>0.95839285714285782</v>
      </c>
      <c r="AC57" s="442"/>
    </row>
    <row r="58" spans="1:29" ht="15.75" customHeight="1">
      <c r="A58" s="451" t="s">
        <v>1316</v>
      </c>
      <c r="B58" s="31" t="s">
        <v>58</v>
      </c>
      <c r="C58" s="444" t="s">
        <v>91</v>
      </c>
      <c r="D58" s="445"/>
      <c r="E58" s="31">
        <v>57.73</v>
      </c>
      <c r="F58" s="35">
        <v>1263</v>
      </c>
      <c r="G58" s="290">
        <f t="shared" si="65"/>
        <v>72912.989999999991</v>
      </c>
      <c r="H58" s="295" t="s">
        <v>103</v>
      </c>
      <c r="I58" s="292">
        <v>16</v>
      </c>
      <c r="J58" s="26">
        <v>1500</v>
      </c>
      <c r="K58" s="10">
        <f t="shared" si="66"/>
        <v>93.75</v>
      </c>
      <c r="L58" s="292">
        <v>16</v>
      </c>
      <c r="M58" s="11">
        <f t="shared" si="67"/>
        <v>1429.8113207547178</v>
      </c>
      <c r="N58" s="11">
        <f t="shared" si="69"/>
        <v>89.363207547169864</v>
      </c>
      <c r="O58" s="12">
        <f t="shared" si="70"/>
        <v>0</v>
      </c>
      <c r="P58" s="13">
        <f t="shared" si="71"/>
        <v>-4.3867924528301359</v>
      </c>
      <c r="Q58" s="293">
        <f t="shared" si="72"/>
        <v>0.95320754716981193</v>
      </c>
      <c r="R58" s="442"/>
      <c r="S58" s="28">
        <v>0.80555555555555558</v>
      </c>
      <c r="T58" s="28">
        <v>0.84236111111111112</v>
      </c>
      <c r="U58" s="290">
        <f t="shared" si="73"/>
        <v>5.9999999999999787</v>
      </c>
      <c r="V58" s="298">
        <f t="shared" si="68"/>
        <v>52.999999999999972</v>
      </c>
      <c r="W58" s="16"/>
      <c r="X58" s="16"/>
      <c r="Y58" s="447"/>
      <c r="Z58" s="448"/>
      <c r="AA58" s="12">
        <f t="shared" si="2"/>
        <v>-70.188679245282174</v>
      </c>
      <c r="AB58" s="293">
        <f t="shared" si="55"/>
        <v>0.95320754716981193</v>
      </c>
      <c r="AC58" s="442"/>
    </row>
    <row r="59" spans="1:29">
      <c r="A59" s="452" t="s">
        <v>1316</v>
      </c>
      <c r="B59" s="31" t="s">
        <v>1312</v>
      </c>
      <c r="C59" s="446"/>
      <c r="D59" s="446"/>
      <c r="E59" s="294"/>
      <c r="F59" s="33"/>
      <c r="G59" s="10"/>
      <c r="H59" s="291"/>
      <c r="I59" s="19">
        <v>16.333333333333332</v>
      </c>
      <c r="J59" s="26">
        <v>1916.6666666666667</v>
      </c>
      <c r="K59" s="10">
        <f>J59/I59</f>
        <v>117.34693877551021</v>
      </c>
      <c r="L59" s="19">
        <v>16.333333333333332</v>
      </c>
      <c r="M59" s="11">
        <f>AVERAGE(M53:M58)</f>
        <v>1825.1448143347213</v>
      </c>
      <c r="N59" s="10">
        <f>M59/L59</f>
        <v>111.74356006130948</v>
      </c>
      <c r="O59" s="12">
        <f>L59-I59</f>
        <v>0</v>
      </c>
      <c r="P59" s="13">
        <f>N59-K59</f>
        <v>-5.6033787142007299</v>
      </c>
      <c r="Q59" s="293">
        <f>N59/K59</f>
        <v>0.95224946834855029</v>
      </c>
      <c r="R59" s="442"/>
      <c r="S59" s="29"/>
      <c r="T59" s="28"/>
      <c r="U59" s="10"/>
      <c r="V59" s="298"/>
      <c r="W59" s="10"/>
      <c r="X59" s="10"/>
      <c r="Y59" s="443"/>
      <c r="Z59" s="443"/>
      <c r="AA59" s="12">
        <f t="shared" si="2"/>
        <v>-91.521852331945411</v>
      </c>
      <c r="AB59" s="293">
        <f t="shared" si="55"/>
        <v>0.95224946834855018</v>
      </c>
      <c r="AC59" s="442"/>
    </row>
    <row r="60" spans="1:29" ht="15.75" customHeight="1">
      <c r="A60" s="449" t="s">
        <v>1317</v>
      </c>
      <c r="B60" s="291" t="s">
        <v>79</v>
      </c>
      <c r="C60" s="441" t="s">
        <v>94</v>
      </c>
      <c r="D60" s="441"/>
      <c r="E60" s="31">
        <v>26.78</v>
      </c>
      <c r="F60" s="35">
        <v>3323</v>
      </c>
      <c r="G60" s="290">
        <f t="shared" ref="G60:G63" si="74">E60*F60</f>
        <v>88989.94</v>
      </c>
      <c r="H60" s="295" t="s">
        <v>103</v>
      </c>
      <c r="I60" s="292">
        <v>10</v>
      </c>
      <c r="J60" s="26">
        <v>3000</v>
      </c>
      <c r="K60" s="10">
        <f t="shared" ref="K60:K63" si="75">J60/I60</f>
        <v>300</v>
      </c>
      <c r="L60" s="19">
        <v>10</v>
      </c>
      <c r="M60" s="11">
        <f t="shared" ref="M60:M63" si="76">F60/V60*60</f>
        <v>2848.2857142857138</v>
      </c>
      <c r="N60" s="10">
        <f>M60/L60</f>
        <v>284.82857142857137</v>
      </c>
      <c r="O60" s="12">
        <f t="shared" ref="O60:O63" si="77">L60-I60</f>
        <v>0</v>
      </c>
      <c r="P60" s="13">
        <f t="shared" ref="P60:P63" si="78">N60-K60</f>
        <v>-15.171428571428635</v>
      </c>
      <c r="Q60" s="293">
        <f>N60/K60</f>
        <v>0.94942857142857118</v>
      </c>
      <c r="R60" s="442">
        <f>Q64</f>
        <v>0.95334691433746732</v>
      </c>
      <c r="S60" s="28">
        <v>8.3333333333333329E-2</v>
      </c>
      <c r="T60" s="28">
        <v>0.13194444444444445</v>
      </c>
      <c r="U60" s="290"/>
      <c r="V60" s="298">
        <f t="shared" ref="V60:V63" si="79">(T60-S60)*24*60</f>
        <v>70.000000000000014</v>
      </c>
      <c r="W60" s="16">
        <f>T60</f>
        <v>0.13194444444444445</v>
      </c>
      <c r="X60" s="16">
        <f>S61</f>
        <v>0.15069444444444444</v>
      </c>
      <c r="Y60" s="443"/>
      <c r="Z60" s="443"/>
      <c r="AA60" s="12">
        <f t="shared" si="2"/>
        <v>-151.71428571428623</v>
      </c>
      <c r="AB60" s="293">
        <f t="shared" si="55"/>
        <v>0.94942857142857129</v>
      </c>
      <c r="AC60" s="442">
        <f>AB64</f>
        <v>0.95334691433746732</v>
      </c>
    </row>
    <row r="61" spans="1:29" ht="15.75" customHeight="1">
      <c r="A61" s="449" t="s">
        <v>1317</v>
      </c>
      <c r="B61" s="291" t="s">
        <v>79</v>
      </c>
      <c r="C61" s="441" t="s">
        <v>97</v>
      </c>
      <c r="D61" s="441"/>
      <c r="E61" s="31">
        <v>35.119999999999997</v>
      </c>
      <c r="F61" s="35">
        <v>1367</v>
      </c>
      <c r="G61" s="290">
        <f t="shared" si="74"/>
        <v>48009.039999999994</v>
      </c>
      <c r="H61" s="295" t="s">
        <v>103</v>
      </c>
      <c r="I61" s="292">
        <v>13</v>
      </c>
      <c r="J61" s="26">
        <v>2000</v>
      </c>
      <c r="K61" s="10">
        <f t="shared" si="75"/>
        <v>153.84615384615384</v>
      </c>
      <c r="L61" s="19">
        <v>13</v>
      </c>
      <c r="M61" s="11">
        <f t="shared" si="76"/>
        <v>1907.441860465116</v>
      </c>
      <c r="N61" s="10">
        <f t="shared" ref="N61:N63" si="80">M61/L61</f>
        <v>146.72629695885507</v>
      </c>
      <c r="O61" s="12">
        <f t="shared" si="77"/>
        <v>0</v>
      </c>
      <c r="P61" s="13">
        <f t="shared" si="78"/>
        <v>-7.1198568872987664</v>
      </c>
      <c r="Q61" s="293">
        <f t="shared" ref="Q61:Q63" si="81">N61/K61</f>
        <v>0.953720930232558</v>
      </c>
      <c r="R61" s="442"/>
      <c r="S61" s="28">
        <v>0.15069444444444444</v>
      </c>
      <c r="T61" s="28">
        <v>0.18055555555555555</v>
      </c>
      <c r="U61" s="290">
        <f>(S61-T60)*24*60</f>
        <v>26.999999999999986</v>
      </c>
      <c r="V61" s="298">
        <f t="shared" si="79"/>
        <v>43.000000000000007</v>
      </c>
      <c r="W61" s="290"/>
      <c r="X61" s="290"/>
      <c r="Y61" s="443"/>
      <c r="Z61" s="443"/>
      <c r="AA61" s="12">
        <f t="shared" si="2"/>
        <v>-92.558139534884049</v>
      </c>
      <c r="AB61" s="293">
        <f t="shared" si="55"/>
        <v>0.953720930232558</v>
      </c>
      <c r="AC61" s="442"/>
    </row>
    <row r="62" spans="1:29" ht="15.75" customHeight="1">
      <c r="A62" s="449" t="s">
        <v>1317</v>
      </c>
      <c r="B62" s="291" t="s">
        <v>79</v>
      </c>
      <c r="C62" s="441" t="s">
        <v>98</v>
      </c>
      <c r="D62" s="441"/>
      <c r="E62" s="31">
        <v>35.869999999999997</v>
      </c>
      <c r="F62" s="35">
        <v>2446</v>
      </c>
      <c r="G62" s="290">
        <f t="shared" si="74"/>
        <v>87738.01999999999</v>
      </c>
      <c r="H62" s="295" t="s">
        <v>103</v>
      </c>
      <c r="I62" s="292">
        <v>10</v>
      </c>
      <c r="J62" s="26">
        <v>3000</v>
      </c>
      <c r="K62" s="10">
        <f t="shared" si="75"/>
        <v>300</v>
      </c>
      <c r="L62" s="19">
        <v>10</v>
      </c>
      <c r="M62" s="11">
        <f t="shared" si="76"/>
        <v>2877.6470588235306</v>
      </c>
      <c r="N62" s="10">
        <f t="shared" si="80"/>
        <v>287.76470588235304</v>
      </c>
      <c r="O62" s="12">
        <f t="shared" si="77"/>
        <v>0</v>
      </c>
      <c r="P62" s="13">
        <f t="shared" si="78"/>
        <v>-12.235294117646959</v>
      </c>
      <c r="Q62" s="293">
        <f t="shared" si="81"/>
        <v>0.95921568627451015</v>
      </c>
      <c r="R62" s="442"/>
      <c r="S62" s="28">
        <v>0.18472222222222223</v>
      </c>
      <c r="T62" s="28">
        <v>0.22013888888888888</v>
      </c>
      <c r="U62" s="290">
        <f t="shared" ref="U62:U63" si="82">(S62-T61)*24*60</f>
        <v>6.0000000000000187</v>
      </c>
      <c r="V62" s="298">
        <f t="shared" si="79"/>
        <v>50.999999999999979</v>
      </c>
      <c r="W62" s="290"/>
      <c r="X62" s="290"/>
      <c r="Y62" s="443"/>
      <c r="Z62" s="443"/>
      <c r="AA62" s="12">
        <f t="shared" si="2"/>
        <v>-122.35294117646936</v>
      </c>
      <c r="AB62" s="293">
        <f t="shared" si="55"/>
        <v>0.95921568627451026</v>
      </c>
      <c r="AC62" s="442"/>
    </row>
    <row r="63" spans="1:29" ht="15.75" customHeight="1">
      <c r="A63" s="449" t="s">
        <v>1317</v>
      </c>
      <c r="B63" s="291" t="s">
        <v>53</v>
      </c>
      <c r="C63" s="441" t="s">
        <v>96</v>
      </c>
      <c r="D63" s="441"/>
      <c r="E63" s="31">
        <v>26.97</v>
      </c>
      <c r="F63" s="35">
        <v>3606</v>
      </c>
      <c r="G63" s="290">
        <f t="shared" si="74"/>
        <v>97253.819999999992</v>
      </c>
      <c r="H63" s="295" t="s">
        <v>103</v>
      </c>
      <c r="I63" s="292">
        <v>8</v>
      </c>
      <c r="J63" s="26">
        <v>1500</v>
      </c>
      <c r="K63" s="10">
        <f t="shared" si="75"/>
        <v>187.5</v>
      </c>
      <c r="L63" s="19">
        <v>8</v>
      </c>
      <c r="M63" s="11">
        <f t="shared" si="76"/>
        <v>1423.421052631579</v>
      </c>
      <c r="N63" s="10">
        <f t="shared" si="80"/>
        <v>177.92763157894737</v>
      </c>
      <c r="O63" s="12">
        <f t="shared" si="77"/>
        <v>0</v>
      </c>
      <c r="P63" s="13">
        <f t="shared" si="78"/>
        <v>-9.5723684210526301</v>
      </c>
      <c r="Q63" s="293">
        <f t="shared" si="81"/>
        <v>0.94894736842105265</v>
      </c>
      <c r="R63" s="442"/>
      <c r="S63" s="28">
        <v>0.22500000000000001</v>
      </c>
      <c r="T63" s="28">
        <v>0.33055555555555555</v>
      </c>
      <c r="U63" s="290">
        <f t="shared" si="82"/>
        <v>7.0000000000000151</v>
      </c>
      <c r="V63" s="298">
        <f t="shared" si="79"/>
        <v>152</v>
      </c>
      <c r="W63" s="290"/>
      <c r="X63" s="290"/>
      <c r="Y63" s="443"/>
      <c r="Z63" s="443"/>
      <c r="AA63" s="12">
        <f t="shared" si="2"/>
        <v>-76.578947368421041</v>
      </c>
      <c r="AB63" s="293">
        <f t="shared" si="55"/>
        <v>0.94894736842105265</v>
      </c>
      <c r="AC63" s="442"/>
    </row>
    <row r="64" spans="1:29">
      <c r="A64" s="450" t="s">
        <v>1317</v>
      </c>
      <c r="B64" s="31" t="s">
        <v>1312</v>
      </c>
      <c r="C64" s="446"/>
      <c r="D64" s="446"/>
      <c r="E64" s="294"/>
      <c r="F64" s="33"/>
      <c r="G64" s="10"/>
      <c r="H64" s="291"/>
      <c r="I64" s="19">
        <v>10.25</v>
      </c>
      <c r="J64" s="26">
        <v>2375</v>
      </c>
      <c r="K64" s="10">
        <f>J64/I64</f>
        <v>231.70731707317074</v>
      </c>
      <c r="L64" s="19">
        <v>10.25</v>
      </c>
      <c r="M64" s="11">
        <f>AVERAGE(M60:M63)</f>
        <v>2264.198921551485</v>
      </c>
      <c r="N64" s="10">
        <f>M64/L64</f>
        <v>220.89745576112048</v>
      </c>
      <c r="O64" s="12">
        <f>L64-I64</f>
        <v>0</v>
      </c>
      <c r="P64" s="13">
        <f>N64-K64</f>
        <v>-10.809861312050259</v>
      </c>
      <c r="Q64" s="293">
        <f>N64/K64</f>
        <v>0.95334691433746732</v>
      </c>
      <c r="R64" s="442"/>
      <c r="S64" s="28"/>
      <c r="T64" s="28"/>
      <c r="U64" s="10"/>
      <c r="V64" s="298"/>
      <c r="W64" s="10"/>
      <c r="X64" s="10"/>
      <c r="Y64" s="443"/>
      <c r="Z64" s="443"/>
      <c r="AA64" s="12">
        <f t="shared" si="2"/>
        <v>-110.801078448515</v>
      </c>
      <c r="AB64" s="293">
        <f t="shared" si="55"/>
        <v>0.95334691433746732</v>
      </c>
      <c r="AC64" s="442"/>
    </row>
    <row r="65" spans="1:29" ht="15.75" customHeight="1">
      <c r="A65" s="439" t="s">
        <v>1318</v>
      </c>
      <c r="B65" s="291" t="s">
        <v>67</v>
      </c>
      <c r="C65" s="441" t="s">
        <v>99</v>
      </c>
      <c r="D65" s="441"/>
      <c r="E65" s="31">
        <v>20.2</v>
      </c>
      <c r="F65" s="291">
        <v>2965</v>
      </c>
      <c r="G65" s="290">
        <f t="shared" ref="G65:G72" si="83">E65*F65</f>
        <v>59893</v>
      </c>
      <c r="H65" s="295" t="s">
        <v>103</v>
      </c>
      <c r="I65" s="292">
        <v>19</v>
      </c>
      <c r="J65" s="26">
        <v>2400</v>
      </c>
      <c r="K65" s="10">
        <f t="shared" ref="K65:K67" si="84">J65/I65</f>
        <v>126.31578947368421</v>
      </c>
      <c r="L65" s="19">
        <v>19</v>
      </c>
      <c r="M65" s="11">
        <f>F65/V65*60</f>
        <v>2280.76923076923</v>
      </c>
      <c r="N65" s="10">
        <f t="shared" ref="N65:N72" si="85">M65/L65</f>
        <v>120.04048582995948</v>
      </c>
      <c r="O65" s="12">
        <f t="shared" ref="O65:O72" si="86">L65-I65</f>
        <v>0</v>
      </c>
      <c r="P65" s="13">
        <f t="shared" ref="P65:P72" si="87">N65-K65</f>
        <v>-6.275303643724726</v>
      </c>
      <c r="Q65" s="293">
        <f>N65/K65</f>
        <v>0.95032051282051255</v>
      </c>
      <c r="R65" s="442">
        <f>Q73</f>
        <v>0.95093813728004073</v>
      </c>
      <c r="S65" s="28">
        <v>8.3333333333333329E-2</v>
      </c>
      <c r="T65" s="28">
        <v>0.13750000000000001</v>
      </c>
      <c r="U65" s="18"/>
      <c r="V65" s="298">
        <f t="shared" ref="V65:V72" si="88">(T65-S65)*24*60</f>
        <v>78.000000000000014</v>
      </c>
      <c r="W65" s="16">
        <f>T65</f>
        <v>0.13750000000000001</v>
      </c>
      <c r="X65" s="16">
        <f>S66</f>
        <v>0.15625</v>
      </c>
      <c r="Y65" s="443"/>
      <c r="Z65" s="443"/>
      <c r="AA65" s="12">
        <f t="shared" si="2"/>
        <v>-119.23076923076997</v>
      </c>
      <c r="AB65" s="293">
        <f>M65/J65</f>
        <v>0.95032051282051255</v>
      </c>
      <c r="AC65" s="442">
        <f>AB73</f>
        <v>0.95093813728004084</v>
      </c>
    </row>
    <row r="66" spans="1:29" ht="15.75" customHeight="1">
      <c r="A66" s="439" t="s">
        <v>1318</v>
      </c>
      <c r="B66" s="291" t="s">
        <v>67</v>
      </c>
      <c r="C66" s="441" t="s">
        <v>100</v>
      </c>
      <c r="D66" s="441"/>
      <c r="E66" s="31">
        <v>19.02</v>
      </c>
      <c r="F66" s="291">
        <v>6500</v>
      </c>
      <c r="G66" s="290">
        <f t="shared" si="83"/>
        <v>123630</v>
      </c>
      <c r="H66" s="295">
        <v>2</v>
      </c>
      <c r="I66" s="292">
        <v>15</v>
      </c>
      <c r="J66" s="26">
        <v>2400</v>
      </c>
      <c r="K66" s="10">
        <f t="shared" si="84"/>
        <v>160</v>
      </c>
      <c r="L66" s="19">
        <v>15</v>
      </c>
      <c r="M66" s="11">
        <f t="shared" ref="M66:M72" si="89">F66/V66*60</f>
        <v>2280.7017543859647</v>
      </c>
      <c r="N66" s="10">
        <f t="shared" si="85"/>
        <v>152.04678362573097</v>
      </c>
      <c r="O66" s="12">
        <f t="shared" si="86"/>
        <v>0</v>
      </c>
      <c r="P66" s="13">
        <f t="shared" si="87"/>
        <v>-7.9532163742690329</v>
      </c>
      <c r="Q66" s="293">
        <f t="shared" ref="Q66:Q73" si="90">N66/K66</f>
        <v>0.95029239766081852</v>
      </c>
      <c r="R66" s="442"/>
      <c r="S66" s="28">
        <v>0.15625</v>
      </c>
      <c r="T66" s="28">
        <v>0.27500000000000002</v>
      </c>
      <c r="U66" s="290">
        <f>(S66-T65)*24*60</f>
        <v>26.999999999999986</v>
      </c>
      <c r="V66" s="298">
        <f t="shared" si="88"/>
        <v>171.00000000000003</v>
      </c>
      <c r="W66" s="16"/>
      <c r="X66" s="16"/>
      <c r="Y66" s="443"/>
      <c r="Z66" s="443"/>
      <c r="AA66" s="12">
        <f t="shared" si="2"/>
        <v>-119.2982456140353</v>
      </c>
      <c r="AB66" s="293">
        <f t="shared" ref="AB66:AB73" si="91">M66/J66</f>
        <v>0.95029239766081863</v>
      </c>
      <c r="AC66" s="442"/>
    </row>
    <row r="67" spans="1:29" ht="15.75" customHeight="1">
      <c r="A67" s="439" t="s">
        <v>1318</v>
      </c>
      <c r="B67" s="291" t="s">
        <v>67</v>
      </c>
      <c r="C67" s="441" t="s">
        <v>70</v>
      </c>
      <c r="D67" s="441"/>
      <c r="E67" s="31">
        <v>24.25</v>
      </c>
      <c r="F67" s="291">
        <v>3775</v>
      </c>
      <c r="G67" s="290">
        <f t="shared" si="83"/>
        <v>91543.75</v>
      </c>
      <c r="H67" s="295" t="s">
        <v>103</v>
      </c>
      <c r="I67" s="292">
        <v>18</v>
      </c>
      <c r="J67" s="26">
        <v>2400</v>
      </c>
      <c r="K67" s="10">
        <f t="shared" si="84"/>
        <v>133.33333333333334</v>
      </c>
      <c r="L67" s="19">
        <v>18</v>
      </c>
      <c r="M67" s="11">
        <f t="shared" si="89"/>
        <v>2287.8787878787884</v>
      </c>
      <c r="N67" s="10">
        <f t="shared" si="85"/>
        <v>127.10437710437714</v>
      </c>
      <c r="O67" s="12">
        <f t="shared" si="86"/>
        <v>0</v>
      </c>
      <c r="P67" s="13">
        <f t="shared" si="87"/>
        <v>-6.228956228956207</v>
      </c>
      <c r="Q67" s="293">
        <f t="shared" si="90"/>
        <v>0.9532828282828284</v>
      </c>
      <c r="R67" s="442"/>
      <c r="S67" s="28">
        <v>0.27986111111111112</v>
      </c>
      <c r="T67" s="28">
        <v>0.34861111111111109</v>
      </c>
      <c r="U67" s="290">
        <f t="shared" ref="U67:U72" si="92">(S67-T66)*24*60</f>
        <v>6.9999999999999751</v>
      </c>
      <c r="V67" s="298">
        <f t="shared" si="88"/>
        <v>98.999999999999972</v>
      </c>
      <c r="W67" s="16"/>
      <c r="X67" s="16"/>
      <c r="Y67" s="443"/>
      <c r="Z67" s="443"/>
      <c r="AA67" s="12">
        <f t="shared" si="2"/>
        <v>-112.12121212121156</v>
      </c>
      <c r="AB67" s="293">
        <f t="shared" si="91"/>
        <v>0.95328282828282851</v>
      </c>
      <c r="AC67" s="442"/>
    </row>
    <row r="68" spans="1:29" ht="15.75" customHeight="1">
      <c r="A68" s="439" t="s">
        <v>1318</v>
      </c>
      <c r="B68" s="291" t="s">
        <v>67</v>
      </c>
      <c r="C68" s="441" t="s">
        <v>102</v>
      </c>
      <c r="D68" s="441"/>
      <c r="E68" s="31">
        <v>20.52</v>
      </c>
      <c r="F68" s="291">
        <v>3200</v>
      </c>
      <c r="G68" s="290">
        <f t="shared" si="83"/>
        <v>65664</v>
      </c>
      <c r="H68" s="295">
        <v>2</v>
      </c>
      <c r="I68" s="292">
        <v>18</v>
      </c>
      <c r="J68" s="26">
        <v>2400</v>
      </c>
      <c r="K68" s="10">
        <f>J68/I68</f>
        <v>133.33333333333334</v>
      </c>
      <c r="L68" s="19">
        <v>18</v>
      </c>
      <c r="M68" s="11">
        <f t="shared" si="89"/>
        <v>2285.7142857142849</v>
      </c>
      <c r="N68" s="10">
        <f t="shared" si="85"/>
        <v>126.98412698412693</v>
      </c>
      <c r="O68" s="12">
        <f t="shared" si="86"/>
        <v>0</v>
      </c>
      <c r="P68" s="13">
        <f t="shared" si="87"/>
        <v>-6.3492063492064119</v>
      </c>
      <c r="Q68" s="293">
        <f t="shared" si="90"/>
        <v>0.95238095238095188</v>
      </c>
      <c r="R68" s="442"/>
      <c r="S68" s="28">
        <v>0.35277777777777775</v>
      </c>
      <c r="T68" s="28">
        <v>0.41111111111111109</v>
      </c>
      <c r="U68" s="290">
        <f t="shared" si="92"/>
        <v>5.9999999999999787</v>
      </c>
      <c r="V68" s="298">
        <f t="shared" si="88"/>
        <v>84.000000000000028</v>
      </c>
      <c r="W68" s="16"/>
      <c r="X68" s="16"/>
      <c r="Y68" s="443"/>
      <c r="Z68" s="443"/>
      <c r="AA68" s="12">
        <f t="shared" si="2"/>
        <v>-114.28571428571513</v>
      </c>
      <c r="AB68" s="293">
        <f t="shared" si="91"/>
        <v>0.952380952380952</v>
      </c>
      <c r="AC68" s="442"/>
    </row>
    <row r="69" spans="1:29" ht="15.75" customHeight="1">
      <c r="A69" s="439" t="s">
        <v>1318</v>
      </c>
      <c r="B69" s="291" t="s">
        <v>67</v>
      </c>
      <c r="C69" s="441" t="s">
        <v>1161</v>
      </c>
      <c r="D69" s="441"/>
      <c r="E69" s="31">
        <v>23.16</v>
      </c>
      <c r="F69" s="291">
        <v>4600</v>
      </c>
      <c r="G69" s="290">
        <f t="shared" si="83"/>
        <v>106536</v>
      </c>
      <c r="H69" s="295">
        <v>2</v>
      </c>
      <c r="I69" s="292">
        <v>17</v>
      </c>
      <c r="J69" s="26">
        <v>2400</v>
      </c>
      <c r="K69" s="10">
        <f t="shared" ref="K69:K73" si="93">J69/I69</f>
        <v>141.1764705882353</v>
      </c>
      <c r="L69" s="19">
        <v>17</v>
      </c>
      <c r="M69" s="11">
        <f t="shared" si="89"/>
        <v>2280.9917355371908</v>
      </c>
      <c r="N69" s="10">
        <f t="shared" si="85"/>
        <v>134.17598444336417</v>
      </c>
      <c r="O69" s="12">
        <f t="shared" si="86"/>
        <v>0</v>
      </c>
      <c r="P69" s="13">
        <f t="shared" si="87"/>
        <v>-7.0004861448711324</v>
      </c>
      <c r="Q69" s="293">
        <f t="shared" si="90"/>
        <v>0.95041322314049614</v>
      </c>
      <c r="R69" s="442"/>
      <c r="S69" s="28">
        <v>0.41527777777777775</v>
      </c>
      <c r="T69" s="28">
        <v>0.4993055555555555</v>
      </c>
      <c r="U69" s="290">
        <f t="shared" si="92"/>
        <v>5.9999999999999787</v>
      </c>
      <c r="V69" s="298">
        <f t="shared" si="88"/>
        <v>120.99999999999997</v>
      </c>
      <c r="W69" s="16">
        <f>T69</f>
        <v>0.4993055555555555</v>
      </c>
      <c r="X69" s="16">
        <f>S70</f>
        <v>0.5395833333333333</v>
      </c>
      <c r="Y69" s="443"/>
      <c r="Z69" s="443"/>
      <c r="AA69" s="12">
        <f t="shared" ref="AA69:AA73" si="94">M69-J69</f>
        <v>-119.00826446280917</v>
      </c>
      <c r="AB69" s="293">
        <f t="shared" si="91"/>
        <v>0.95041322314049614</v>
      </c>
      <c r="AC69" s="442"/>
    </row>
    <row r="70" spans="1:29" ht="15.75" customHeight="1">
      <c r="A70" s="439" t="s">
        <v>1318</v>
      </c>
      <c r="B70" s="291" t="s">
        <v>67</v>
      </c>
      <c r="C70" s="441" t="s">
        <v>102</v>
      </c>
      <c r="D70" s="441"/>
      <c r="E70" s="31">
        <v>20.52</v>
      </c>
      <c r="F70" s="291">
        <v>2389</v>
      </c>
      <c r="G70" s="290">
        <f t="shared" si="83"/>
        <v>49022.28</v>
      </c>
      <c r="H70" s="295" t="s">
        <v>103</v>
      </c>
      <c r="I70" s="292">
        <v>18</v>
      </c>
      <c r="J70" s="26">
        <v>2400</v>
      </c>
      <c r="K70" s="10">
        <f t="shared" si="93"/>
        <v>133.33333333333334</v>
      </c>
      <c r="L70" s="19">
        <v>18</v>
      </c>
      <c r="M70" s="11">
        <f t="shared" si="89"/>
        <v>2275.2380952380977</v>
      </c>
      <c r="N70" s="10">
        <f t="shared" si="85"/>
        <v>126.40211640211653</v>
      </c>
      <c r="O70" s="12">
        <f t="shared" si="86"/>
        <v>0</v>
      </c>
      <c r="P70" s="13">
        <f t="shared" si="87"/>
        <v>-6.9312169312168095</v>
      </c>
      <c r="Q70" s="293">
        <f t="shared" si="90"/>
        <v>0.94801587301587398</v>
      </c>
      <c r="R70" s="442"/>
      <c r="S70" s="28">
        <v>0.5395833333333333</v>
      </c>
      <c r="T70" s="28">
        <v>0.58333333333333326</v>
      </c>
      <c r="U70" s="290">
        <f t="shared" si="92"/>
        <v>58.000000000000036</v>
      </c>
      <c r="V70" s="298">
        <f t="shared" si="88"/>
        <v>62.999999999999936</v>
      </c>
      <c r="W70" s="16"/>
      <c r="X70" s="16"/>
      <c r="Y70" s="443"/>
      <c r="Z70" s="443"/>
      <c r="AA70" s="12">
        <f t="shared" si="94"/>
        <v>-124.76190476190231</v>
      </c>
      <c r="AB70" s="293">
        <f t="shared" si="91"/>
        <v>0.94801587301587409</v>
      </c>
      <c r="AC70" s="442"/>
    </row>
    <row r="71" spans="1:29" ht="15.75" customHeight="1">
      <c r="A71" s="439" t="s">
        <v>1318</v>
      </c>
      <c r="B71" s="291" t="s">
        <v>67</v>
      </c>
      <c r="C71" s="444" t="s">
        <v>1161</v>
      </c>
      <c r="D71" s="445"/>
      <c r="E71" s="31">
        <v>23.16</v>
      </c>
      <c r="F71" s="291">
        <v>3284</v>
      </c>
      <c r="G71" s="290">
        <f t="shared" si="83"/>
        <v>76057.440000000002</v>
      </c>
      <c r="H71" s="295" t="s">
        <v>103</v>
      </c>
      <c r="I71" s="292">
        <v>17</v>
      </c>
      <c r="J71" s="26">
        <v>2400</v>
      </c>
      <c r="K71" s="10">
        <f t="shared" si="93"/>
        <v>141.1764705882353</v>
      </c>
      <c r="L71" s="19">
        <v>17</v>
      </c>
      <c r="M71" s="11">
        <f t="shared" si="89"/>
        <v>2291.1627906976742</v>
      </c>
      <c r="N71" s="10">
        <f t="shared" si="85"/>
        <v>134.77428180574555</v>
      </c>
      <c r="O71" s="12">
        <f t="shared" si="86"/>
        <v>0</v>
      </c>
      <c r="P71" s="13">
        <f t="shared" si="87"/>
        <v>-6.402188782489759</v>
      </c>
      <c r="Q71" s="293">
        <f t="shared" si="90"/>
        <v>0.95465116279069751</v>
      </c>
      <c r="R71" s="442"/>
      <c r="S71" s="28">
        <v>0.58819444444444435</v>
      </c>
      <c r="T71" s="28">
        <v>0.64791666666666659</v>
      </c>
      <c r="U71" s="290">
        <f t="shared" si="92"/>
        <v>6.9999999999999751</v>
      </c>
      <c r="V71" s="298">
        <f t="shared" si="88"/>
        <v>86.000000000000014</v>
      </c>
      <c r="W71" s="16"/>
      <c r="X71" s="16"/>
      <c r="Y71" s="447"/>
      <c r="Z71" s="448"/>
      <c r="AA71" s="12">
        <f t="shared" si="94"/>
        <v>-108.83720930232585</v>
      </c>
      <c r="AB71" s="293">
        <f t="shared" si="91"/>
        <v>0.95465116279069762</v>
      </c>
      <c r="AC71" s="442"/>
    </row>
    <row r="72" spans="1:29" ht="15.75" customHeight="1">
      <c r="A72" s="439" t="s">
        <v>1318</v>
      </c>
      <c r="B72" s="291" t="s">
        <v>67</v>
      </c>
      <c r="C72" s="444" t="s">
        <v>100</v>
      </c>
      <c r="D72" s="445"/>
      <c r="E72" s="31">
        <v>19.02</v>
      </c>
      <c r="F72" s="291">
        <v>5120</v>
      </c>
      <c r="G72" s="290">
        <f t="shared" si="83"/>
        <v>97382.399999999994</v>
      </c>
      <c r="H72" s="295" t="s">
        <v>103</v>
      </c>
      <c r="I72" s="292">
        <v>15</v>
      </c>
      <c r="J72" s="26">
        <v>2400</v>
      </c>
      <c r="K72" s="10">
        <f t="shared" si="93"/>
        <v>160</v>
      </c>
      <c r="L72" s="19">
        <v>15</v>
      </c>
      <c r="M72" s="11">
        <f t="shared" si="89"/>
        <v>2275.5555555555557</v>
      </c>
      <c r="N72" s="10">
        <f t="shared" si="85"/>
        <v>151.70370370370372</v>
      </c>
      <c r="O72" s="12">
        <f t="shared" si="86"/>
        <v>0</v>
      </c>
      <c r="P72" s="13">
        <f t="shared" si="87"/>
        <v>-8.2962962962962763</v>
      </c>
      <c r="Q72" s="293">
        <f t="shared" si="90"/>
        <v>0.9481481481481483</v>
      </c>
      <c r="R72" s="442"/>
      <c r="S72" s="28">
        <v>0.6513888888888888</v>
      </c>
      <c r="T72" s="28">
        <v>0.7451388888888888</v>
      </c>
      <c r="U72" s="290">
        <f t="shared" si="92"/>
        <v>4.9999999999999822</v>
      </c>
      <c r="V72" s="298">
        <f t="shared" si="88"/>
        <v>135</v>
      </c>
      <c r="W72" s="16"/>
      <c r="X72" s="16"/>
      <c r="Y72" s="447"/>
      <c r="Z72" s="448"/>
      <c r="AA72" s="12">
        <f t="shared" si="94"/>
        <v>-124.44444444444434</v>
      </c>
      <c r="AB72" s="293">
        <f t="shared" si="91"/>
        <v>0.94814814814814818</v>
      </c>
      <c r="AC72" s="442"/>
    </row>
    <row r="73" spans="1:29" ht="16.5" customHeight="1">
      <c r="A73" s="440" t="s">
        <v>1318</v>
      </c>
      <c r="B73" s="31" t="s">
        <v>1312</v>
      </c>
      <c r="C73" s="446"/>
      <c r="D73" s="446"/>
      <c r="E73" s="294"/>
      <c r="F73" s="33"/>
      <c r="G73" s="10"/>
      <c r="H73" s="291"/>
      <c r="I73" s="19">
        <v>17.125</v>
      </c>
      <c r="J73" s="26">
        <v>2400</v>
      </c>
      <c r="K73" s="10">
        <f t="shared" si="93"/>
        <v>140.14598540145985</v>
      </c>
      <c r="L73" s="19">
        <v>17.125</v>
      </c>
      <c r="M73" s="11">
        <f>AVERAGE(M65:M72)</f>
        <v>2282.2515294720979</v>
      </c>
      <c r="N73" s="10">
        <f>M73/L73</f>
        <v>133.27016230494002</v>
      </c>
      <c r="O73" s="12">
        <f>L73-I73</f>
        <v>0</v>
      </c>
      <c r="P73" s="13">
        <f>N73-K73</f>
        <v>-6.8758230965198379</v>
      </c>
      <c r="Q73" s="293">
        <f t="shared" si="90"/>
        <v>0.95093813728004073</v>
      </c>
      <c r="R73" s="442"/>
      <c r="S73" s="28"/>
      <c r="T73" s="28"/>
      <c r="U73" s="10"/>
      <c r="V73" s="298"/>
      <c r="W73" s="10"/>
      <c r="X73" s="10"/>
      <c r="Y73" s="443"/>
      <c r="Z73" s="443"/>
      <c r="AA73" s="12">
        <f t="shared" si="94"/>
        <v>-117.7484705279021</v>
      </c>
      <c r="AB73" s="293">
        <f t="shared" si="91"/>
        <v>0.95093813728004084</v>
      </c>
      <c r="AC73" s="442"/>
    </row>
    <row r="74" spans="1:29">
      <c r="D74" s="22"/>
      <c r="E74" s="22"/>
    </row>
  </sheetData>
  <mergeCells count="19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0"/>
    <mergeCell ref="C9:D9"/>
    <mergeCell ref="R9:R10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0"/>
    <mergeCell ref="C10:D10"/>
    <mergeCell ref="Y10:Z10"/>
    <mergeCell ref="A11:A16"/>
    <mergeCell ref="C11:D11"/>
    <mergeCell ref="R11:R16"/>
    <mergeCell ref="Y11:Z11"/>
    <mergeCell ref="AC11:AC16"/>
    <mergeCell ref="C12:D12"/>
    <mergeCell ref="Y12:Z12"/>
    <mergeCell ref="C16:D16"/>
    <mergeCell ref="Y16:Z16"/>
    <mergeCell ref="Y26:Z26"/>
    <mergeCell ref="C27:D27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C33:D33"/>
    <mergeCell ref="Y33:Z33"/>
    <mergeCell ref="AC23:AC33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C30:D30"/>
    <mergeCell ref="Y30:Z30"/>
    <mergeCell ref="C31:D31"/>
    <mergeCell ref="Y31:Z31"/>
    <mergeCell ref="C32:D32"/>
    <mergeCell ref="Y32:Z32"/>
    <mergeCell ref="A34:A45"/>
    <mergeCell ref="C34:D34"/>
    <mergeCell ref="R34:R45"/>
    <mergeCell ref="Y34:Z34"/>
    <mergeCell ref="Y39:Z39"/>
    <mergeCell ref="C40:D40"/>
    <mergeCell ref="Y40:Z40"/>
    <mergeCell ref="C41:D41"/>
    <mergeCell ref="A23:A33"/>
    <mergeCell ref="C23:D23"/>
    <mergeCell ref="Y41:Z41"/>
    <mergeCell ref="C42:D42"/>
    <mergeCell ref="Y42:Z42"/>
    <mergeCell ref="C43:D43"/>
    <mergeCell ref="Y43:Z43"/>
    <mergeCell ref="C44:D44"/>
    <mergeCell ref="Y44:Z44"/>
    <mergeCell ref="Y27:Z27"/>
    <mergeCell ref="C28:D28"/>
    <mergeCell ref="Y28:Z28"/>
    <mergeCell ref="C29:D29"/>
    <mergeCell ref="Y29:Z29"/>
    <mergeCell ref="R23:R33"/>
    <mergeCell ref="Y23:Z23"/>
    <mergeCell ref="AC34:AC45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C45:D45"/>
    <mergeCell ref="Y45:Z45"/>
    <mergeCell ref="A46:A52"/>
    <mergeCell ref="C46:D46"/>
    <mergeCell ref="R46:R52"/>
    <mergeCell ref="Y46:Z46"/>
    <mergeCell ref="Y51:Z51"/>
    <mergeCell ref="C52:D52"/>
    <mergeCell ref="Y52:Z52"/>
    <mergeCell ref="AC53:AC59"/>
    <mergeCell ref="C54:D54"/>
    <mergeCell ref="Y54:Z54"/>
    <mergeCell ref="C55:D55"/>
    <mergeCell ref="C58:D58"/>
    <mergeCell ref="Y58:Z58"/>
    <mergeCell ref="AC46:AC52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C59:D59"/>
    <mergeCell ref="Y59:Z59"/>
    <mergeCell ref="A60:A64"/>
    <mergeCell ref="C60:D60"/>
    <mergeCell ref="R60:R64"/>
    <mergeCell ref="Y60:Z60"/>
    <mergeCell ref="A53:A59"/>
    <mergeCell ref="C53:D53"/>
    <mergeCell ref="R53:R59"/>
    <mergeCell ref="Y53:Z53"/>
    <mergeCell ref="AC60:AC64"/>
    <mergeCell ref="C61:D61"/>
    <mergeCell ref="Y61:Z61"/>
    <mergeCell ref="C62:D62"/>
    <mergeCell ref="Y62:Z62"/>
    <mergeCell ref="C63:D63"/>
    <mergeCell ref="Y63:Z63"/>
    <mergeCell ref="C64:D64"/>
    <mergeCell ref="Y64:Z64"/>
    <mergeCell ref="A65:A73"/>
    <mergeCell ref="C65:D65"/>
    <mergeCell ref="R65:R73"/>
    <mergeCell ref="Y65:Z65"/>
    <mergeCell ref="AC65:AC73"/>
    <mergeCell ref="C66:D66"/>
    <mergeCell ref="Y66:Z66"/>
    <mergeCell ref="C67:D67"/>
    <mergeCell ref="Y67:Z67"/>
    <mergeCell ref="C68:D68"/>
    <mergeCell ref="C72:D72"/>
    <mergeCell ref="Y72:Z72"/>
    <mergeCell ref="C73:D73"/>
    <mergeCell ref="Y73:Z73"/>
    <mergeCell ref="Y68:Z68"/>
    <mergeCell ref="C69:D69"/>
    <mergeCell ref="Y69:Z69"/>
    <mergeCell ref="C70:D70"/>
    <mergeCell ref="Y70:Z70"/>
    <mergeCell ref="C71:D71"/>
    <mergeCell ref="Y71:Z71"/>
  </mergeCells>
  <phoneticPr fontId="3" type="noConversion"/>
  <conditionalFormatting sqref="O63:O70 O73 O5:O12 O16:O30 O33:O60">
    <cfRule type="cellIs" dxfId="979" priority="58" operator="greaterThan">
      <formula>0</formula>
    </cfRule>
  </conditionalFormatting>
  <conditionalFormatting sqref="P5:P7 P63 AA63 P65:P70 P23:P30 P60 P9:P12 P17:P21 P53:P58 P34:P51 AA5:AA60 AA65:AA73">
    <cfRule type="cellIs" dxfId="978" priority="62" operator="lessThan">
      <formula>0</formula>
    </cfRule>
  </conditionalFormatting>
  <conditionalFormatting sqref="AB63 Q63:Q70 Q73 Q5:Q12 Q16:Q30 Q33:Q60 AB5:AB60 AB65:AB73">
    <cfRule type="cellIs" dxfId="977" priority="59" operator="greaterThan">
      <formula>1</formula>
    </cfRule>
    <cfRule type="cellIs" dxfId="976" priority="60" operator="lessThan">
      <formula>0.8</formula>
    </cfRule>
  </conditionalFormatting>
  <conditionalFormatting sqref="AC11:AC12 R11:R12 AC63 R63:R70 AC16:AC30 R16:R30 R33:R41 AC33:AC41 R73 AC5:AC9 R5:R9 AC45:AC60 R45:R60">
    <cfRule type="cellIs" dxfId="975" priority="64" operator="lessThan">
      <formula>0.8</formula>
    </cfRule>
  </conditionalFormatting>
  <conditionalFormatting sqref="AC46">
    <cfRule type="cellIs" dxfId="974" priority="66" operator="lessThan">
      <formula>0.8</formula>
    </cfRule>
  </conditionalFormatting>
  <conditionalFormatting sqref="AC17:AC21">
    <cfRule type="cellIs" dxfId="973" priority="63" operator="lessThan">
      <formula>0.8</formula>
    </cfRule>
  </conditionalFormatting>
  <conditionalFormatting sqref="AC23">
    <cfRule type="cellIs" dxfId="972" priority="65" operator="lessThan">
      <formula>0.8</formula>
    </cfRule>
  </conditionalFormatting>
  <conditionalFormatting sqref="AC34:AC41">
    <cfRule type="cellIs" dxfId="971" priority="61" operator="lessThan">
      <formula>0.8</formula>
    </cfRule>
  </conditionalFormatting>
  <conditionalFormatting sqref="AA64">
    <cfRule type="cellIs" dxfId="970" priority="57" operator="lessThan">
      <formula>0</formula>
    </cfRule>
  </conditionalFormatting>
  <conditionalFormatting sqref="AB64">
    <cfRule type="cellIs" dxfId="969" priority="55" operator="greaterThan">
      <formula>1</formula>
    </cfRule>
    <cfRule type="cellIs" dxfId="968" priority="56" operator="lessThan">
      <formula>0.8</formula>
    </cfRule>
  </conditionalFormatting>
  <conditionalFormatting sqref="O13:O14">
    <cfRule type="cellIs" dxfId="967" priority="50" operator="greaterThan">
      <formula>0</formula>
    </cfRule>
  </conditionalFormatting>
  <conditionalFormatting sqref="P13:P14">
    <cfRule type="cellIs" dxfId="966" priority="53" operator="lessThan">
      <formula>0</formula>
    </cfRule>
  </conditionalFormatting>
  <conditionalFormatting sqref="Q13:Q14">
    <cfRule type="cellIs" dxfId="965" priority="51" operator="greaterThan">
      <formula>1</formula>
    </cfRule>
    <cfRule type="cellIs" dxfId="964" priority="52" operator="lessThan">
      <formula>0.8</formula>
    </cfRule>
  </conditionalFormatting>
  <conditionalFormatting sqref="R13:R14 AC13:AC14">
    <cfRule type="cellIs" dxfId="963" priority="54" operator="lessThan">
      <formula>0.8</formula>
    </cfRule>
  </conditionalFormatting>
  <conditionalFormatting sqref="R42 AC42">
    <cfRule type="cellIs" dxfId="962" priority="49" operator="lessThan">
      <formula>0.8</formula>
    </cfRule>
  </conditionalFormatting>
  <conditionalFormatting sqref="AC42">
    <cfRule type="cellIs" dxfId="961" priority="48" operator="lessThan">
      <formula>0.8</formula>
    </cfRule>
  </conditionalFormatting>
  <conditionalFormatting sqref="O62">
    <cfRule type="cellIs" dxfId="960" priority="43" operator="greaterThan">
      <formula>0</formula>
    </cfRule>
  </conditionalFormatting>
  <conditionalFormatting sqref="P62 AA62">
    <cfRule type="cellIs" dxfId="959" priority="46" operator="lessThan">
      <formula>0</formula>
    </cfRule>
  </conditionalFormatting>
  <conditionalFormatting sqref="Q62 AB62">
    <cfRule type="cellIs" dxfId="958" priority="44" operator="greaterThan">
      <formula>1</formula>
    </cfRule>
    <cfRule type="cellIs" dxfId="957" priority="45" operator="lessThan">
      <formula>0.8</formula>
    </cfRule>
  </conditionalFormatting>
  <conditionalFormatting sqref="R62 AC62">
    <cfRule type="cellIs" dxfId="956" priority="47" operator="lessThan">
      <formula>0.8</formula>
    </cfRule>
  </conditionalFormatting>
  <conditionalFormatting sqref="O31">
    <cfRule type="cellIs" dxfId="955" priority="38" operator="greaterThan">
      <formula>0</formula>
    </cfRule>
  </conditionalFormatting>
  <conditionalFormatting sqref="P31">
    <cfRule type="cellIs" dxfId="954" priority="41" operator="lessThan">
      <formula>0</formula>
    </cfRule>
  </conditionalFormatting>
  <conditionalFormatting sqref="Q31">
    <cfRule type="cellIs" dxfId="953" priority="39" operator="greaterThan">
      <formula>1</formula>
    </cfRule>
    <cfRule type="cellIs" dxfId="952" priority="40" operator="lessThan">
      <formula>0.8</formula>
    </cfRule>
  </conditionalFormatting>
  <conditionalFormatting sqref="R31 AC31">
    <cfRule type="cellIs" dxfId="951" priority="42" operator="lessThan">
      <formula>0.8</formula>
    </cfRule>
  </conditionalFormatting>
  <conditionalFormatting sqref="R44 AC44">
    <cfRule type="cellIs" dxfId="950" priority="37" operator="lessThan">
      <formula>0.8</formula>
    </cfRule>
  </conditionalFormatting>
  <conditionalFormatting sqref="AC44">
    <cfRule type="cellIs" dxfId="949" priority="36" operator="lessThan">
      <formula>0.8</formula>
    </cfRule>
  </conditionalFormatting>
  <conditionalFormatting sqref="O71">
    <cfRule type="cellIs" dxfId="948" priority="31" operator="greaterThan">
      <formula>0</formula>
    </cfRule>
  </conditionalFormatting>
  <conditionalFormatting sqref="P71">
    <cfRule type="cellIs" dxfId="947" priority="34" operator="lessThan">
      <formula>0</formula>
    </cfRule>
  </conditionalFormatting>
  <conditionalFormatting sqref="Q71">
    <cfRule type="cellIs" dxfId="946" priority="32" operator="greaterThan">
      <formula>1</formula>
    </cfRule>
    <cfRule type="cellIs" dxfId="945" priority="33" operator="lessThan">
      <formula>0.8</formula>
    </cfRule>
  </conditionalFormatting>
  <conditionalFormatting sqref="R71">
    <cfRule type="cellIs" dxfId="944" priority="35" operator="lessThan">
      <formula>0.8</formula>
    </cfRule>
  </conditionalFormatting>
  <conditionalFormatting sqref="O15">
    <cfRule type="cellIs" dxfId="943" priority="26" operator="greaterThan">
      <formula>0</formula>
    </cfRule>
  </conditionalFormatting>
  <conditionalFormatting sqref="P15">
    <cfRule type="cellIs" dxfId="942" priority="29" operator="lessThan">
      <formula>0</formula>
    </cfRule>
  </conditionalFormatting>
  <conditionalFormatting sqref="Q15">
    <cfRule type="cellIs" dxfId="941" priority="27" operator="greaterThan">
      <formula>1</formula>
    </cfRule>
    <cfRule type="cellIs" dxfId="940" priority="28" operator="lessThan">
      <formula>0.8</formula>
    </cfRule>
  </conditionalFormatting>
  <conditionalFormatting sqref="R15 AC15">
    <cfRule type="cellIs" dxfId="939" priority="30" operator="lessThan">
      <formula>0.8</formula>
    </cfRule>
  </conditionalFormatting>
  <conditionalFormatting sqref="O32">
    <cfRule type="cellIs" dxfId="938" priority="21" operator="greaterThan">
      <formula>0</formula>
    </cfRule>
  </conditionalFormatting>
  <conditionalFormatting sqref="P32">
    <cfRule type="cellIs" dxfId="937" priority="24" operator="lessThan">
      <formula>0</formula>
    </cfRule>
  </conditionalFormatting>
  <conditionalFormatting sqref="Q32">
    <cfRule type="cellIs" dxfId="936" priority="22" operator="greaterThan">
      <formula>1</formula>
    </cfRule>
    <cfRule type="cellIs" dxfId="935" priority="23" operator="lessThan">
      <formula>0.8</formula>
    </cfRule>
  </conditionalFormatting>
  <conditionalFormatting sqref="R32 AC32">
    <cfRule type="cellIs" dxfId="934" priority="25" operator="lessThan">
      <formula>0.8</formula>
    </cfRule>
  </conditionalFormatting>
  <conditionalFormatting sqref="O61">
    <cfRule type="cellIs" dxfId="933" priority="16" operator="greaterThan">
      <formula>0</formula>
    </cfRule>
  </conditionalFormatting>
  <conditionalFormatting sqref="P61 AA61">
    <cfRule type="cellIs" dxfId="932" priority="19" operator="lessThan">
      <formula>0</formula>
    </cfRule>
  </conditionalFormatting>
  <conditionalFormatting sqref="Q61 AB61">
    <cfRule type="cellIs" dxfId="931" priority="17" operator="greaterThan">
      <formula>1</formula>
    </cfRule>
    <cfRule type="cellIs" dxfId="930" priority="18" operator="lessThan">
      <formula>0.8</formula>
    </cfRule>
  </conditionalFormatting>
  <conditionalFormatting sqref="R61 AC61">
    <cfRule type="cellIs" dxfId="929" priority="20" operator="lessThan">
      <formula>0.8</formula>
    </cfRule>
  </conditionalFormatting>
  <conditionalFormatting sqref="P8">
    <cfRule type="cellIs" dxfId="928" priority="15" operator="lessThan">
      <formula>0</formula>
    </cfRule>
  </conditionalFormatting>
  <conditionalFormatting sqref="P16">
    <cfRule type="cellIs" dxfId="927" priority="14" operator="lessThan">
      <formula>0</formula>
    </cfRule>
  </conditionalFormatting>
  <conditionalFormatting sqref="P22">
    <cfRule type="cellIs" dxfId="926" priority="13" operator="lessThan">
      <formula>0</formula>
    </cfRule>
  </conditionalFormatting>
  <conditionalFormatting sqref="P33">
    <cfRule type="cellIs" dxfId="925" priority="12" operator="lessThan">
      <formula>0</formula>
    </cfRule>
  </conditionalFormatting>
  <conditionalFormatting sqref="P52">
    <cfRule type="cellIs" dxfId="924" priority="11" operator="lessThan">
      <formula>0</formula>
    </cfRule>
  </conditionalFormatting>
  <conditionalFormatting sqref="P59">
    <cfRule type="cellIs" dxfId="923" priority="10" operator="lessThan">
      <formula>0</formula>
    </cfRule>
  </conditionalFormatting>
  <conditionalFormatting sqref="P64">
    <cfRule type="cellIs" dxfId="922" priority="9" operator="lessThan">
      <formula>0</formula>
    </cfRule>
  </conditionalFormatting>
  <conditionalFormatting sqref="P73">
    <cfRule type="cellIs" dxfId="921" priority="8" operator="lessThan">
      <formula>0</formula>
    </cfRule>
  </conditionalFormatting>
  <conditionalFormatting sqref="R43 AC43">
    <cfRule type="cellIs" dxfId="920" priority="7" operator="lessThan">
      <formula>0.8</formula>
    </cfRule>
  </conditionalFormatting>
  <conditionalFormatting sqref="AC43">
    <cfRule type="cellIs" dxfId="919" priority="6" operator="lessThan">
      <formula>0.8</formula>
    </cfRule>
  </conditionalFormatting>
  <conditionalFormatting sqref="O72">
    <cfRule type="cellIs" dxfId="918" priority="1" operator="greaterThan">
      <formula>0</formula>
    </cfRule>
  </conditionalFormatting>
  <conditionalFormatting sqref="P72">
    <cfRule type="cellIs" dxfId="917" priority="4" operator="lessThan">
      <formula>0</formula>
    </cfRule>
  </conditionalFormatting>
  <conditionalFormatting sqref="Q72">
    <cfRule type="cellIs" dxfId="916" priority="2" operator="greaterThan">
      <formula>1</formula>
    </cfRule>
    <cfRule type="cellIs" dxfId="915" priority="3" operator="lessThan">
      <formula>0.8</formula>
    </cfRule>
  </conditionalFormatting>
  <conditionalFormatting sqref="R72">
    <cfRule type="cellIs" dxfId="914" priority="5" operator="lessThan">
      <formula>0.8</formula>
    </cfRule>
  </conditionalFormatting>
  <dataValidations count="1">
    <dataValidation type="list" allowBlank="1" showInputMessage="1" showErrorMessage="1" sqref="Z8 Y5:Z7 Y8:Y63 Z10:Z60 Y64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B1:Q28"/>
  <sheetViews>
    <sheetView zoomScale="70" zoomScaleNormal="70" workbookViewId="0">
      <selection activeCell="G14" sqref="G14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1240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275" t="s">
        <v>1239</v>
      </c>
      <c r="C3" s="493" t="str">
        <f>TEXT('0916 4度C'!A2,"yyyy.mm.ddaaaa")</f>
        <v>2025.09.16星期二</v>
      </c>
      <c r="D3" s="493"/>
      <c r="E3" s="275" t="s">
        <v>1238</v>
      </c>
      <c r="F3" s="494">
        <f>'0916 4度C'!D1</f>
        <v>194375</v>
      </c>
      <c r="G3" s="494"/>
      <c r="H3" s="275" t="s">
        <v>1237</v>
      </c>
      <c r="I3" s="495">
        <f>'0916 4度C'!F1</f>
        <v>6265697.0699999994</v>
      </c>
      <c r="J3" s="495"/>
      <c r="K3" s="45"/>
      <c r="L3" s="46"/>
      <c r="M3" s="47"/>
      <c r="N3" s="47"/>
    </row>
    <row r="4" spans="2:17" ht="28.5" customHeight="1">
      <c r="B4" s="496" t="s">
        <v>1236</v>
      </c>
      <c r="C4" s="496" t="s">
        <v>1235</v>
      </c>
      <c r="D4" s="496"/>
      <c r="E4" s="497" t="s">
        <v>1234</v>
      </c>
      <c r="F4" s="497"/>
      <c r="G4" s="497" t="s">
        <v>1233</v>
      </c>
      <c r="H4" s="497"/>
      <c r="I4" s="497" t="s">
        <v>1232</v>
      </c>
      <c r="J4" s="497"/>
      <c r="L4" s="47"/>
      <c r="M4" s="47"/>
      <c r="N4" s="47"/>
    </row>
    <row r="5" spans="2:17" ht="28.5" customHeight="1">
      <c r="B5" s="496"/>
      <c r="C5" s="496" t="s">
        <v>1231</v>
      </c>
      <c r="D5" s="496"/>
      <c r="E5" s="496" t="s">
        <v>1230</v>
      </c>
      <c r="F5" s="496"/>
      <c r="G5" s="498" t="s">
        <v>1229</v>
      </c>
      <c r="H5" s="498"/>
      <c r="I5" s="499" t="s">
        <v>1228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149.34052207770142</v>
      </c>
      <c r="F6" s="496">
        <f>AVERAGE(D27:O27,D13:J13)</f>
        <v>154.64161226800752</v>
      </c>
      <c r="G6" s="501">
        <f>AVERAGE(D13:J13)</f>
        <v>154.64161226800752</v>
      </c>
      <c r="H6" s="501"/>
      <c r="I6" s="501">
        <f>AVERAGE(K13:M13)</f>
        <v>136.97131163365381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142.34066361019944</v>
      </c>
      <c r="F7" s="506">
        <f>AVERAGE(D28:O28,D14:J14)</f>
        <v>147.36846769007315</v>
      </c>
      <c r="G7" s="507">
        <f>AVERAGE(D14:J14)</f>
        <v>147.36846769007315</v>
      </c>
      <c r="H7" s="507"/>
      <c r="I7" s="507">
        <f>AVERAGE(K14:M14)</f>
        <v>130.60912075716089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0.95321258098513706</v>
      </c>
      <c r="F8" s="504">
        <f>AVERAGE(D15:J15,D29:O29)</f>
        <v>0.95306508193665074</v>
      </c>
      <c r="G8" s="509">
        <f>AVERAGE(D15:J15)</f>
        <v>0.95306508193665074</v>
      </c>
      <c r="H8" s="509"/>
      <c r="I8" s="509">
        <f>AVERAGE(K15:M15)</f>
        <v>0.95355674543160551</v>
      </c>
      <c r="J8" s="509"/>
      <c r="K8" s="48" t="s">
        <v>1227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1226</v>
      </c>
      <c r="C10" s="414"/>
      <c r="D10" s="415" t="s">
        <v>1225</v>
      </c>
      <c r="E10" s="416"/>
      <c r="F10" s="416"/>
      <c r="G10" s="416"/>
      <c r="H10" s="416"/>
      <c r="I10" s="416"/>
      <c r="J10" s="417"/>
      <c r="K10" s="389" t="s">
        <v>1224</v>
      </c>
      <c r="L10" s="390"/>
      <c r="M10" s="391"/>
      <c r="P10" s="51"/>
      <c r="Q10" s="51"/>
    </row>
    <row r="11" spans="2:17" ht="17.25" customHeight="1">
      <c r="B11" s="503" t="s">
        <v>1223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1222</v>
      </c>
      <c r="C13" s="58" t="s">
        <v>1221</v>
      </c>
      <c r="D13" s="59">
        <f>SUMIFS('0916 4度C'!$K:$K,'0916 4度C'!$A:$A,"新豐6線",'0916 4度C'!$B:$B,"平均")</f>
        <v>125</v>
      </c>
      <c r="E13" s="60">
        <f>SUMIFS('0916 4度C'!$K:$K,'0916 4度C'!$A:$A,"新豐2線",'0916 4度C'!$B:$B,"平均")</f>
        <v>83.333333333333329</v>
      </c>
      <c r="F13" s="61">
        <f>SUMIFS('0916 4度C'!$K:$K,'0916 4度C'!$A:$A,"新豐5線",'0916 4度C'!$B:$B,"平均")</f>
        <v>122.3404255319149</v>
      </c>
      <c r="G13" s="61">
        <f>SUMIFS('0916 4度C'!$K:$K,'0916 4度C'!$A:$A,"新豐7線",'0916 4度C'!$B:$B,"平均")</f>
        <v>117.64705882352941</v>
      </c>
      <c r="H13" s="61">
        <f>SUMIFS('0916 4度C'!$K:$K,'0916 4度C'!$A:$A,"新豐3線",'0916 4度C'!$B:$B,"平均")</f>
        <v>308.82352941176475</v>
      </c>
      <c r="I13" s="61">
        <f>SUMIFS('0916 4度C'!$K:$K,'0916 4度C'!$A:$A,"新豐1線",'0916 4度C'!$B:$B,"平均")</f>
        <v>117.34693877551021</v>
      </c>
      <c r="J13" s="62">
        <f>SUMIFS('0916 4度C'!$K:$K,'0916 4度C'!$A:$A,"新豐10線",'0916 4度C'!$B:$B,"平均")</f>
        <v>208</v>
      </c>
      <c r="K13" s="63">
        <f>SUMIFS('0916 4度C'!$K:$K,'0916 4度C'!$A:$A,"新豐8線",'0916 4度C'!$B:$B,"平均")</f>
        <v>134.83146067415728</v>
      </c>
      <c r="L13" s="64">
        <f>SUMIFS('0916 4度C'!$K:$K,'0916 4度C'!$A:$A,"新豐9線",'0916 4度C'!$B:$B,"平均")</f>
        <v>136.08247422680412</v>
      </c>
      <c r="M13" s="62">
        <f>SUMIFS('0916 4度C'!$K:$K,'0916 4度C'!$A:$A,"新豐4線",'0916 4度C'!$B:$B,"平均")</f>
        <v>140</v>
      </c>
    </row>
    <row r="14" spans="2:17" ht="39.6" customHeight="1">
      <c r="B14" s="515"/>
      <c r="C14" s="65" t="s">
        <v>1220</v>
      </c>
      <c r="D14" s="66">
        <f>SUMIFS('0916 4度C'!$N:$N,'0916 4度C'!$A:$A,"新豐6線",'0916 4度C'!$B:$B,"平均")</f>
        <v>120.01148897058819</v>
      </c>
      <c r="E14" s="67">
        <f>SUMIFS('0916 4度C'!$N:$N,'0916 4度C'!$A:$A,"新豐2線",'0916 4度C'!$B:$B,"平均")</f>
        <v>79.220409892766227</v>
      </c>
      <c r="F14" s="67">
        <f>SUMIFS('0916 4度C'!$N:$N,'0916 4度C'!$A:$A,"新豐5線",'0916 4度C'!$B:$B,"平均")</f>
        <v>116.42850005467193</v>
      </c>
      <c r="G14" s="67">
        <f>SUMIFS('0916 4度C'!$N:$N,'0916 4度C'!$A:$A,"新豐7線",'0916 4度C'!$B:$B,"平均")</f>
        <v>111.86012006509407</v>
      </c>
      <c r="H14" s="67">
        <f>SUMIFS('0916 4度C'!$N:$N,'0916 4度C'!$A:$A,"新豐3線",'0916 4度C'!$B:$B,"平均")</f>
        <v>294.18228702677101</v>
      </c>
      <c r="I14" s="67">
        <f>SUMIFS('0916 4度C'!$N:$N,'0916 4度C'!$A:$A,"新豐1線",'0916 4度C'!$B:$B,"平均")</f>
        <v>111.96690125715303</v>
      </c>
      <c r="J14" s="68">
        <f>SUMIFS('0916 4度C'!$N:$N,'0916 4度C'!$A:$A,"新豐10線",'0916 4度C'!$B:$B,"平均")</f>
        <v>197.90956656346748</v>
      </c>
      <c r="K14" s="69">
        <f>SUMIFS('0916 4度C'!$N:$N,'0916 4度C'!$A:$A,"新豐8線",'0916 4度C'!$B:$B,"平均")</f>
        <v>128.66468157151863</v>
      </c>
      <c r="L14" s="70">
        <f>SUMIFS('0916 4度C'!$N:$N,'0916 4度C'!$A:$A,"新豐9線",'0916 4度C'!$B:$B,"平均")</f>
        <v>129.71864687910747</v>
      </c>
      <c r="M14" s="68">
        <f>SUMIFS('0916 4度C'!$N:$N,'0916 4度C'!$A:$A,"新豐4線",'0916 4度C'!$B:$B,"平均")</f>
        <v>133.44403382085659</v>
      </c>
    </row>
    <row r="15" spans="2:17" ht="40.15" customHeight="1">
      <c r="B15" s="515"/>
      <c r="C15" s="71" t="s">
        <v>1219</v>
      </c>
      <c r="D15" s="72">
        <f t="shared" ref="D15:M15" si="0">D14/D13</f>
        <v>0.96009191176470554</v>
      </c>
      <c r="E15" s="73">
        <f t="shared" si="0"/>
        <v>0.95064491871319479</v>
      </c>
      <c r="F15" s="73">
        <f t="shared" si="0"/>
        <v>0.95167643522949219</v>
      </c>
      <c r="G15" s="73">
        <f t="shared" si="0"/>
        <v>0.95081102055329958</v>
      </c>
      <c r="H15" s="73">
        <f t="shared" si="0"/>
        <v>0.95259026275335357</v>
      </c>
      <c r="I15" s="73">
        <f t="shared" si="0"/>
        <v>0.95415272375660831</v>
      </c>
      <c r="J15" s="74">
        <f t="shared" si="0"/>
        <v>0.9514883007859013</v>
      </c>
      <c r="K15" s="72">
        <f t="shared" si="0"/>
        <v>0.95426305498876329</v>
      </c>
      <c r="L15" s="73">
        <f t="shared" si="0"/>
        <v>0.95323551115707761</v>
      </c>
      <c r="M15" s="74">
        <f t="shared" si="0"/>
        <v>0.95317167014897564</v>
      </c>
    </row>
    <row r="16" spans="2:17" ht="17.25" customHeight="1">
      <c r="B16" s="502" t="s">
        <v>1218</v>
      </c>
      <c r="C16" s="274" t="s">
        <v>1217</v>
      </c>
      <c r="D16" s="76">
        <f>VLOOKUP("新豐6線",'0916 4度C'!$A:$T,19,0)</f>
        <v>0.70833333333333337</v>
      </c>
      <c r="E16" s="28">
        <f>VLOOKUP("新豐2線",'0916 4度C'!$A:$T,19,0)</f>
        <v>0.20833333333333334</v>
      </c>
      <c r="F16" s="28">
        <f>VLOOKUP("新豐5線",'0916 4度C'!$A:$T,19,0)</f>
        <v>0.16666666666666666</v>
      </c>
      <c r="G16" s="28">
        <f>VLOOKUP("新豐7線",'0916 4度C'!$A:$T,19,0)</f>
        <v>0.29166666666666669</v>
      </c>
      <c r="H16" s="28">
        <f>VLOOKUP("新豐3線",'0916 4度C'!$A:$T,19,0)</f>
        <v>8.3333333333333329E-2</v>
      </c>
      <c r="I16" s="28">
        <f>VLOOKUP("新豐1線",'0916 4度C'!$A:$T,19,0)</f>
        <v>0.29166666666666669</v>
      </c>
      <c r="J16" s="77">
        <f>VLOOKUP("新豐10線",'0916 4度C'!$A:$T,19,0)</f>
        <v>0.33333333333333331</v>
      </c>
      <c r="K16" s="78">
        <f>VLOOKUP("新豐8線",'0916 4度C'!$A:$T,19,0)</f>
        <v>8.3333333333333329E-2</v>
      </c>
      <c r="L16" s="79">
        <f>VLOOKUP("新豐9線",'0916 4度C'!$A:$T,19,0)</f>
        <v>8.3333333333333329E-2</v>
      </c>
      <c r="M16" s="80">
        <f>VLOOKUP("新豐4線",'0916 4度C'!$A:$T,19,0)</f>
        <v>8.3333333333333329E-2</v>
      </c>
    </row>
    <row r="17" spans="2:13" ht="17.25" customHeight="1">
      <c r="B17" s="503"/>
      <c r="C17" s="274" t="s">
        <v>1216</v>
      </c>
      <c r="D17" s="78">
        <f>LOOKUP(2,1/(('0916 4度C'!$A:$A="新豐6線")*('0916 4度C'!$T:$T&lt;&gt;"")),'0916 4度C'!$T:$T)</f>
        <v>0.83888888888888891</v>
      </c>
      <c r="E17" s="28">
        <f>LOOKUP(2,1/(('0916 4度C'!$A:$A="新豐2線")*('0916 4度C'!$T:$T&lt;&gt;"")),'0916 4度C'!$T:$T)</f>
        <v>0.64166666666666661</v>
      </c>
      <c r="F17" s="28">
        <f>LOOKUP(2,1/(('0916 4度C'!$A:$A="新豐5線")*('0916 4度C'!$T:$T&lt;&gt;"")),'0916 4度C'!$T:$T)</f>
        <v>0.85486111111111107</v>
      </c>
      <c r="G17" s="28">
        <f>LOOKUP(2,1/(('0916 4度C'!$A:$A="新豐7線")*('0916 4度C'!$T:$T&lt;&gt;"")),'0916 4度C'!$T:$T)</f>
        <v>0.78263888888888888</v>
      </c>
      <c r="H17" s="28">
        <f>LOOKUP(2,1/(('0916 4度C'!$A:$A="新豐3線")*('0916 4度C'!$T:$T&lt;&gt;"")),'0916 4度C'!$T:$T)</f>
        <v>0.45416666666666661</v>
      </c>
      <c r="I17" s="28">
        <f>LOOKUP(2,1/(('0916 4度C'!$A:$A="新豐1線")*('0916 4度C'!$T:$T&lt;&gt;"")),'0916 4度C'!$T:$T)</f>
        <v>0.85972222222222217</v>
      </c>
      <c r="J17" s="77">
        <f>LOOKUP(2,1/(('0916 4度C'!$A:$A="新豐10線")*('0916 4度C'!$T:$T&lt;&gt;"")),'0916 4度C'!$T:$T)</f>
        <v>0.63611111111111096</v>
      </c>
      <c r="K17" s="76">
        <f>LOOKUP(2,1/(('0916 4度C'!$A:$A="新豐8線")*('0916 4度C'!$T:$T&lt;&gt;"")),'0916 4度C'!$T:$T)</f>
        <v>0.74861111111111101</v>
      </c>
      <c r="L17" s="28">
        <f>LOOKUP(2,1/(('0916 4度C'!$A:$A="新豐9線")*('0916 4度C'!$T:$T&lt;&gt;"")),'0916 4度C'!$T:$T)</f>
        <v>0.77361111111111092</v>
      </c>
      <c r="M17" s="77">
        <f>LOOKUP(2,1/(('0916 4度C'!$A:$A="新豐4線")*('0916 4度C'!$T:$T&lt;&gt;"")),'0916 4度C'!$T:$T)</f>
        <v>0.6826388888888888</v>
      </c>
    </row>
    <row r="18" spans="2:13" ht="17.25" customHeight="1">
      <c r="B18" s="503" t="s">
        <v>1215</v>
      </c>
      <c r="C18" s="514"/>
      <c r="D18" s="81">
        <f>SUMIFS('0916 4度C'!$I:$I,'0916 4度C'!$A:$A,"新豐6線",'0916 4度C'!$B:$B,"平均")</f>
        <v>16</v>
      </c>
      <c r="E18" s="82">
        <f>SUMIFS('0916 4度C'!$I:$I,'0916 4度C'!$A:$A,"新豐2線",'0916 4度C'!$B:$B,"平均")</f>
        <v>18</v>
      </c>
      <c r="F18" s="82">
        <f>SUMIFS('0916 4度C'!$I:$I,'0916 4度C'!$A:$A,"新豐5線",'0916 4度C'!$B:$B,"平均")</f>
        <v>15.666666666666666</v>
      </c>
      <c r="G18" s="82">
        <f>SUMIFS('0916 4度C'!$I:$I,'0916 4度C'!$A:$A,"新豐7線",'0916 4度C'!$B:$B,"平均")</f>
        <v>17</v>
      </c>
      <c r="H18" s="82">
        <f>SUMIFS('0916 4度C'!$I:$I,'0916 4度C'!$A:$A,"新豐3線",'0916 4度C'!$B:$B,"平均")</f>
        <v>9.7142857142857135</v>
      </c>
      <c r="I18" s="82">
        <f>SUMIFS('0916 4度C'!$I:$I,'0916 4度C'!$A:$A,"新豐1線",'0916 4度C'!$B:$B,"平均")</f>
        <v>16.333333333333332</v>
      </c>
      <c r="J18" s="83">
        <f>SUMIFS('0916 4度C'!$I:$I,'0916 4度C'!$A:$A,"新豐10線",'0916 4度C'!$B:$B,"平均")</f>
        <v>12.5</v>
      </c>
      <c r="K18" s="81">
        <f>SUMIFS('0916 4度C'!$I:$I,'0916 4度C'!$A:$A,"新豐8線",'0916 4度C'!$B:$B,"平均")</f>
        <v>17.8</v>
      </c>
      <c r="L18" s="82">
        <f>SUMIFS('0916 4度C'!$I:$I,'0916 4度C'!$A:$A,"新豐9線",'0916 4度C'!$B:$B,"平均")</f>
        <v>17.636363636363637</v>
      </c>
      <c r="M18" s="83">
        <f>SUMIFS('0916 4度C'!$I:$I,'0916 4度C'!$A:$A,"新豐4線",'0916 4度C'!$B:$B,"平均")</f>
        <v>17.142857142857142</v>
      </c>
    </row>
    <row r="19" spans="2:13" ht="17.25" customHeight="1">
      <c r="B19" s="510" t="s">
        <v>1214</v>
      </c>
      <c r="C19" s="511"/>
      <c r="D19" s="84" t="s">
        <v>148</v>
      </c>
      <c r="E19" s="85" t="s">
        <v>149</v>
      </c>
      <c r="F19" s="85" t="s">
        <v>1213</v>
      </c>
      <c r="G19" s="85" t="s">
        <v>1213</v>
      </c>
      <c r="H19" s="85" t="s">
        <v>151</v>
      </c>
      <c r="I19" s="85" t="s">
        <v>148</v>
      </c>
      <c r="J19" s="86" t="s">
        <v>151</v>
      </c>
      <c r="K19" s="84" t="s">
        <v>1212</v>
      </c>
      <c r="L19" s="85" t="s">
        <v>1212</v>
      </c>
      <c r="M19" s="86" t="s">
        <v>1212</v>
      </c>
    </row>
    <row r="20" spans="2:13" ht="17.25" customHeight="1">
      <c r="B20" s="510" t="s">
        <v>1211</v>
      </c>
      <c r="C20" s="511"/>
      <c r="D20" s="84"/>
      <c r="E20" s="85"/>
      <c r="F20" s="85" t="s">
        <v>1210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1209</v>
      </c>
      <c r="C21" s="513"/>
      <c r="D21" s="87"/>
      <c r="E21" s="88" t="s">
        <v>1208</v>
      </c>
      <c r="F21" s="387" t="s">
        <v>1207</v>
      </c>
      <c r="G21" s="388"/>
      <c r="H21" s="88" t="s">
        <v>1205</v>
      </c>
      <c r="I21" s="88" t="s">
        <v>1206</v>
      </c>
      <c r="J21" s="89" t="s">
        <v>1205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1:C21"/>
    <mergeCell ref="F21:G21"/>
    <mergeCell ref="D10:J10"/>
    <mergeCell ref="K10:M10"/>
    <mergeCell ref="B11:C12"/>
    <mergeCell ref="B13:B15"/>
    <mergeCell ref="B18:C18"/>
    <mergeCell ref="B19:C19"/>
    <mergeCell ref="B16:B17"/>
    <mergeCell ref="B10:C10"/>
    <mergeCell ref="C8:D8"/>
    <mergeCell ref="E8:F8"/>
    <mergeCell ref="G8:H8"/>
    <mergeCell ref="I8:J8"/>
    <mergeCell ref="B20:C20"/>
    <mergeCell ref="I6:J6"/>
    <mergeCell ref="C7:D7"/>
    <mergeCell ref="E7:F7"/>
    <mergeCell ref="G7:H7"/>
    <mergeCell ref="I7:J7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91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pageSetUpPr fitToPage="1"/>
  </sheetPr>
  <dimension ref="A1:AC77"/>
  <sheetViews>
    <sheetView zoomScale="80" zoomScaleNormal="80" workbookViewId="0">
      <pane ySplit="4" topLeftCell="A68" activePane="bottomLeft" state="frozen"/>
      <selection activeCell="G14" sqref="G14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1204</v>
      </c>
      <c r="B1" s="1"/>
      <c r="C1" s="2" t="s">
        <v>1203</v>
      </c>
      <c r="D1" s="3">
        <f>SUM(F5:F76)</f>
        <v>194375</v>
      </c>
      <c r="E1" s="277" t="s">
        <v>1202</v>
      </c>
      <c r="F1" s="1">
        <f>SUM(G5:G76)</f>
        <v>6265697.0699999994</v>
      </c>
      <c r="G1" s="1" t="s">
        <v>1201</v>
      </c>
      <c r="H1" s="38">
        <f>L8+L12+L56+L63+L19+L68+L36+L48+L25+L76</f>
        <v>157.7935064935065</v>
      </c>
      <c r="I1" s="482" t="s">
        <v>1200</v>
      </c>
      <c r="J1" s="482"/>
      <c r="K1" s="482"/>
      <c r="L1" s="482" t="s">
        <v>1199</v>
      </c>
      <c r="M1" s="482"/>
      <c r="N1" s="482"/>
      <c r="O1" s="482" t="s">
        <v>1198</v>
      </c>
      <c r="P1" s="482"/>
      <c r="Q1" s="482"/>
      <c r="R1" s="482"/>
      <c r="S1" s="482" t="s">
        <v>1197</v>
      </c>
      <c r="T1" s="482"/>
      <c r="U1" s="482"/>
      <c r="V1" s="482"/>
      <c r="W1" s="482"/>
      <c r="X1" s="482"/>
      <c r="Y1" s="482" t="s">
        <v>1196</v>
      </c>
      <c r="Z1" s="482"/>
      <c r="AA1" s="482" t="s">
        <v>1195</v>
      </c>
      <c r="AB1" s="483"/>
      <c r="AC1" s="483"/>
    </row>
    <row r="2" spans="1:29" ht="26.25" customHeight="1">
      <c r="A2" s="24">
        <v>45916</v>
      </c>
      <c r="B2" s="25" t="s">
        <v>161</v>
      </c>
      <c r="C2" s="2" t="s">
        <v>1183</v>
      </c>
      <c r="D2" s="6">
        <f>AVERAGE(N8,N12,N56,N63,N19,N68,N25,N36,N48,N76)</f>
        <v>142.34066361019944</v>
      </c>
      <c r="E2" s="7" t="s">
        <v>11</v>
      </c>
      <c r="F2" s="8">
        <f>F1/D1</f>
        <v>32.235097466237939</v>
      </c>
      <c r="G2" s="1" t="s">
        <v>1194</v>
      </c>
      <c r="H2" s="39">
        <f>COUNT(H5:H76)</f>
        <v>15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1193</v>
      </c>
      <c r="B3" s="443" t="s">
        <v>1192</v>
      </c>
      <c r="C3" s="443" t="s">
        <v>1191</v>
      </c>
      <c r="D3" s="443"/>
      <c r="E3" s="484" t="s">
        <v>1190</v>
      </c>
      <c r="F3" s="443" t="s">
        <v>1189</v>
      </c>
      <c r="G3" s="484" t="s">
        <v>1188</v>
      </c>
      <c r="H3" s="487" t="s">
        <v>1187</v>
      </c>
      <c r="I3" s="474" t="s">
        <v>1186</v>
      </c>
      <c r="J3" s="479" t="s">
        <v>1179</v>
      </c>
      <c r="K3" s="481" t="s">
        <v>1183</v>
      </c>
      <c r="L3" s="474" t="s">
        <v>1185</v>
      </c>
      <c r="M3" s="479" t="s">
        <v>1179</v>
      </c>
      <c r="N3" s="481" t="s">
        <v>1183</v>
      </c>
      <c r="O3" s="474" t="s">
        <v>1184</v>
      </c>
      <c r="P3" s="481" t="s">
        <v>1183</v>
      </c>
      <c r="Q3" s="480" t="s">
        <v>1178</v>
      </c>
      <c r="R3" s="451" t="s">
        <v>1177</v>
      </c>
      <c r="S3" s="486" t="s">
        <v>25</v>
      </c>
      <c r="T3" s="486"/>
      <c r="U3" s="476" t="s">
        <v>26</v>
      </c>
      <c r="V3" s="476" t="s">
        <v>1182</v>
      </c>
      <c r="W3" s="443" t="s">
        <v>1181</v>
      </c>
      <c r="X3" s="443"/>
      <c r="Y3" s="477" t="s">
        <v>1180</v>
      </c>
      <c r="Z3" s="478"/>
      <c r="AA3" s="479" t="s">
        <v>1179</v>
      </c>
      <c r="AB3" s="480" t="s">
        <v>1178</v>
      </c>
      <c r="AC3" s="451" t="s">
        <v>1177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86" t="s">
        <v>31</v>
      </c>
      <c r="T4" s="286" t="s">
        <v>32</v>
      </c>
      <c r="U4" s="476"/>
      <c r="V4" s="476"/>
      <c r="W4" s="277" t="s">
        <v>1176</v>
      </c>
      <c r="X4" s="277" t="s">
        <v>1175</v>
      </c>
      <c r="Y4" s="478"/>
      <c r="Z4" s="478"/>
      <c r="AA4" s="479"/>
      <c r="AB4" s="480"/>
      <c r="AC4" s="451"/>
    </row>
    <row r="5" spans="1:29">
      <c r="A5" s="473" t="s">
        <v>1174</v>
      </c>
      <c r="B5" s="31" t="s">
        <v>58</v>
      </c>
      <c r="C5" s="475" t="s">
        <v>104</v>
      </c>
      <c r="D5" s="475"/>
      <c r="E5" s="31">
        <v>46.93</v>
      </c>
      <c r="F5" s="286">
        <v>1100</v>
      </c>
      <c r="G5" s="277">
        <f>E5*F5</f>
        <v>51623</v>
      </c>
      <c r="H5" s="287" t="s">
        <v>103</v>
      </c>
      <c r="I5" s="284">
        <v>16</v>
      </c>
      <c r="J5" s="26">
        <v>2000</v>
      </c>
      <c r="K5" s="10">
        <f t="shared" ref="K5:K36" si="0">J5/I5</f>
        <v>125</v>
      </c>
      <c r="L5" s="284">
        <v>16</v>
      </c>
      <c r="M5" s="11">
        <f>F5/V5*60</f>
        <v>1941.1764705882326</v>
      </c>
      <c r="N5" s="10">
        <f t="shared" ref="N5:N36" si="1">M5/L5</f>
        <v>121.32352941176454</v>
      </c>
      <c r="O5" s="12">
        <f t="shared" ref="O5:O36" si="2">L5-I5</f>
        <v>0</v>
      </c>
      <c r="P5" s="13">
        <f t="shared" ref="P5:P36" si="3">N5-K5</f>
        <v>-3.6764705882354605</v>
      </c>
      <c r="Q5" s="282">
        <f t="shared" ref="Q5:Q36" si="4">N5/K5</f>
        <v>0.97058823529411631</v>
      </c>
      <c r="R5" s="442">
        <f>Q8</f>
        <v>0.96009191176470554</v>
      </c>
      <c r="S5" s="28">
        <v>0.70833333333333337</v>
      </c>
      <c r="T5" s="28">
        <v>0.73194444444444451</v>
      </c>
      <c r="U5" s="277"/>
      <c r="V5" s="285">
        <f>(T5-S5)*24*60</f>
        <v>34.000000000000043</v>
      </c>
      <c r="W5" s="16"/>
      <c r="X5" s="17"/>
      <c r="Y5" s="443"/>
      <c r="Z5" s="443"/>
      <c r="AA5" s="12">
        <f t="shared" ref="AA5:AA36" si="5">M5-J5</f>
        <v>-58.823529411767367</v>
      </c>
      <c r="AB5" s="282">
        <f t="shared" ref="AB5:AB36" si="6">M5/J5</f>
        <v>0.97058823529411631</v>
      </c>
      <c r="AC5" s="442">
        <f>AB8</f>
        <v>0.96009191176470554</v>
      </c>
    </row>
    <row r="6" spans="1:29">
      <c r="A6" s="474" t="s">
        <v>1174</v>
      </c>
      <c r="B6" s="31" t="s">
        <v>58</v>
      </c>
      <c r="C6" s="475" t="s">
        <v>105</v>
      </c>
      <c r="D6" s="475"/>
      <c r="E6" s="31">
        <v>50.49</v>
      </c>
      <c r="F6" s="286">
        <v>2368</v>
      </c>
      <c r="G6" s="277">
        <f>E6*F6</f>
        <v>119560.32000000001</v>
      </c>
      <c r="H6" s="287" t="s">
        <v>103</v>
      </c>
      <c r="I6" s="284">
        <v>15</v>
      </c>
      <c r="J6" s="26">
        <v>2000</v>
      </c>
      <c r="K6" s="10">
        <f t="shared" si="0"/>
        <v>133.33333333333334</v>
      </c>
      <c r="L6" s="284">
        <v>15</v>
      </c>
      <c r="M6" s="11">
        <f>F6/V6*60</f>
        <v>1919.9999999999984</v>
      </c>
      <c r="N6" s="10">
        <f t="shared" si="1"/>
        <v>127.9999999999999</v>
      </c>
      <c r="O6" s="12">
        <f t="shared" si="2"/>
        <v>0</v>
      </c>
      <c r="P6" s="13">
        <f t="shared" si="3"/>
        <v>-5.3333333333334423</v>
      </c>
      <c r="Q6" s="282">
        <f t="shared" si="4"/>
        <v>0.95999999999999919</v>
      </c>
      <c r="R6" s="442"/>
      <c r="S6" s="28">
        <v>0.73750000000000004</v>
      </c>
      <c r="T6" s="28">
        <v>0.78888888888888897</v>
      </c>
      <c r="U6" s="277">
        <f>(S6-T5)*24*60</f>
        <v>7.9999999999999716</v>
      </c>
      <c r="V6" s="285">
        <f>(T6-S6)*24*60</f>
        <v>74.000000000000057</v>
      </c>
      <c r="W6" s="16"/>
      <c r="X6" s="16"/>
      <c r="Y6" s="443"/>
      <c r="Z6" s="443"/>
      <c r="AA6" s="12">
        <f t="shared" si="5"/>
        <v>-80.000000000001592</v>
      </c>
      <c r="AB6" s="282">
        <f t="shared" si="6"/>
        <v>0.95999999999999919</v>
      </c>
      <c r="AC6" s="442"/>
    </row>
    <row r="7" spans="1:29">
      <c r="A7" s="474" t="s">
        <v>1174</v>
      </c>
      <c r="B7" s="31" t="s">
        <v>58</v>
      </c>
      <c r="C7" s="471" t="s">
        <v>106</v>
      </c>
      <c r="D7" s="472"/>
      <c r="E7" s="31">
        <v>50.67</v>
      </c>
      <c r="F7" s="286">
        <v>2026</v>
      </c>
      <c r="G7" s="277">
        <f>E7*F7</f>
        <v>102657.42</v>
      </c>
      <c r="H7" s="287" t="s">
        <v>103</v>
      </c>
      <c r="I7" s="284">
        <v>17</v>
      </c>
      <c r="J7" s="26">
        <v>2000</v>
      </c>
      <c r="K7" s="10">
        <f t="shared" si="0"/>
        <v>117.64705882352941</v>
      </c>
      <c r="L7" s="284">
        <v>17</v>
      </c>
      <c r="M7" s="11">
        <f>F7/V7*60</f>
        <v>1899.375000000002</v>
      </c>
      <c r="N7" s="10">
        <f t="shared" si="1"/>
        <v>111.72794117647071</v>
      </c>
      <c r="O7" s="12">
        <f t="shared" si="2"/>
        <v>0</v>
      </c>
      <c r="P7" s="13">
        <f t="shared" si="3"/>
        <v>-5.9191176470586981</v>
      </c>
      <c r="Q7" s="282">
        <f t="shared" si="4"/>
        <v>0.94968750000000102</v>
      </c>
      <c r="R7" s="442"/>
      <c r="S7" s="28">
        <v>0.79444444444444451</v>
      </c>
      <c r="T7" s="28">
        <v>0.83888888888888891</v>
      </c>
      <c r="U7" s="277">
        <f>(S7-T6)*24*60</f>
        <v>7.9999999999999716</v>
      </c>
      <c r="V7" s="285">
        <f>(T7-S7)*24*60</f>
        <v>63.999999999999929</v>
      </c>
      <c r="W7" s="16"/>
      <c r="X7" s="16"/>
      <c r="Y7" s="447"/>
      <c r="Z7" s="448"/>
      <c r="AA7" s="12">
        <f t="shared" si="5"/>
        <v>-100.62499999999795</v>
      </c>
      <c r="AB7" s="282">
        <f t="shared" si="6"/>
        <v>0.94968750000000102</v>
      </c>
      <c r="AC7" s="442"/>
    </row>
    <row r="8" spans="1:29">
      <c r="A8" s="474" t="s">
        <v>1174</v>
      </c>
      <c r="B8" s="31" t="s">
        <v>1162</v>
      </c>
      <c r="C8" s="446"/>
      <c r="D8" s="446"/>
      <c r="E8" s="276"/>
      <c r="F8" s="33"/>
      <c r="G8" s="10"/>
      <c r="H8" s="286"/>
      <c r="I8" s="19">
        <v>16</v>
      </c>
      <c r="J8" s="26">
        <v>2000</v>
      </c>
      <c r="K8" s="10">
        <f t="shared" si="0"/>
        <v>125</v>
      </c>
      <c r="L8" s="19">
        <v>16</v>
      </c>
      <c r="M8" s="11">
        <f>AVERAGE(M5:M7)</f>
        <v>1920.183823529411</v>
      </c>
      <c r="N8" s="10">
        <f t="shared" si="1"/>
        <v>120.01148897058819</v>
      </c>
      <c r="O8" s="12">
        <f t="shared" si="2"/>
        <v>0</v>
      </c>
      <c r="P8" s="13">
        <f t="shared" si="3"/>
        <v>-4.9885110294118107</v>
      </c>
      <c r="Q8" s="282">
        <f t="shared" si="4"/>
        <v>0.96009191176470554</v>
      </c>
      <c r="R8" s="442"/>
      <c r="S8" s="28"/>
      <c r="T8" s="28"/>
      <c r="U8" s="277"/>
      <c r="V8" s="285"/>
      <c r="W8" s="10"/>
      <c r="X8" s="10"/>
      <c r="Y8" s="443"/>
      <c r="Z8" s="443"/>
      <c r="AA8" s="12">
        <f t="shared" si="5"/>
        <v>-79.816176470588971</v>
      </c>
      <c r="AB8" s="282">
        <f t="shared" si="6"/>
        <v>0.96009191176470554</v>
      </c>
      <c r="AC8" s="442"/>
    </row>
    <row r="9" spans="1:29" ht="15.75" customHeight="1">
      <c r="A9" s="439" t="s">
        <v>1173</v>
      </c>
      <c r="B9" s="31" t="s">
        <v>53</v>
      </c>
      <c r="C9" s="471" t="s">
        <v>54</v>
      </c>
      <c r="D9" s="472"/>
      <c r="E9" s="31">
        <v>39.799999999999997</v>
      </c>
      <c r="F9" s="286">
        <v>5500</v>
      </c>
      <c r="G9" s="277">
        <f>E9*F9</f>
        <v>218899.99999999997</v>
      </c>
      <c r="H9" s="287">
        <v>2</v>
      </c>
      <c r="I9" s="284">
        <v>17</v>
      </c>
      <c r="J9" s="26">
        <v>1500</v>
      </c>
      <c r="K9" s="10">
        <f t="shared" si="0"/>
        <v>88.235294117647058</v>
      </c>
      <c r="L9" s="284">
        <v>17</v>
      </c>
      <c r="M9" s="11">
        <f>F9/V9*60</f>
        <v>1422.4137931034481</v>
      </c>
      <c r="N9" s="10">
        <f t="shared" si="1"/>
        <v>83.671399594320476</v>
      </c>
      <c r="O9" s="12">
        <f t="shared" si="2"/>
        <v>0</v>
      </c>
      <c r="P9" s="13">
        <f t="shared" si="3"/>
        <v>-4.5638945233265815</v>
      </c>
      <c r="Q9" s="282">
        <f t="shared" si="4"/>
        <v>0.94827586206896541</v>
      </c>
      <c r="R9" s="442">
        <f>Q12</f>
        <v>0.95064491871319479</v>
      </c>
      <c r="S9" s="28">
        <v>0.20833333333333334</v>
      </c>
      <c r="T9" s="28">
        <v>0.36944444444444446</v>
      </c>
      <c r="U9" s="277"/>
      <c r="V9" s="285">
        <f>(T9-S9)*24*60</f>
        <v>232.00000000000003</v>
      </c>
      <c r="W9" s="16"/>
      <c r="X9" s="16"/>
      <c r="Y9" s="443"/>
      <c r="Z9" s="443"/>
      <c r="AA9" s="12">
        <f t="shared" si="5"/>
        <v>-77.586206896551857</v>
      </c>
      <c r="AB9" s="282">
        <f t="shared" si="6"/>
        <v>0.94827586206896541</v>
      </c>
      <c r="AC9" s="442">
        <f>AB12</f>
        <v>0.95064491871319479</v>
      </c>
    </row>
    <row r="10" spans="1:29" ht="15.75" customHeight="1">
      <c r="A10" s="439" t="s">
        <v>1173</v>
      </c>
      <c r="B10" s="31" t="s">
        <v>53</v>
      </c>
      <c r="C10" s="471" t="s">
        <v>163</v>
      </c>
      <c r="D10" s="472"/>
      <c r="E10" s="31">
        <v>39.36</v>
      </c>
      <c r="F10" s="286">
        <v>4492</v>
      </c>
      <c r="G10" s="277">
        <f>E10*F10</f>
        <v>176805.12</v>
      </c>
      <c r="H10" s="287" t="s">
        <v>103</v>
      </c>
      <c r="I10" s="284">
        <v>20</v>
      </c>
      <c r="J10" s="26">
        <v>1500</v>
      </c>
      <c r="K10" s="10">
        <f t="shared" si="0"/>
        <v>75</v>
      </c>
      <c r="L10" s="284">
        <v>20</v>
      </c>
      <c r="M10" s="11">
        <f>F10/V10*60</f>
        <v>1418.526315789474</v>
      </c>
      <c r="N10" s="10">
        <f t="shared" si="1"/>
        <v>70.926315789473705</v>
      </c>
      <c r="O10" s="12">
        <f t="shared" si="2"/>
        <v>0</v>
      </c>
      <c r="P10" s="13">
        <f t="shared" si="3"/>
        <v>-4.0736842105262951</v>
      </c>
      <c r="Q10" s="282">
        <f t="shared" si="4"/>
        <v>0.94568421052631602</v>
      </c>
      <c r="R10" s="442"/>
      <c r="S10" s="28">
        <v>0.37430555555555556</v>
      </c>
      <c r="T10" s="28">
        <v>0.50624999999999998</v>
      </c>
      <c r="U10" s="277">
        <f>(S10-T9)*24*60</f>
        <v>6.9999999999999751</v>
      </c>
      <c r="V10" s="285">
        <f>(T10-S10)*24*60</f>
        <v>189.99999999999997</v>
      </c>
      <c r="W10" s="16">
        <f>T10</f>
        <v>0.50624999999999998</v>
      </c>
      <c r="X10" s="16">
        <f>S11</f>
        <v>0.58680555555555547</v>
      </c>
      <c r="Y10" s="443"/>
      <c r="Z10" s="443"/>
      <c r="AA10" s="12">
        <f t="shared" si="5"/>
        <v>-81.473684210526017</v>
      </c>
      <c r="AB10" s="282">
        <f t="shared" si="6"/>
        <v>0.94568421052631602</v>
      </c>
      <c r="AC10" s="442"/>
    </row>
    <row r="11" spans="1:29" ht="15.75" customHeight="1">
      <c r="A11" s="439" t="s">
        <v>1173</v>
      </c>
      <c r="B11" s="31" t="s">
        <v>53</v>
      </c>
      <c r="C11" s="471" t="s">
        <v>54</v>
      </c>
      <c r="D11" s="472"/>
      <c r="E11" s="31">
        <v>39.799999999999997</v>
      </c>
      <c r="F11" s="286">
        <v>1892</v>
      </c>
      <c r="G11" s="277">
        <f>E11*F11</f>
        <v>75301.599999999991</v>
      </c>
      <c r="H11" s="287" t="s">
        <v>103</v>
      </c>
      <c r="I11" s="284">
        <v>17</v>
      </c>
      <c r="J11" s="26">
        <v>1500</v>
      </c>
      <c r="K11" s="10">
        <f t="shared" si="0"/>
        <v>88.235294117647058</v>
      </c>
      <c r="L11" s="284">
        <v>17</v>
      </c>
      <c r="M11" s="11">
        <f>F11/V11*60</f>
        <v>1436.9620253164549</v>
      </c>
      <c r="N11" s="10">
        <f t="shared" si="1"/>
        <v>84.527177959791459</v>
      </c>
      <c r="O11" s="12">
        <f t="shared" si="2"/>
        <v>0</v>
      </c>
      <c r="P11" s="13">
        <f t="shared" si="3"/>
        <v>-3.7081161578555992</v>
      </c>
      <c r="Q11" s="282">
        <f t="shared" si="4"/>
        <v>0.95797468354430326</v>
      </c>
      <c r="R11" s="442"/>
      <c r="S11" s="28">
        <v>0.58680555555555547</v>
      </c>
      <c r="T11" s="28">
        <v>0.64166666666666661</v>
      </c>
      <c r="U11" s="277">
        <f>(S11-T10)*24*60</f>
        <v>115.99999999999991</v>
      </c>
      <c r="V11" s="285">
        <f>(T11-S11)*24*60</f>
        <v>79.000000000000043</v>
      </c>
      <c r="W11" s="16"/>
      <c r="X11" s="16"/>
      <c r="Y11" s="443"/>
      <c r="Z11" s="443"/>
      <c r="AA11" s="12">
        <f t="shared" si="5"/>
        <v>-63.037974683545144</v>
      </c>
      <c r="AB11" s="282">
        <f t="shared" si="6"/>
        <v>0.95797468354430326</v>
      </c>
      <c r="AC11" s="442"/>
    </row>
    <row r="12" spans="1:29" ht="16.5" customHeight="1">
      <c r="A12" s="439" t="s">
        <v>1173</v>
      </c>
      <c r="B12" s="31" t="s">
        <v>1162</v>
      </c>
      <c r="C12" s="446"/>
      <c r="D12" s="446"/>
      <c r="E12" s="276"/>
      <c r="F12" s="26"/>
      <c r="G12" s="11"/>
      <c r="H12" s="286"/>
      <c r="I12" s="19">
        <v>18</v>
      </c>
      <c r="J12" s="26">
        <v>1500</v>
      </c>
      <c r="K12" s="10">
        <f t="shared" si="0"/>
        <v>83.333333333333329</v>
      </c>
      <c r="L12" s="19">
        <v>18</v>
      </c>
      <c r="M12" s="11">
        <f>AVERAGE(M9:M11)</f>
        <v>1425.9673780697922</v>
      </c>
      <c r="N12" s="10">
        <f t="shared" si="1"/>
        <v>79.220409892766227</v>
      </c>
      <c r="O12" s="12">
        <f t="shared" si="2"/>
        <v>0</v>
      </c>
      <c r="P12" s="13">
        <f t="shared" si="3"/>
        <v>-4.1129234405671014</v>
      </c>
      <c r="Q12" s="282">
        <f t="shared" si="4"/>
        <v>0.95064491871319479</v>
      </c>
      <c r="R12" s="442"/>
      <c r="S12" s="28"/>
      <c r="T12" s="28"/>
      <c r="U12" s="10"/>
      <c r="V12" s="285"/>
      <c r="W12" s="10"/>
      <c r="X12" s="10"/>
      <c r="Y12" s="443"/>
      <c r="Z12" s="443"/>
      <c r="AA12" s="12">
        <f t="shared" si="5"/>
        <v>-74.032621930207824</v>
      </c>
      <c r="AB12" s="282">
        <f t="shared" si="6"/>
        <v>0.95064491871319479</v>
      </c>
      <c r="AC12" s="442"/>
    </row>
    <row r="13" spans="1:29" ht="16.5" customHeight="1">
      <c r="A13" s="469" t="s">
        <v>1171</v>
      </c>
      <c r="B13" s="286" t="s">
        <v>56</v>
      </c>
      <c r="C13" s="464" t="s">
        <v>57</v>
      </c>
      <c r="D13" s="464"/>
      <c r="E13" s="31">
        <v>41</v>
      </c>
      <c r="F13" s="286">
        <v>1934</v>
      </c>
      <c r="G13" s="277">
        <f t="shared" ref="G13:G18" si="7">E13*F13</f>
        <v>79294</v>
      </c>
      <c r="H13" s="287" t="s">
        <v>103</v>
      </c>
      <c r="I13" s="284">
        <v>26</v>
      </c>
      <c r="J13" s="26">
        <v>1500</v>
      </c>
      <c r="K13" s="10">
        <f t="shared" si="0"/>
        <v>57.692307692307693</v>
      </c>
      <c r="L13" s="284">
        <v>26</v>
      </c>
      <c r="M13" s="11">
        <f t="shared" ref="M13:M18" si="8">F13/V13*60</f>
        <v>1432.5925925925928</v>
      </c>
      <c r="N13" s="10">
        <f t="shared" si="1"/>
        <v>55.099715099715112</v>
      </c>
      <c r="O13" s="12">
        <f t="shared" si="2"/>
        <v>0</v>
      </c>
      <c r="P13" s="13">
        <f t="shared" si="3"/>
        <v>-2.592592592592581</v>
      </c>
      <c r="Q13" s="282">
        <f t="shared" si="4"/>
        <v>0.95506172839506198</v>
      </c>
      <c r="R13" s="442">
        <f>Q19</f>
        <v>0.95167643522949219</v>
      </c>
      <c r="S13" s="28">
        <v>0.16666666666666666</v>
      </c>
      <c r="T13" s="28">
        <v>0.22291666666666665</v>
      </c>
      <c r="U13" s="277"/>
      <c r="V13" s="285">
        <f t="shared" ref="V13:V18" si="9">(T13-S13)*24*60</f>
        <v>80.999999999999986</v>
      </c>
      <c r="W13" s="16">
        <f>T13</f>
        <v>0.22291666666666665</v>
      </c>
      <c r="X13" s="16">
        <f>S14</f>
        <v>0.24374999999999999</v>
      </c>
      <c r="Y13" s="443"/>
      <c r="Z13" s="443"/>
      <c r="AA13" s="12">
        <f t="shared" si="5"/>
        <v>-67.407407407407163</v>
      </c>
      <c r="AB13" s="282">
        <f t="shared" si="6"/>
        <v>0.95506172839506187</v>
      </c>
      <c r="AC13" s="442">
        <f>AB19</f>
        <v>0.95167643522949219</v>
      </c>
    </row>
    <row r="14" spans="1:29" ht="16.5" customHeight="1">
      <c r="A14" s="470" t="s">
        <v>1171</v>
      </c>
      <c r="B14" s="286" t="s">
        <v>53</v>
      </c>
      <c r="C14" s="464" t="s">
        <v>96</v>
      </c>
      <c r="D14" s="464"/>
      <c r="E14" s="31">
        <v>26.97</v>
      </c>
      <c r="F14" s="286">
        <v>3519</v>
      </c>
      <c r="G14" s="277">
        <f t="shared" si="7"/>
        <v>94907.43</v>
      </c>
      <c r="H14" s="287" t="s">
        <v>103</v>
      </c>
      <c r="I14" s="284">
        <v>8</v>
      </c>
      <c r="J14" s="26">
        <v>1500</v>
      </c>
      <c r="K14" s="10">
        <f t="shared" si="0"/>
        <v>187.5</v>
      </c>
      <c r="L14" s="284">
        <v>8</v>
      </c>
      <c r="M14" s="11">
        <f t="shared" si="8"/>
        <v>1426.6216216216217</v>
      </c>
      <c r="N14" s="10">
        <f t="shared" si="1"/>
        <v>178.32770270270271</v>
      </c>
      <c r="O14" s="12">
        <f t="shared" si="2"/>
        <v>0</v>
      </c>
      <c r="P14" s="13">
        <f t="shared" si="3"/>
        <v>-9.1722972972972912</v>
      </c>
      <c r="Q14" s="282">
        <f t="shared" si="4"/>
        <v>0.95108108108108114</v>
      </c>
      <c r="R14" s="442"/>
      <c r="S14" s="28">
        <v>0.24374999999999999</v>
      </c>
      <c r="T14" s="28">
        <v>0.34652777777777777</v>
      </c>
      <c r="U14" s="277">
        <f>IF(S14=TIME(17,0,0),"",(S14-T13)*24*60)</f>
        <v>30.000000000000014</v>
      </c>
      <c r="V14" s="285">
        <f t="shared" si="9"/>
        <v>148</v>
      </c>
      <c r="W14" s="16"/>
      <c r="X14" s="16"/>
      <c r="Y14" s="443"/>
      <c r="Z14" s="443"/>
      <c r="AA14" s="12">
        <f t="shared" si="5"/>
        <v>-73.378378378378329</v>
      </c>
      <c r="AB14" s="282">
        <f t="shared" si="6"/>
        <v>0.95108108108108114</v>
      </c>
      <c r="AC14" s="442"/>
    </row>
    <row r="15" spans="1:29" ht="16.5" customHeight="1">
      <c r="A15" s="470" t="s">
        <v>1171</v>
      </c>
      <c r="B15" s="286" t="s">
        <v>79</v>
      </c>
      <c r="C15" s="464" t="s">
        <v>95</v>
      </c>
      <c r="D15" s="464"/>
      <c r="E15" s="31">
        <v>35.369999999999997</v>
      </c>
      <c r="F15" s="286">
        <v>1626</v>
      </c>
      <c r="G15" s="277">
        <f t="shared" si="7"/>
        <v>57511.619999999995</v>
      </c>
      <c r="H15" s="287" t="s">
        <v>103</v>
      </c>
      <c r="I15" s="284">
        <v>10</v>
      </c>
      <c r="J15" s="26">
        <v>3000</v>
      </c>
      <c r="K15" s="10">
        <f t="shared" si="0"/>
        <v>300</v>
      </c>
      <c r="L15" s="284">
        <v>10</v>
      </c>
      <c r="M15" s="11">
        <f t="shared" si="8"/>
        <v>2869.4117647058788</v>
      </c>
      <c r="N15" s="10">
        <f t="shared" si="1"/>
        <v>286.94117647058789</v>
      </c>
      <c r="O15" s="12">
        <f t="shared" si="2"/>
        <v>0</v>
      </c>
      <c r="P15" s="13">
        <f t="shared" si="3"/>
        <v>-13.058823529412109</v>
      </c>
      <c r="Q15" s="282">
        <f t="shared" si="4"/>
        <v>0.95647058823529296</v>
      </c>
      <c r="R15" s="442"/>
      <c r="S15" s="28">
        <v>0.35069444444444442</v>
      </c>
      <c r="T15" s="28">
        <v>0.37430555555555556</v>
      </c>
      <c r="U15" s="277">
        <f>IF(S15=TIME(17,0,0),"",(S15-T14)*24*60)</f>
        <v>5.9999999999999787</v>
      </c>
      <c r="V15" s="285">
        <f t="shared" si="9"/>
        <v>34.000000000000043</v>
      </c>
      <c r="W15" s="16"/>
      <c r="X15" s="16"/>
      <c r="Y15" s="443"/>
      <c r="Z15" s="443"/>
      <c r="AA15" s="12">
        <f t="shared" si="5"/>
        <v>-130.5882352941212</v>
      </c>
      <c r="AB15" s="282">
        <f t="shared" si="6"/>
        <v>0.95647058823529296</v>
      </c>
      <c r="AC15" s="442"/>
    </row>
    <row r="16" spans="1:29" ht="16.5" customHeight="1">
      <c r="A16" s="470" t="s">
        <v>1171</v>
      </c>
      <c r="B16" s="286" t="s">
        <v>53</v>
      </c>
      <c r="C16" s="464" t="s">
        <v>107</v>
      </c>
      <c r="D16" s="464"/>
      <c r="E16" s="31">
        <v>39.619999999999997</v>
      </c>
      <c r="F16" s="286">
        <v>5146</v>
      </c>
      <c r="G16" s="277">
        <f t="shared" si="7"/>
        <v>203884.52</v>
      </c>
      <c r="H16" s="287" t="s">
        <v>103</v>
      </c>
      <c r="I16" s="284">
        <v>19</v>
      </c>
      <c r="J16" s="26">
        <v>1500</v>
      </c>
      <c r="K16" s="10">
        <f t="shared" si="0"/>
        <v>78.94736842105263</v>
      </c>
      <c r="L16" s="284">
        <v>19</v>
      </c>
      <c r="M16" s="11">
        <f t="shared" si="8"/>
        <v>1422.8571428571427</v>
      </c>
      <c r="N16" s="10">
        <f t="shared" si="1"/>
        <v>74.887218045112775</v>
      </c>
      <c r="O16" s="12">
        <f t="shared" si="2"/>
        <v>0</v>
      </c>
      <c r="P16" s="13">
        <f t="shared" si="3"/>
        <v>-4.0601503759398554</v>
      </c>
      <c r="Q16" s="282">
        <f t="shared" si="4"/>
        <v>0.94857142857142851</v>
      </c>
      <c r="R16" s="442"/>
      <c r="S16" s="28">
        <v>0.37916666666666665</v>
      </c>
      <c r="T16" s="28">
        <v>0.52986111111111112</v>
      </c>
      <c r="U16" s="277">
        <f>IF(S16=TIME(17,0,0),"",(S16-T15)*24*60)</f>
        <v>6.9999999999999751</v>
      </c>
      <c r="V16" s="285">
        <f t="shared" si="9"/>
        <v>217.00000000000003</v>
      </c>
      <c r="W16" s="16"/>
      <c r="X16" s="16"/>
      <c r="Y16" s="443"/>
      <c r="Z16" s="443"/>
      <c r="AA16" s="12">
        <f t="shared" si="5"/>
        <v>-77.142857142857338</v>
      </c>
      <c r="AB16" s="282">
        <f t="shared" si="6"/>
        <v>0.9485714285714284</v>
      </c>
      <c r="AC16" s="442"/>
    </row>
    <row r="17" spans="1:29" ht="16.5" customHeight="1">
      <c r="A17" s="470" t="s">
        <v>1171</v>
      </c>
      <c r="B17" s="286" t="s">
        <v>58</v>
      </c>
      <c r="C17" s="464" t="s">
        <v>59</v>
      </c>
      <c r="D17" s="464"/>
      <c r="E17" s="31">
        <v>50.98</v>
      </c>
      <c r="F17" s="286">
        <v>3120</v>
      </c>
      <c r="G17" s="277">
        <f t="shared" si="7"/>
        <v>159057.59999999998</v>
      </c>
      <c r="H17" s="287" t="s">
        <v>103</v>
      </c>
      <c r="I17" s="284">
        <v>16</v>
      </c>
      <c r="J17" s="26">
        <v>2000</v>
      </c>
      <c r="K17" s="10">
        <f t="shared" si="0"/>
        <v>125</v>
      </c>
      <c r="L17" s="284">
        <v>16</v>
      </c>
      <c r="M17" s="11">
        <f t="shared" si="8"/>
        <v>1890.9090909090914</v>
      </c>
      <c r="N17" s="10">
        <f t="shared" si="1"/>
        <v>118.18181818181822</v>
      </c>
      <c r="O17" s="12">
        <f t="shared" si="2"/>
        <v>0</v>
      </c>
      <c r="P17" s="13">
        <f t="shared" si="3"/>
        <v>-6.8181818181817846</v>
      </c>
      <c r="Q17" s="282">
        <f t="shared" si="4"/>
        <v>0.94545454545454577</v>
      </c>
      <c r="R17" s="442"/>
      <c r="S17" s="28">
        <v>0.70833333333333337</v>
      </c>
      <c r="T17" s="28">
        <v>0.77708333333333335</v>
      </c>
      <c r="U17" s="277" t="str">
        <f>IF(S17=TIME(17,0,0),"",(S17-T16)*24*60)</f>
        <v/>
      </c>
      <c r="V17" s="285">
        <f t="shared" si="9"/>
        <v>98.999999999999972</v>
      </c>
      <c r="W17" s="16"/>
      <c r="X17" s="16"/>
      <c r="Y17" s="443"/>
      <c r="Z17" s="443"/>
      <c r="AA17" s="12">
        <f t="shared" si="5"/>
        <v>-109.09090909090855</v>
      </c>
      <c r="AB17" s="282">
        <f t="shared" si="6"/>
        <v>0.94545454545454577</v>
      </c>
      <c r="AC17" s="442"/>
    </row>
    <row r="18" spans="1:29" ht="16.5" customHeight="1">
      <c r="A18" s="470" t="s">
        <v>1172</v>
      </c>
      <c r="B18" s="286" t="s">
        <v>58</v>
      </c>
      <c r="C18" s="465" t="s">
        <v>60</v>
      </c>
      <c r="D18" s="466"/>
      <c r="E18" s="31">
        <v>50.92</v>
      </c>
      <c r="F18" s="286">
        <v>3360</v>
      </c>
      <c r="G18" s="277">
        <f t="shared" si="7"/>
        <v>171091.20000000001</v>
      </c>
      <c r="H18" s="287" t="s">
        <v>103</v>
      </c>
      <c r="I18" s="284">
        <v>15</v>
      </c>
      <c r="J18" s="26">
        <v>2000</v>
      </c>
      <c r="K18" s="10">
        <f t="shared" si="0"/>
        <v>133.33333333333334</v>
      </c>
      <c r="L18" s="284">
        <v>15</v>
      </c>
      <c r="M18" s="11">
        <f t="shared" si="8"/>
        <v>1901.8867924528313</v>
      </c>
      <c r="N18" s="10">
        <f t="shared" si="1"/>
        <v>126.79245283018875</v>
      </c>
      <c r="O18" s="12">
        <f t="shared" si="2"/>
        <v>0</v>
      </c>
      <c r="P18" s="13">
        <f t="shared" si="3"/>
        <v>-6.5408805031445922</v>
      </c>
      <c r="Q18" s="282">
        <f t="shared" si="4"/>
        <v>0.95094339622641555</v>
      </c>
      <c r="R18" s="442"/>
      <c r="S18" s="28">
        <v>0.78125</v>
      </c>
      <c r="T18" s="28">
        <v>0.85486111111111107</v>
      </c>
      <c r="U18" s="277">
        <f>IF(S18=TIME(17,0,0),"",(S18-T17)*24*60)</f>
        <v>5.9999999999999787</v>
      </c>
      <c r="V18" s="285">
        <f t="shared" si="9"/>
        <v>105.99999999999994</v>
      </c>
      <c r="W18" s="16"/>
      <c r="X18" s="16"/>
      <c r="Y18" s="447"/>
      <c r="Z18" s="448"/>
      <c r="AA18" s="12">
        <f t="shared" si="5"/>
        <v>-98.113207547168713</v>
      </c>
      <c r="AB18" s="282">
        <f t="shared" si="6"/>
        <v>0.95094339622641566</v>
      </c>
      <c r="AC18" s="442"/>
    </row>
    <row r="19" spans="1:29" ht="16.5" customHeight="1">
      <c r="A19" s="470" t="s">
        <v>1171</v>
      </c>
      <c r="B19" s="31" t="s">
        <v>1162</v>
      </c>
      <c r="C19" s="446"/>
      <c r="D19" s="446"/>
      <c r="E19" s="276"/>
      <c r="F19" s="33"/>
      <c r="G19" s="10"/>
      <c r="H19" s="286"/>
      <c r="I19" s="19">
        <v>15.666666666666666</v>
      </c>
      <c r="J19" s="26">
        <v>1916.6666666666667</v>
      </c>
      <c r="K19" s="10">
        <f t="shared" si="0"/>
        <v>122.3404255319149</v>
      </c>
      <c r="L19" s="19">
        <v>15.666666666666666</v>
      </c>
      <c r="M19" s="11">
        <f>AVERAGE(M13:M18)</f>
        <v>1824.0465008565268</v>
      </c>
      <c r="N19" s="10">
        <f t="shared" si="1"/>
        <v>116.42850005467193</v>
      </c>
      <c r="O19" s="12">
        <f t="shared" si="2"/>
        <v>0</v>
      </c>
      <c r="P19" s="13">
        <f t="shared" si="3"/>
        <v>-5.9119254772429741</v>
      </c>
      <c r="Q19" s="282">
        <f t="shared" si="4"/>
        <v>0.95167643522949219</v>
      </c>
      <c r="R19" s="442"/>
      <c r="S19" s="28"/>
      <c r="T19" s="28"/>
      <c r="U19" s="277"/>
      <c r="V19" s="285"/>
      <c r="W19" s="10"/>
      <c r="X19" s="10"/>
      <c r="Y19" s="443"/>
      <c r="Z19" s="443"/>
      <c r="AA19" s="12">
        <f t="shared" si="5"/>
        <v>-92.620165810139952</v>
      </c>
      <c r="AB19" s="282">
        <f t="shared" si="6"/>
        <v>0.95167643522949219</v>
      </c>
      <c r="AC19" s="442"/>
    </row>
    <row r="20" spans="1:29" ht="15.75" customHeight="1">
      <c r="A20" s="467" t="s">
        <v>1169</v>
      </c>
      <c r="B20" s="31" t="s">
        <v>56</v>
      </c>
      <c r="C20" s="464" t="s">
        <v>61</v>
      </c>
      <c r="D20" s="464"/>
      <c r="E20" s="31">
        <v>43.14</v>
      </c>
      <c r="F20" s="286">
        <v>1309</v>
      </c>
      <c r="G20" s="277">
        <f>E20*F20</f>
        <v>56470.26</v>
      </c>
      <c r="H20" s="287" t="s">
        <v>103</v>
      </c>
      <c r="I20" s="284">
        <v>17</v>
      </c>
      <c r="J20" s="26">
        <v>2000</v>
      </c>
      <c r="K20" s="10">
        <f t="shared" si="0"/>
        <v>117.64705882352941</v>
      </c>
      <c r="L20" s="284">
        <v>17</v>
      </c>
      <c r="M20" s="11">
        <f>F20/V20*60</f>
        <v>1915.6097560975602</v>
      </c>
      <c r="N20" s="10">
        <f t="shared" si="1"/>
        <v>112.68292682926824</v>
      </c>
      <c r="O20" s="12">
        <f t="shared" si="2"/>
        <v>0</v>
      </c>
      <c r="P20" s="13">
        <f t="shared" si="3"/>
        <v>-4.9641319942611659</v>
      </c>
      <c r="Q20" s="282">
        <f t="shared" si="4"/>
        <v>0.95780487804878012</v>
      </c>
      <c r="R20" s="442">
        <f>Q25</f>
        <v>0.95081102055329958</v>
      </c>
      <c r="S20" s="28">
        <v>0.29166666666666669</v>
      </c>
      <c r="T20" s="28">
        <v>0.32013888888888892</v>
      </c>
      <c r="U20" s="277"/>
      <c r="V20" s="285">
        <f>(T20-S20)*24*60</f>
        <v>41.000000000000014</v>
      </c>
      <c r="W20" s="18"/>
      <c r="X20" s="18"/>
      <c r="Y20" s="443"/>
      <c r="Z20" s="443"/>
      <c r="AA20" s="12">
        <f t="shared" si="5"/>
        <v>-84.390243902439806</v>
      </c>
      <c r="AB20" s="282">
        <f t="shared" si="6"/>
        <v>0.95780487804878012</v>
      </c>
      <c r="AC20" s="442">
        <f>AB25</f>
        <v>0.95081102055329958</v>
      </c>
    </row>
    <row r="21" spans="1:29" ht="15.75" customHeight="1">
      <c r="A21" s="468" t="s">
        <v>1169</v>
      </c>
      <c r="B21" s="31" t="s">
        <v>58</v>
      </c>
      <c r="C21" s="464" t="s">
        <v>62</v>
      </c>
      <c r="D21" s="464"/>
      <c r="E21" s="31">
        <v>57.73</v>
      </c>
      <c r="F21" s="286">
        <v>2909</v>
      </c>
      <c r="G21" s="277">
        <f>E21*F21</f>
        <v>167936.56999999998</v>
      </c>
      <c r="H21" s="287" t="s">
        <v>103</v>
      </c>
      <c r="I21" s="284">
        <v>15</v>
      </c>
      <c r="J21" s="26">
        <v>2000</v>
      </c>
      <c r="K21" s="10">
        <f t="shared" si="0"/>
        <v>133.33333333333334</v>
      </c>
      <c r="L21" s="284">
        <v>15</v>
      </c>
      <c r="M21" s="11">
        <f>F21/V21*60</f>
        <v>1897.1739130434783</v>
      </c>
      <c r="N21" s="10">
        <f t="shared" si="1"/>
        <v>126.47826086956522</v>
      </c>
      <c r="O21" s="12">
        <f t="shared" si="2"/>
        <v>0</v>
      </c>
      <c r="P21" s="13">
        <f t="shared" si="3"/>
        <v>-6.8550724637681242</v>
      </c>
      <c r="Q21" s="282">
        <f t="shared" si="4"/>
        <v>0.94858695652173908</v>
      </c>
      <c r="R21" s="442"/>
      <c r="S21" s="28">
        <v>0.32569444444444445</v>
      </c>
      <c r="T21" s="28">
        <v>0.38958333333333334</v>
      </c>
      <c r="U21" s="277">
        <f>IF(S21=TIME(17,0,0),"",(S21-T20)*24*60)</f>
        <v>7.9999999999999716</v>
      </c>
      <c r="V21" s="285">
        <f>(T21-S21)*24*60</f>
        <v>92</v>
      </c>
      <c r="W21" s="16"/>
      <c r="X21" s="277"/>
      <c r="Y21" s="443"/>
      <c r="Z21" s="443"/>
      <c r="AA21" s="12">
        <f t="shared" si="5"/>
        <v>-102.82608695652175</v>
      </c>
      <c r="AB21" s="282">
        <f t="shared" si="6"/>
        <v>0.94858695652173908</v>
      </c>
      <c r="AC21" s="442"/>
    </row>
    <row r="22" spans="1:29" ht="15.75" customHeight="1">
      <c r="A22" s="468" t="s">
        <v>1169</v>
      </c>
      <c r="B22" s="31" t="s">
        <v>58</v>
      </c>
      <c r="C22" s="464" t="s">
        <v>63</v>
      </c>
      <c r="D22" s="464"/>
      <c r="E22" s="31">
        <v>53.68</v>
      </c>
      <c r="F22" s="286">
        <v>1898</v>
      </c>
      <c r="G22" s="277">
        <f>E22*F22</f>
        <v>101884.64</v>
      </c>
      <c r="H22" s="287" t="s">
        <v>103</v>
      </c>
      <c r="I22" s="284">
        <v>16</v>
      </c>
      <c r="J22" s="26">
        <v>2000</v>
      </c>
      <c r="K22" s="10">
        <f t="shared" si="0"/>
        <v>125</v>
      </c>
      <c r="L22" s="284">
        <v>16</v>
      </c>
      <c r="M22" s="11">
        <f>F22/V22*60</f>
        <v>1897.9999999999991</v>
      </c>
      <c r="N22" s="10">
        <f t="shared" si="1"/>
        <v>118.62499999999994</v>
      </c>
      <c r="O22" s="12">
        <f t="shared" si="2"/>
        <v>0</v>
      </c>
      <c r="P22" s="13">
        <f t="shared" si="3"/>
        <v>-6.3750000000000568</v>
      </c>
      <c r="Q22" s="282">
        <f t="shared" si="4"/>
        <v>0.94899999999999951</v>
      </c>
      <c r="R22" s="442"/>
      <c r="S22" s="28">
        <v>0.39305555555555555</v>
      </c>
      <c r="T22" s="28">
        <v>0.43472222222222223</v>
      </c>
      <c r="U22" s="277">
        <f>IF(S22=TIME(17,0,0),"",(S22-T21)*24*60)</f>
        <v>4.9999999999999822</v>
      </c>
      <c r="V22" s="285">
        <f>(T22-S22)*24*60</f>
        <v>60.000000000000028</v>
      </c>
      <c r="W22" s="16"/>
      <c r="X22" s="277"/>
      <c r="Y22" s="443"/>
      <c r="Z22" s="443"/>
      <c r="AA22" s="12">
        <f t="shared" si="5"/>
        <v>-102.00000000000091</v>
      </c>
      <c r="AB22" s="282">
        <f t="shared" si="6"/>
        <v>0.94899999999999951</v>
      </c>
      <c r="AC22" s="442"/>
    </row>
    <row r="23" spans="1:29" ht="15.75" customHeight="1">
      <c r="A23" s="468" t="s">
        <v>1169</v>
      </c>
      <c r="B23" s="31" t="s">
        <v>58</v>
      </c>
      <c r="C23" s="464" t="s">
        <v>1170</v>
      </c>
      <c r="D23" s="464"/>
      <c r="E23" s="31">
        <v>50.81</v>
      </c>
      <c r="F23" s="286">
        <v>3142</v>
      </c>
      <c r="G23" s="277">
        <f>E23*F23</f>
        <v>159645.02000000002</v>
      </c>
      <c r="H23" s="287" t="s">
        <v>103</v>
      </c>
      <c r="I23" s="284">
        <v>17</v>
      </c>
      <c r="J23" s="26">
        <v>2000</v>
      </c>
      <c r="K23" s="10">
        <f t="shared" si="0"/>
        <v>117.64705882352941</v>
      </c>
      <c r="L23" s="284">
        <v>17</v>
      </c>
      <c r="M23" s="11">
        <f>F23/V23*60</f>
        <v>1904.2424242424249</v>
      </c>
      <c r="N23" s="10">
        <f t="shared" si="1"/>
        <v>112.01426024955441</v>
      </c>
      <c r="O23" s="12">
        <f t="shared" si="2"/>
        <v>0</v>
      </c>
      <c r="P23" s="13">
        <f t="shared" si="3"/>
        <v>-5.6327985739749948</v>
      </c>
      <c r="Q23" s="282">
        <f t="shared" si="4"/>
        <v>0.95212121212121259</v>
      </c>
      <c r="R23" s="442"/>
      <c r="S23" s="28">
        <v>0.43819444444444444</v>
      </c>
      <c r="T23" s="28">
        <v>0.50694444444444442</v>
      </c>
      <c r="U23" s="277">
        <f>IF(S23=TIME(17,0,0),"",(S23-T22)*24*60)</f>
        <v>4.9999999999999822</v>
      </c>
      <c r="V23" s="285">
        <f>(T23-S23)*24*60</f>
        <v>98.999999999999972</v>
      </c>
      <c r="W23" s="16"/>
      <c r="X23" s="277"/>
      <c r="Y23" s="443"/>
      <c r="Z23" s="443"/>
      <c r="AA23" s="12">
        <f t="shared" si="5"/>
        <v>-95.757575757575069</v>
      </c>
      <c r="AB23" s="282">
        <f t="shared" si="6"/>
        <v>0.95212121212121248</v>
      </c>
      <c r="AC23" s="442"/>
    </row>
    <row r="24" spans="1:29" ht="15.75" customHeight="1">
      <c r="A24" s="468" t="s">
        <v>1169</v>
      </c>
      <c r="B24" s="31" t="s">
        <v>58</v>
      </c>
      <c r="C24" s="464" t="s">
        <v>65</v>
      </c>
      <c r="D24" s="464"/>
      <c r="E24" s="31">
        <v>54.09</v>
      </c>
      <c r="F24" s="286">
        <v>3376</v>
      </c>
      <c r="G24" s="277">
        <f>E24*F24</f>
        <v>182607.84000000003</v>
      </c>
      <c r="H24" s="287" t="s">
        <v>103</v>
      </c>
      <c r="I24" s="284">
        <v>19</v>
      </c>
      <c r="J24" s="26">
        <v>2000</v>
      </c>
      <c r="K24" s="10">
        <f t="shared" si="0"/>
        <v>105.26315789473684</v>
      </c>
      <c r="L24" s="284">
        <v>19</v>
      </c>
      <c r="M24" s="11">
        <f>F24/V24*60</f>
        <v>1893.0841121495337</v>
      </c>
      <c r="N24" s="10">
        <f t="shared" si="1"/>
        <v>99.636005902607039</v>
      </c>
      <c r="O24" s="12">
        <f t="shared" si="2"/>
        <v>0</v>
      </c>
      <c r="P24" s="13">
        <f t="shared" si="3"/>
        <v>-5.6271519921297966</v>
      </c>
      <c r="Q24" s="282">
        <f t="shared" si="4"/>
        <v>0.94654205607476694</v>
      </c>
      <c r="R24" s="442"/>
      <c r="S24" s="28">
        <v>0.70833333333333337</v>
      </c>
      <c r="T24" s="28">
        <v>0.78263888888888888</v>
      </c>
      <c r="U24" s="277" t="str">
        <f>IF(S24=TIME(17,0,0),"",(S24-T23)*24*60)</f>
        <v/>
      </c>
      <c r="V24" s="285">
        <f>(T24-S24)*24*60</f>
        <v>106.99999999999994</v>
      </c>
      <c r="W24" s="16"/>
      <c r="X24" s="277"/>
      <c r="Y24" s="443"/>
      <c r="Z24" s="443"/>
      <c r="AA24" s="12">
        <f t="shared" si="5"/>
        <v>-106.91588785046633</v>
      </c>
      <c r="AB24" s="282">
        <f t="shared" si="6"/>
        <v>0.94654205607476682</v>
      </c>
      <c r="AC24" s="442"/>
    </row>
    <row r="25" spans="1:29" ht="15.75" customHeight="1">
      <c r="A25" s="468" t="s">
        <v>1169</v>
      </c>
      <c r="B25" s="31" t="s">
        <v>1162</v>
      </c>
      <c r="C25" s="446"/>
      <c r="D25" s="446"/>
      <c r="E25" s="276"/>
      <c r="F25" s="286"/>
      <c r="G25" s="277"/>
      <c r="H25" s="286"/>
      <c r="I25" s="19">
        <v>17</v>
      </c>
      <c r="J25" s="26">
        <v>2000</v>
      </c>
      <c r="K25" s="10">
        <f t="shared" si="0"/>
        <v>117.64705882352941</v>
      </c>
      <c r="L25" s="19">
        <v>17</v>
      </c>
      <c r="M25" s="11">
        <f>AVERAGE(M20:M24)</f>
        <v>1901.6220411065992</v>
      </c>
      <c r="N25" s="10">
        <f t="shared" si="1"/>
        <v>111.86012006509407</v>
      </c>
      <c r="O25" s="12">
        <f t="shared" si="2"/>
        <v>0</v>
      </c>
      <c r="P25" s="13">
        <f t="shared" si="3"/>
        <v>-5.7869387584353404</v>
      </c>
      <c r="Q25" s="282">
        <f t="shared" si="4"/>
        <v>0.95081102055329958</v>
      </c>
      <c r="R25" s="442"/>
      <c r="S25" s="28"/>
      <c r="T25" s="28"/>
      <c r="U25" s="10"/>
      <c r="V25" s="285"/>
      <c r="W25" s="10"/>
      <c r="X25" s="10"/>
      <c r="Y25" s="443"/>
      <c r="Z25" s="443"/>
      <c r="AA25" s="12">
        <f t="shared" si="5"/>
        <v>-98.377958893400773</v>
      </c>
      <c r="AB25" s="282">
        <f t="shared" si="6"/>
        <v>0.95081102055329958</v>
      </c>
      <c r="AC25" s="442"/>
    </row>
    <row r="26" spans="1:29" ht="15.75" customHeight="1">
      <c r="A26" s="463" t="s">
        <v>1168</v>
      </c>
      <c r="B26" s="31" t="s">
        <v>67</v>
      </c>
      <c r="C26" s="464" t="s">
        <v>68</v>
      </c>
      <c r="D26" s="464"/>
      <c r="E26" s="31">
        <v>26.2</v>
      </c>
      <c r="F26" s="286">
        <v>5259</v>
      </c>
      <c r="G26" s="277">
        <f t="shared" ref="G26:G35" si="10">E26*F26</f>
        <v>137785.79999999999</v>
      </c>
      <c r="H26" s="287" t="s">
        <v>103</v>
      </c>
      <c r="I26" s="284">
        <v>20</v>
      </c>
      <c r="J26" s="26">
        <v>2400</v>
      </c>
      <c r="K26" s="10">
        <f t="shared" si="0"/>
        <v>120</v>
      </c>
      <c r="L26" s="284">
        <v>20</v>
      </c>
      <c r="M26" s="11">
        <f t="shared" ref="M26:M35" si="11">F26/V26*60</f>
        <v>2286.5217391304354</v>
      </c>
      <c r="N26" s="10">
        <f t="shared" si="1"/>
        <v>114.32608695652178</v>
      </c>
      <c r="O26" s="12">
        <f t="shared" si="2"/>
        <v>0</v>
      </c>
      <c r="P26" s="13">
        <f t="shared" si="3"/>
        <v>-5.6739130434782226</v>
      </c>
      <c r="Q26" s="282">
        <f t="shared" si="4"/>
        <v>0.95271739130434818</v>
      </c>
      <c r="R26" s="442">
        <f>Q36</f>
        <v>0.95426305498876329</v>
      </c>
      <c r="S26" s="28">
        <v>8.3333333333333329E-2</v>
      </c>
      <c r="T26" s="28">
        <v>0.17916666666666664</v>
      </c>
      <c r="U26" s="277"/>
      <c r="V26" s="285">
        <f t="shared" ref="V26:V35" si="12">(T26-S26)*24*60</f>
        <v>137.99999999999997</v>
      </c>
      <c r="W26" s="16">
        <f>T26</f>
        <v>0.17916666666666664</v>
      </c>
      <c r="X26" s="16">
        <f>S27</f>
        <v>0.19791666666666666</v>
      </c>
      <c r="Y26" s="443"/>
      <c r="Z26" s="443"/>
      <c r="AA26" s="12">
        <f t="shared" si="5"/>
        <v>-113.47826086956456</v>
      </c>
      <c r="AB26" s="282">
        <f t="shared" si="6"/>
        <v>0.95271739130434807</v>
      </c>
      <c r="AC26" s="442">
        <f>AB36</f>
        <v>0.95426305498876307</v>
      </c>
    </row>
    <row r="27" spans="1:29" ht="15.75" customHeight="1">
      <c r="A27" s="463" t="s">
        <v>1168</v>
      </c>
      <c r="B27" s="31" t="s">
        <v>67</v>
      </c>
      <c r="C27" s="464" t="s">
        <v>69</v>
      </c>
      <c r="D27" s="464"/>
      <c r="E27" s="31">
        <v>31.29</v>
      </c>
      <c r="F27" s="286">
        <v>5800</v>
      </c>
      <c r="G27" s="277">
        <f t="shared" si="10"/>
        <v>181482</v>
      </c>
      <c r="H27" s="287">
        <v>2</v>
      </c>
      <c r="I27" s="284">
        <v>18</v>
      </c>
      <c r="J27" s="26">
        <v>2400</v>
      </c>
      <c r="K27" s="10">
        <f t="shared" si="0"/>
        <v>133.33333333333334</v>
      </c>
      <c r="L27" s="284">
        <v>18</v>
      </c>
      <c r="M27" s="11">
        <f t="shared" si="11"/>
        <v>2274.5098039215686</v>
      </c>
      <c r="N27" s="10">
        <f t="shared" si="1"/>
        <v>126.36165577342048</v>
      </c>
      <c r="O27" s="12">
        <f t="shared" si="2"/>
        <v>0</v>
      </c>
      <c r="P27" s="13">
        <f t="shared" si="3"/>
        <v>-6.9716775599128624</v>
      </c>
      <c r="Q27" s="282">
        <f t="shared" si="4"/>
        <v>0.94771241830065356</v>
      </c>
      <c r="R27" s="442"/>
      <c r="S27" s="28">
        <v>0.19791666666666666</v>
      </c>
      <c r="T27" s="28">
        <v>0.30416666666666664</v>
      </c>
      <c r="U27" s="277">
        <f t="shared" ref="U27:U35" si="13">(S27-T26)*24*60</f>
        <v>27.000000000000025</v>
      </c>
      <c r="V27" s="285">
        <f t="shared" si="12"/>
        <v>153</v>
      </c>
      <c r="W27" s="16"/>
      <c r="X27" s="16"/>
      <c r="Y27" s="443"/>
      <c r="Z27" s="443"/>
      <c r="AA27" s="12">
        <f t="shared" si="5"/>
        <v>-125.49019607843138</v>
      </c>
      <c r="AB27" s="282">
        <f t="shared" si="6"/>
        <v>0.94771241830065356</v>
      </c>
      <c r="AC27" s="442"/>
    </row>
    <row r="28" spans="1:29" ht="15.75" customHeight="1">
      <c r="A28" s="463" t="s">
        <v>1168</v>
      </c>
      <c r="B28" s="31" t="s">
        <v>67</v>
      </c>
      <c r="C28" s="464" t="s">
        <v>101</v>
      </c>
      <c r="D28" s="464"/>
      <c r="E28" s="31">
        <v>25</v>
      </c>
      <c r="F28" s="286">
        <v>3300</v>
      </c>
      <c r="G28" s="277">
        <f t="shared" si="10"/>
        <v>82500</v>
      </c>
      <c r="H28" s="287">
        <v>2</v>
      </c>
      <c r="I28" s="284">
        <v>15</v>
      </c>
      <c r="J28" s="26">
        <v>2400</v>
      </c>
      <c r="K28" s="10">
        <f t="shared" si="0"/>
        <v>160</v>
      </c>
      <c r="L28" s="284">
        <v>15</v>
      </c>
      <c r="M28" s="11">
        <f t="shared" si="11"/>
        <v>2275.8620689655168</v>
      </c>
      <c r="N28" s="10">
        <f t="shared" si="1"/>
        <v>151.72413793103445</v>
      </c>
      <c r="O28" s="12">
        <f t="shared" si="2"/>
        <v>0</v>
      </c>
      <c r="P28" s="13">
        <f t="shared" si="3"/>
        <v>-8.2758620689655515</v>
      </c>
      <c r="Q28" s="282">
        <f t="shared" si="4"/>
        <v>0.9482758620689653</v>
      </c>
      <c r="R28" s="442"/>
      <c r="S28" s="28">
        <v>0.30902777777777773</v>
      </c>
      <c r="T28" s="28">
        <v>0.36944444444444441</v>
      </c>
      <c r="U28" s="277">
        <f t="shared" si="13"/>
        <v>6.9999999999999751</v>
      </c>
      <c r="V28" s="285">
        <f t="shared" si="12"/>
        <v>87.000000000000014</v>
      </c>
      <c r="W28" s="16"/>
      <c r="X28" s="16"/>
      <c r="Y28" s="443"/>
      <c r="Z28" s="443"/>
      <c r="AA28" s="12">
        <f t="shared" si="5"/>
        <v>-124.13793103448324</v>
      </c>
      <c r="AB28" s="282">
        <f t="shared" si="6"/>
        <v>0.9482758620689653</v>
      </c>
      <c r="AC28" s="442"/>
    </row>
    <row r="29" spans="1:29" ht="15.75" customHeight="1">
      <c r="A29" s="463" t="s">
        <v>1168</v>
      </c>
      <c r="B29" s="31" t="s">
        <v>67</v>
      </c>
      <c r="C29" s="464" t="s">
        <v>165</v>
      </c>
      <c r="D29" s="464"/>
      <c r="E29" s="31">
        <v>26.18</v>
      </c>
      <c r="F29" s="286">
        <v>3250</v>
      </c>
      <c r="G29" s="277">
        <f t="shared" si="10"/>
        <v>85085</v>
      </c>
      <c r="H29" s="287">
        <v>2</v>
      </c>
      <c r="I29" s="284">
        <v>19</v>
      </c>
      <c r="J29" s="26">
        <v>2400</v>
      </c>
      <c r="K29" s="10">
        <f t="shared" si="0"/>
        <v>126.31578947368421</v>
      </c>
      <c r="L29" s="284">
        <v>19</v>
      </c>
      <c r="M29" s="11">
        <f t="shared" si="11"/>
        <v>2294.117647058823</v>
      </c>
      <c r="N29" s="10">
        <f t="shared" si="1"/>
        <v>120.74303405572752</v>
      </c>
      <c r="O29" s="12">
        <f t="shared" si="2"/>
        <v>0</v>
      </c>
      <c r="P29" s="13">
        <f t="shared" si="3"/>
        <v>-5.5727554179566852</v>
      </c>
      <c r="Q29" s="282">
        <f t="shared" si="4"/>
        <v>0.95588235294117629</v>
      </c>
      <c r="R29" s="442"/>
      <c r="S29" s="28">
        <v>0.37291666666666662</v>
      </c>
      <c r="T29" s="28">
        <v>0.43194444444444441</v>
      </c>
      <c r="U29" s="277">
        <f t="shared" si="13"/>
        <v>4.9999999999999822</v>
      </c>
      <c r="V29" s="285">
        <f t="shared" si="12"/>
        <v>85.000000000000014</v>
      </c>
      <c r="W29" s="16"/>
      <c r="X29" s="16"/>
      <c r="Y29" s="443"/>
      <c r="Z29" s="443"/>
      <c r="AA29" s="12">
        <f t="shared" si="5"/>
        <v>-105.88235294117703</v>
      </c>
      <c r="AB29" s="282">
        <f t="shared" si="6"/>
        <v>0.95588235294117618</v>
      </c>
      <c r="AC29" s="442"/>
    </row>
    <row r="30" spans="1:29" ht="15.75" customHeight="1">
      <c r="A30" s="463" t="s">
        <v>1168</v>
      </c>
      <c r="B30" s="31" t="s">
        <v>67</v>
      </c>
      <c r="C30" s="464" t="s">
        <v>77</v>
      </c>
      <c r="D30" s="464"/>
      <c r="E30" s="31">
        <v>26.2</v>
      </c>
      <c r="F30" s="286">
        <v>3200</v>
      </c>
      <c r="G30" s="277">
        <f t="shared" si="10"/>
        <v>83840</v>
      </c>
      <c r="H30" s="287">
        <v>2</v>
      </c>
      <c r="I30" s="284">
        <v>19</v>
      </c>
      <c r="J30" s="26">
        <v>2400</v>
      </c>
      <c r="K30" s="10">
        <f t="shared" si="0"/>
        <v>126.31578947368421</v>
      </c>
      <c r="L30" s="284">
        <v>19</v>
      </c>
      <c r="M30" s="11">
        <f t="shared" si="11"/>
        <v>2285.7142857142849</v>
      </c>
      <c r="N30" s="10">
        <f t="shared" si="1"/>
        <v>120.30075187969921</v>
      </c>
      <c r="O30" s="12">
        <f t="shared" si="2"/>
        <v>0</v>
      </c>
      <c r="P30" s="13">
        <f t="shared" si="3"/>
        <v>-6.0150375939849994</v>
      </c>
      <c r="Q30" s="282">
        <f t="shared" si="4"/>
        <v>0.95238095238095211</v>
      </c>
      <c r="R30" s="442"/>
      <c r="S30" s="28">
        <v>0.43749999999999994</v>
      </c>
      <c r="T30" s="28">
        <v>0.49583333333333329</v>
      </c>
      <c r="U30" s="277">
        <f t="shared" si="13"/>
        <v>7.9999999999999716</v>
      </c>
      <c r="V30" s="285">
        <f t="shared" si="12"/>
        <v>84.000000000000028</v>
      </c>
      <c r="W30" s="16"/>
      <c r="X30" s="16"/>
      <c r="Y30" s="443"/>
      <c r="Z30" s="443"/>
      <c r="AA30" s="12">
        <f t="shared" si="5"/>
        <v>-114.28571428571513</v>
      </c>
      <c r="AB30" s="282">
        <f t="shared" si="6"/>
        <v>0.952380952380952</v>
      </c>
      <c r="AC30" s="442"/>
    </row>
    <row r="31" spans="1:29" ht="15.75" customHeight="1">
      <c r="A31" s="463" t="s">
        <v>1168</v>
      </c>
      <c r="B31" s="31" t="s">
        <v>67</v>
      </c>
      <c r="C31" s="464" t="s">
        <v>78</v>
      </c>
      <c r="D31" s="464"/>
      <c r="E31" s="31">
        <v>25.98</v>
      </c>
      <c r="F31" s="286">
        <v>1750</v>
      </c>
      <c r="G31" s="277">
        <f t="shared" si="10"/>
        <v>45465</v>
      </c>
      <c r="H31" s="287">
        <v>2</v>
      </c>
      <c r="I31" s="284">
        <v>17</v>
      </c>
      <c r="J31" s="26">
        <v>2400</v>
      </c>
      <c r="K31" s="10">
        <f t="shared" si="0"/>
        <v>141.1764705882353</v>
      </c>
      <c r="L31" s="284">
        <v>17</v>
      </c>
      <c r="M31" s="11">
        <f t="shared" si="11"/>
        <v>2282.608695652174</v>
      </c>
      <c r="N31" s="10">
        <f t="shared" si="1"/>
        <v>134.27109974424553</v>
      </c>
      <c r="O31" s="12">
        <f t="shared" si="2"/>
        <v>0</v>
      </c>
      <c r="P31" s="13">
        <f t="shared" si="3"/>
        <v>-6.9053708439897719</v>
      </c>
      <c r="Q31" s="282">
        <f t="shared" si="4"/>
        <v>0.95108695652173914</v>
      </c>
      <c r="R31" s="442"/>
      <c r="S31" s="28">
        <v>0.50138888888888888</v>
      </c>
      <c r="T31" s="28">
        <v>0.53333333333333333</v>
      </c>
      <c r="U31" s="277">
        <f t="shared" si="13"/>
        <v>8.0000000000000515</v>
      </c>
      <c r="V31" s="285">
        <f t="shared" si="12"/>
        <v>46</v>
      </c>
      <c r="W31" s="16"/>
      <c r="X31" s="16"/>
      <c r="Y31" s="443"/>
      <c r="Z31" s="443"/>
      <c r="AA31" s="12">
        <f t="shared" si="5"/>
        <v>-117.39130434782601</v>
      </c>
      <c r="AB31" s="282">
        <f t="shared" si="6"/>
        <v>0.95108695652173914</v>
      </c>
      <c r="AC31" s="442"/>
    </row>
    <row r="32" spans="1:29" ht="15.75" customHeight="1">
      <c r="A32" s="463" t="s">
        <v>1168</v>
      </c>
      <c r="B32" s="31" t="s">
        <v>67</v>
      </c>
      <c r="C32" s="464" t="s">
        <v>71</v>
      </c>
      <c r="D32" s="464"/>
      <c r="E32" s="31">
        <v>22.35</v>
      </c>
      <c r="F32" s="286">
        <v>3138</v>
      </c>
      <c r="G32" s="277">
        <f t="shared" si="10"/>
        <v>70134.3</v>
      </c>
      <c r="H32" s="287" t="s">
        <v>103</v>
      </c>
      <c r="I32" s="284">
        <v>16</v>
      </c>
      <c r="J32" s="26">
        <v>2400</v>
      </c>
      <c r="K32" s="10">
        <f t="shared" si="0"/>
        <v>150</v>
      </c>
      <c r="L32" s="284">
        <v>16</v>
      </c>
      <c r="M32" s="11">
        <f t="shared" si="11"/>
        <v>2296.0975609756088</v>
      </c>
      <c r="N32" s="10">
        <f t="shared" si="1"/>
        <v>143.50609756097555</v>
      </c>
      <c r="O32" s="12">
        <f t="shared" si="2"/>
        <v>0</v>
      </c>
      <c r="P32" s="13">
        <f t="shared" si="3"/>
        <v>-6.4939024390244526</v>
      </c>
      <c r="Q32" s="282">
        <f t="shared" si="4"/>
        <v>0.95670731707317036</v>
      </c>
      <c r="R32" s="442"/>
      <c r="S32" s="28">
        <v>0.53888888888888886</v>
      </c>
      <c r="T32" s="28">
        <v>0.59583333333333333</v>
      </c>
      <c r="U32" s="277">
        <f t="shared" si="13"/>
        <v>7.9999999999999716</v>
      </c>
      <c r="V32" s="285">
        <f t="shared" si="12"/>
        <v>82.000000000000028</v>
      </c>
      <c r="W32" s="16"/>
      <c r="X32" s="16"/>
      <c r="Y32" s="443"/>
      <c r="Z32" s="443"/>
      <c r="AA32" s="12">
        <f t="shared" si="5"/>
        <v>-103.90243902439124</v>
      </c>
      <c r="AB32" s="282">
        <f t="shared" si="6"/>
        <v>0.95670731707317036</v>
      </c>
      <c r="AC32" s="442"/>
    </row>
    <row r="33" spans="1:29" ht="15.75" customHeight="1">
      <c r="A33" s="463" t="s">
        <v>1168</v>
      </c>
      <c r="B33" s="31" t="s">
        <v>67</v>
      </c>
      <c r="C33" s="464" t="s">
        <v>69</v>
      </c>
      <c r="D33" s="464"/>
      <c r="E33" s="31">
        <v>31.29</v>
      </c>
      <c r="F33" s="286">
        <v>4350</v>
      </c>
      <c r="G33" s="277">
        <f t="shared" si="10"/>
        <v>136111.5</v>
      </c>
      <c r="H33" s="287" t="s">
        <v>103</v>
      </c>
      <c r="I33" s="284">
        <v>18</v>
      </c>
      <c r="J33" s="26">
        <v>2400</v>
      </c>
      <c r="K33" s="10">
        <f t="shared" si="0"/>
        <v>133.33333333333334</v>
      </c>
      <c r="L33" s="284">
        <v>18</v>
      </c>
      <c r="M33" s="11">
        <f t="shared" si="11"/>
        <v>2289.4736842105281</v>
      </c>
      <c r="N33" s="10">
        <f t="shared" si="1"/>
        <v>127.19298245614044</v>
      </c>
      <c r="O33" s="12">
        <f t="shared" si="2"/>
        <v>0</v>
      </c>
      <c r="P33" s="13">
        <f t="shared" si="3"/>
        <v>-6.1403508771929012</v>
      </c>
      <c r="Q33" s="282">
        <f t="shared" si="4"/>
        <v>0.95394736842105321</v>
      </c>
      <c r="R33" s="442"/>
      <c r="S33" s="28">
        <v>0.60069444444444442</v>
      </c>
      <c r="T33" s="28">
        <v>0.67986111111111103</v>
      </c>
      <c r="U33" s="277">
        <f t="shared" si="13"/>
        <v>6.9999999999999751</v>
      </c>
      <c r="V33" s="285">
        <f t="shared" si="12"/>
        <v>113.99999999999991</v>
      </c>
      <c r="W33" s="16"/>
      <c r="X33" s="16"/>
      <c r="Y33" s="443"/>
      <c r="Z33" s="443"/>
      <c r="AA33" s="12">
        <f t="shared" si="5"/>
        <v>-110.52631578947194</v>
      </c>
      <c r="AB33" s="282">
        <f t="shared" si="6"/>
        <v>0.95394736842105332</v>
      </c>
      <c r="AC33" s="442"/>
    </row>
    <row r="34" spans="1:29" ht="15.75" customHeight="1">
      <c r="A34" s="463" t="s">
        <v>1168</v>
      </c>
      <c r="B34" s="31" t="s">
        <v>67</v>
      </c>
      <c r="C34" s="465" t="s">
        <v>78</v>
      </c>
      <c r="D34" s="466"/>
      <c r="E34" s="31">
        <v>25.98</v>
      </c>
      <c r="F34" s="286">
        <v>1206</v>
      </c>
      <c r="G34" s="277">
        <f t="shared" si="10"/>
        <v>31331.88</v>
      </c>
      <c r="H34" s="287" t="s">
        <v>103</v>
      </c>
      <c r="I34" s="284">
        <v>17</v>
      </c>
      <c r="J34" s="26">
        <v>2400</v>
      </c>
      <c r="K34" s="10">
        <f t="shared" si="0"/>
        <v>141.1764705882353</v>
      </c>
      <c r="L34" s="284">
        <v>17</v>
      </c>
      <c r="M34" s="11">
        <f t="shared" si="11"/>
        <v>2334.193548387093</v>
      </c>
      <c r="N34" s="10">
        <f t="shared" si="1"/>
        <v>137.30550284629959</v>
      </c>
      <c r="O34" s="12">
        <f t="shared" si="2"/>
        <v>0</v>
      </c>
      <c r="P34" s="13">
        <f t="shared" si="3"/>
        <v>-3.8709677419357149</v>
      </c>
      <c r="Q34" s="282">
        <f t="shared" si="4"/>
        <v>0.97258064516128873</v>
      </c>
      <c r="R34" s="442"/>
      <c r="S34" s="28">
        <v>0.68472222222222212</v>
      </c>
      <c r="T34" s="28">
        <v>0.70624999999999993</v>
      </c>
      <c r="U34" s="277">
        <f t="shared" si="13"/>
        <v>6.9999999999999751</v>
      </c>
      <c r="V34" s="285">
        <f t="shared" si="12"/>
        <v>31.00000000000005</v>
      </c>
      <c r="W34" s="16"/>
      <c r="X34" s="16"/>
      <c r="Y34" s="447"/>
      <c r="Z34" s="448"/>
      <c r="AA34" s="12">
        <f t="shared" si="5"/>
        <v>-65.80645161290704</v>
      </c>
      <c r="AB34" s="282">
        <f t="shared" si="6"/>
        <v>0.97258064516128873</v>
      </c>
      <c r="AC34" s="442"/>
    </row>
    <row r="35" spans="1:29" ht="15.75" customHeight="1">
      <c r="A35" s="463" t="s">
        <v>1168</v>
      </c>
      <c r="B35" s="31" t="s">
        <v>67</v>
      </c>
      <c r="C35" s="465" t="s">
        <v>165</v>
      </c>
      <c r="D35" s="466"/>
      <c r="E35" s="31">
        <v>26.18</v>
      </c>
      <c r="F35" s="286">
        <v>2131</v>
      </c>
      <c r="G35" s="277">
        <f t="shared" si="10"/>
        <v>55789.58</v>
      </c>
      <c r="H35" s="287" t="s">
        <v>103</v>
      </c>
      <c r="I35" s="284">
        <v>19</v>
      </c>
      <c r="J35" s="26">
        <v>2400</v>
      </c>
      <c r="K35" s="10">
        <f t="shared" si="0"/>
        <v>126.31578947368421</v>
      </c>
      <c r="L35" s="284">
        <v>19</v>
      </c>
      <c r="M35" s="11">
        <f t="shared" si="11"/>
        <v>2283.2142857142876</v>
      </c>
      <c r="N35" s="10">
        <f t="shared" si="1"/>
        <v>120.16917293233092</v>
      </c>
      <c r="O35" s="12">
        <f t="shared" si="2"/>
        <v>0</v>
      </c>
      <c r="P35" s="13">
        <f t="shared" si="3"/>
        <v>-6.1466165413532821</v>
      </c>
      <c r="Q35" s="282">
        <f t="shared" si="4"/>
        <v>0.9513392857142865</v>
      </c>
      <c r="R35" s="442"/>
      <c r="S35" s="28">
        <v>0.70972222222222214</v>
      </c>
      <c r="T35" s="28">
        <v>0.74861111111111101</v>
      </c>
      <c r="U35" s="277">
        <f t="shared" si="13"/>
        <v>4.9999999999999822</v>
      </c>
      <c r="V35" s="285">
        <f t="shared" si="12"/>
        <v>55.999999999999957</v>
      </c>
      <c r="W35" s="16"/>
      <c r="X35" s="16"/>
      <c r="Y35" s="447"/>
      <c r="Z35" s="448"/>
      <c r="AA35" s="12">
        <f t="shared" si="5"/>
        <v>-116.7857142857124</v>
      </c>
      <c r="AB35" s="282">
        <f t="shared" si="6"/>
        <v>0.9513392857142865</v>
      </c>
      <c r="AC35" s="442"/>
    </row>
    <row r="36" spans="1:29" ht="15.75" customHeight="1">
      <c r="A36" s="463" t="s">
        <v>1168</v>
      </c>
      <c r="B36" s="31" t="s">
        <v>1162</v>
      </c>
      <c r="C36" s="446"/>
      <c r="D36" s="446"/>
      <c r="E36" s="276"/>
      <c r="F36" s="286"/>
      <c r="G36" s="277"/>
      <c r="H36" s="286"/>
      <c r="I36" s="19">
        <v>17.8</v>
      </c>
      <c r="J36" s="26">
        <v>2400</v>
      </c>
      <c r="K36" s="10">
        <f t="shared" si="0"/>
        <v>134.83146067415728</v>
      </c>
      <c r="L36" s="19">
        <v>17.8</v>
      </c>
      <c r="M36" s="11">
        <f>AVERAGE(M26:M35)</f>
        <v>2290.2313319730315</v>
      </c>
      <c r="N36" s="10">
        <f t="shared" si="1"/>
        <v>128.66468157151863</v>
      </c>
      <c r="O36" s="12">
        <f t="shared" si="2"/>
        <v>0</v>
      </c>
      <c r="P36" s="13">
        <f t="shared" si="3"/>
        <v>-6.1667791026386567</v>
      </c>
      <c r="Q36" s="282">
        <f t="shared" si="4"/>
        <v>0.95426305498876329</v>
      </c>
      <c r="R36" s="442"/>
      <c r="S36" s="28"/>
      <c r="T36" s="28"/>
      <c r="U36" s="277"/>
      <c r="V36" s="285"/>
      <c r="W36" s="18"/>
      <c r="X36" s="18"/>
      <c r="Y36" s="443"/>
      <c r="Z36" s="443"/>
      <c r="AA36" s="12">
        <f t="shared" si="5"/>
        <v>-109.7686680269685</v>
      </c>
      <c r="AB36" s="282">
        <f t="shared" si="6"/>
        <v>0.95426305498876307</v>
      </c>
      <c r="AC36" s="442"/>
    </row>
    <row r="37" spans="1:29" ht="15.75" customHeight="1">
      <c r="A37" s="461" t="s">
        <v>1166</v>
      </c>
      <c r="B37" s="31" t="s">
        <v>67</v>
      </c>
      <c r="C37" s="441" t="s">
        <v>73</v>
      </c>
      <c r="D37" s="441"/>
      <c r="E37" s="31">
        <v>26.2</v>
      </c>
      <c r="F37" s="286">
        <v>4400</v>
      </c>
      <c r="G37" s="277">
        <f t="shared" ref="G37:G47" si="14">E37*F37</f>
        <v>115280</v>
      </c>
      <c r="H37" s="287">
        <v>2</v>
      </c>
      <c r="I37" s="284">
        <v>18</v>
      </c>
      <c r="J37" s="26">
        <v>2400</v>
      </c>
      <c r="K37" s="10">
        <f t="shared" ref="K37:K68" si="15">J37/I37</f>
        <v>133.33333333333334</v>
      </c>
      <c r="L37" s="284">
        <v>18</v>
      </c>
      <c r="M37" s="11">
        <f t="shared" ref="M37:M47" si="16">F37/V37*60</f>
        <v>2275.8620689655172</v>
      </c>
      <c r="N37" s="10">
        <f t="shared" ref="N37:N68" si="17">M37/L37</f>
        <v>126.43678160919541</v>
      </c>
      <c r="O37" s="12">
        <f t="shared" ref="O37:O68" si="18">L37-I37</f>
        <v>0</v>
      </c>
      <c r="P37" s="13">
        <f t="shared" ref="P37:P68" si="19">N37-K37</f>
        <v>-6.8965517241379359</v>
      </c>
      <c r="Q37" s="282">
        <f t="shared" ref="Q37:Q68" si="20">N37/K37</f>
        <v>0.94827586206896552</v>
      </c>
      <c r="R37" s="442">
        <f>Q48</f>
        <v>0.95323551115707761</v>
      </c>
      <c r="S37" s="28">
        <v>8.3333333333333329E-2</v>
      </c>
      <c r="T37" s="28">
        <v>0.16388888888888889</v>
      </c>
      <c r="U37" s="277"/>
      <c r="V37" s="285">
        <f t="shared" ref="V37:V47" si="21">(T37-S37)*24*60</f>
        <v>116.00000000000001</v>
      </c>
      <c r="W37" s="16">
        <f>T37</f>
        <v>0.16388888888888889</v>
      </c>
      <c r="X37" s="16">
        <f>S38</f>
        <v>0.18541666666666667</v>
      </c>
      <c r="Y37" s="443"/>
      <c r="Z37" s="443"/>
      <c r="AA37" s="12">
        <f t="shared" ref="AA37:AA68" si="22">M37-J37</f>
        <v>-124.13793103448279</v>
      </c>
      <c r="AB37" s="282">
        <f t="shared" ref="AB37:AB68" si="23">M37/J37</f>
        <v>0.94827586206896552</v>
      </c>
      <c r="AC37" s="442">
        <f>AB48</f>
        <v>0.95323551115707761</v>
      </c>
    </row>
    <row r="38" spans="1:29" ht="15.75" customHeight="1">
      <c r="A38" s="461" t="s">
        <v>1166</v>
      </c>
      <c r="B38" s="31" t="s">
        <v>67</v>
      </c>
      <c r="C38" s="441" t="s">
        <v>74</v>
      </c>
      <c r="D38" s="441"/>
      <c r="E38" s="31">
        <v>24.45</v>
      </c>
      <c r="F38" s="286">
        <v>2539</v>
      </c>
      <c r="G38" s="277">
        <f t="shared" si="14"/>
        <v>62078.549999999996</v>
      </c>
      <c r="H38" s="287" t="s">
        <v>103</v>
      </c>
      <c r="I38" s="284">
        <v>20</v>
      </c>
      <c r="J38" s="26">
        <v>2400</v>
      </c>
      <c r="K38" s="10">
        <f t="shared" si="15"/>
        <v>120</v>
      </c>
      <c r="L38" s="284">
        <v>20</v>
      </c>
      <c r="M38" s="11">
        <f t="shared" si="16"/>
        <v>2273.7313432835822</v>
      </c>
      <c r="N38" s="10">
        <f t="shared" si="17"/>
        <v>113.68656716417911</v>
      </c>
      <c r="O38" s="12">
        <f t="shared" si="18"/>
        <v>0</v>
      </c>
      <c r="P38" s="13">
        <f t="shared" si="19"/>
        <v>-6.3134328358208904</v>
      </c>
      <c r="Q38" s="282">
        <f t="shared" si="20"/>
        <v>0.94738805970149254</v>
      </c>
      <c r="R38" s="442"/>
      <c r="S38" s="28">
        <v>0.18541666666666667</v>
      </c>
      <c r="T38" s="28">
        <v>0.23194444444444445</v>
      </c>
      <c r="U38" s="277">
        <f t="shared" ref="U38:U47" si="24">(S38-T37)*24*60</f>
        <v>31.000000000000011</v>
      </c>
      <c r="V38" s="285">
        <f t="shared" si="21"/>
        <v>67</v>
      </c>
      <c r="W38" s="277"/>
      <c r="X38" s="277"/>
      <c r="Y38" s="443"/>
      <c r="Z38" s="443"/>
      <c r="AA38" s="12">
        <f t="shared" si="22"/>
        <v>-126.26865671641781</v>
      </c>
      <c r="AB38" s="282">
        <f t="shared" si="23"/>
        <v>0.94738805970149254</v>
      </c>
      <c r="AC38" s="442"/>
    </row>
    <row r="39" spans="1:29">
      <c r="A39" s="462" t="s">
        <v>1166</v>
      </c>
      <c r="B39" s="31" t="s">
        <v>67</v>
      </c>
      <c r="C39" s="441" t="s">
        <v>75</v>
      </c>
      <c r="D39" s="441"/>
      <c r="E39" s="31">
        <v>26.39</v>
      </c>
      <c r="F39" s="286">
        <v>4200</v>
      </c>
      <c r="G39" s="277">
        <f t="shared" si="14"/>
        <v>110838</v>
      </c>
      <c r="H39" s="287">
        <v>2</v>
      </c>
      <c r="I39" s="284">
        <v>19</v>
      </c>
      <c r="J39" s="26">
        <v>2400</v>
      </c>
      <c r="K39" s="10">
        <f t="shared" si="15"/>
        <v>126.31578947368421</v>
      </c>
      <c r="L39" s="284">
        <v>19</v>
      </c>
      <c r="M39" s="11">
        <f t="shared" si="16"/>
        <v>2290.909090909091</v>
      </c>
      <c r="N39" s="10">
        <f t="shared" si="17"/>
        <v>120.57416267942584</v>
      </c>
      <c r="O39" s="12">
        <f t="shared" si="18"/>
        <v>0</v>
      </c>
      <c r="P39" s="13">
        <f t="shared" si="19"/>
        <v>-5.7416267942583659</v>
      </c>
      <c r="Q39" s="282">
        <f t="shared" si="20"/>
        <v>0.95454545454545459</v>
      </c>
      <c r="R39" s="442"/>
      <c r="S39" s="28">
        <v>0.23541666666666666</v>
      </c>
      <c r="T39" s="28">
        <v>0.31180555555555556</v>
      </c>
      <c r="U39" s="277">
        <f t="shared" si="24"/>
        <v>4.9999999999999822</v>
      </c>
      <c r="V39" s="285">
        <f t="shared" si="21"/>
        <v>110.00000000000001</v>
      </c>
      <c r="W39" s="277"/>
      <c r="X39" s="277"/>
      <c r="Y39" s="443"/>
      <c r="Z39" s="443"/>
      <c r="AA39" s="12">
        <f t="shared" si="22"/>
        <v>-109.09090909090901</v>
      </c>
      <c r="AB39" s="282">
        <f t="shared" si="23"/>
        <v>0.95454545454545459</v>
      </c>
      <c r="AC39" s="442"/>
    </row>
    <row r="40" spans="1:29">
      <c r="A40" s="462" t="s">
        <v>1166</v>
      </c>
      <c r="B40" s="31" t="s">
        <v>67</v>
      </c>
      <c r="C40" s="441" t="s">
        <v>76</v>
      </c>
      <c r="D40" s="441"/>
      <c r="E40" s="31">
        <v>20.52</v>
      </c>
      <c r="F40" s="286">
        <v>3000</v>
      </c>
      <c r="G40" s="277">
        <f t="shared" si="14"/>
        <v>61560</v>
      </c>
      <c r="H40" s="287">
        <v>2</v>
      </c>
      <c r="I40" s="284">
        <v>18</v>
      </c>
      <c r="J40" s="26">
        <v>2400</v>
      </c>
      <c r="K40" s="10">
        <f t="shared" si="15"/>
        <v>133.33333333333334</v>
      </c>
      <c r="L40" s="284">
        <v>18</v>
      </c>
      <c r="M40" s="11">
        <f t="shared" si="16"/>
        <v>2278.481012658227</v>
      </c>
      <c r="N40" s="10">
        <f t="shared" si="17"/>
        <v>126.58227848101261</v>
      </c>
      <c r="O40" s="12">
        <f t="shared" si="18"/>
        <v>0</v>
      </c>
      <c r="P40" s="13">
        <f t="shared" si="19"/>
        <v>-6.7510548523207348</v>
      </c>
      <c r="Q40" s="282">
        <f t="shared" si="20"/>
        <v>0.94936708860759444</v>
      </c>
      <c r="R40" s="442"/>
      <c r="S40" s="28">
        <v>0.31527777777777777</v>
      </c>
      <c r="T40" s="28">
        <v>0.37013888888888891</v>
      </c>
      <c r="U40" s="277">
        <f t="shared" si="24"/>
        <v>4.9999999999999822</v>
      </c>
      <c r="V40" s="285">
        <f t="shared" si="21"/>
        <v>79.000000000000043</v>
      </c>
      <c r="W40" s="16"/>
      <c r="X40" s="16"/>
      <c r="Y40" s="443"/>
      <c r="Z40" s="443"/>
      <c r="AA40" s="12">
        <f t="shared" si="22"/>
        <v>-121.51898734177303</v>
      </c>
      <c r="AB40" s="282">
        <f t="shared" si="23"/>
        <v>0.94936708860759456</v>
      </c>
      <c r="AC40" s="442"/>
    </row>
    <row r="41" spans="1:29">
      <c r="A41" s="462" t="s">
        <v>1166</v>
      </c>
      <c r="B41" s="31" t="s">
        <v>67</v>
      </c>
      <c r="C41" s="441" t="s">
        <v>1167</v>
      </c>
      <c r="D41" s="441"/>
      <c r="E41" s="31">
        <v>23.34</v>
      </c>
      <c r="F41" s="286">
        <v>7500</v>
      </c>
      <c r="G41" s="277">
        <f t="shared" si="14"/>
        <v>175050</v>
      </c>
      <c r="H41" s="287">
        <v>2</v>
      </c>
      <c r="I41" s="284">
        <v>15</v>
      </c>
      <c r="J41" s="26">
        <v>2400</v>
      </c>
      <c r="K41" s="10">
        <f t="shared" si="15"/>
        <v>160</v>
      </c>
      <c r="L41" s="284">
        <v>15</v>
      </c>
      <c r="M41" s="11">
        <f t="shared" si="16"/>
        <v>2272.7272727272734</v>
      </c>
      <c r="N41" s="10">
        <f t="shared" si="17"/>
        <v>151.51515151515156</v>
      </c>
      <c r="O41" s="12">
        <f t="shared" si="18"/>
        <v>0</v>
      </c>
      <c r="P41" s="13">
        <f t="shared" si="19"/>
        <v>-8.4848484848484418</v>
      </c>
      <c r="Q41" s="282">
        <f t="shared" si="20"/>
        <v>0.94696969696969724</v>
      </c>
      <c r="R41" s="442"/>
      <c r="S41" s="28">
        <v>0.37361111111111112</v>
      </c>
      <c r="T41" s="28">
        <v>0.51111111111111107</v>
      </c>
      <c r="U41" s="277">
        <f t="shared" si="24"/>
        <v>4.9999999999999822</v>
      </c>
      <c r="V41" s="285">
        <f t="shared" si="21"/>
        <v>197.99999999999994</v>
      </c>
      <c r="W41" s="16"/>
      <c r="X41" s="16"/>
      <c r="Y41" s="443"/>
      <c r="Z41" s="443"/>
      <c r="AA41" s="12">
        <f t="shared" si="22"/>
        <v>-127.27272727272657</v>
      </c>
      <c r="AB41" s="282">
        <f t="shared" si="23"/>
        <v>0.94696969696969724</v>
      </c>
      <c r="AC41" s="442"/>
    </row>
    <row r="42" spans="1:29">
      <c r="A42" s="462" t="s">
        <v>1166</v>
      </c>
      <c r="B42" s="31" t="s">
        <v>67</v>
      </c>
      <c r="C42" s="441" t="s">
        <v>73</v>
      </c>
      <c r="D42" s="441"/>
      <c r="E42" s="31">
        <v>26.2</v>
      </c>
      <c r="F42" s="286">
        <v>3696</v>
      </c>
      <c r="G42" s="277">
        <f t="shared" si="14"/>
        <v>96835.199999999997</v>
      </c>
      <c r="H42" s="287" t="s">
        <v>103</v>
      </c>
      <c r="I42" s="284">
        <v>18</v>
      </c>
      <c r="J42" s="26">
        <v>2400</v>
      </c>
      <c r="K42" s="10">
        <f t="shared" si="15"/>
        <v>133.33333333333334</v>
      </c>
      <c r="L42" s="284">
        <v>18</v>
      </c>
      <c r="M42" s="11">
        <f t="shared" si="16"/>
        <v>2286.18556701031</v>
      </c>
      <c r="N42" s="10">
        <f t="shared" si="17"/>
        <v>127.01030927835056</v>
      </c>
      <c r="O42" s="12">
        <f t="shared" si="18"/>
        <v>0</v>
      </c>
      <c r="P42" s="13">
        <f t="shared" si="19"/>
        <v>-6.3230240549827812</v>
      </c>
      <c r="Q42" s="282">
        <f t="shared" si="20"/>
        <v>0.95257731958762915</v>
      </c>
      <c r="R42" s="442"/>
      <c r="S42" s="28">
        <v>0.51527777777777772</v>
      </c>
      <c r="T42" s="28">
        <v>0.58263888888888882</v>
      </c>
      <c r="U42" s="277">
        <f t="shared" si="24"/>
        <v>5.9999999999999787</v>
      </c>
      <c r="V42" s="285">
        <f t="shared" si="21"/>
        <v>96.999999999999972</v>
      </c>
      <c r="W42" s="16"/>
      <c r="X42" s="16"/>
      <c r="Y42" s="443"/>
      <c r="Z42" s="443"/>
      <c r="AA42" s="12">
        <f t="shared" si="22"/>
        <v>-113.81443298968998</v>
      </c>
      <c r="AB42" s="282">
        <f t="shared" si="23"/>
        <v>0.95257731958762915</v>
      </c>
      <c r="AC42" s="442"/>
    </row>
    <row r="43" spans="1:29">
      <c r="A43" s="462" t="s">
        <v>1166</v>
      </c>
      <c r="B43" s="31" t="s">
        <v>67</v>
      </c>
      <c r="C43" s="441" t="s">
        <v>75</v>
      </c>
      <c r="D43" s="441"/>
      <c r="E43" s="31">
        <v>26.39</v>
      </c>
      <c r="F43" s="286">
        <v>2534</v>
      </c>
      <c r="G43" s="277">
        <f t="shared" si="14"/>
        <v>66872.259999999995</v>
      </c>
      <c r="H43" s="287" t="s">
        <v>103</v>
      </c>
      <c r="I43" s="284">
        <v>19</v>
      </c>
      <c r="J43" s="26">
        <v>2400</v>
      </c>
      <c r="K43" s="10">
        <f t="shared" si="15"/>
        <v>126.31578947368421</v>
      </c>
      <c r="L43" s="284">
        <v>19</v>
      </c>
      <c r="M43" s="11">
        <f t="shared" si="16"/>
        <v>2269.2537313432863</v>
      </c>
      <c r="N43" s="10">
        <f t="shared" si="17"/>
        <v>119.43440691280455</v>
      </c>
      <c r="O43" s="12">
        <f t="shared" si="18"/>
        <v>0</v>
      </c>
      <c r="P43" s="13">
        <f t="shared" si="19"/>
        <v>-6.8813825608796577</v>
      </c>
      <c r="Q43" s="282">
        <f t="shared" si="20"/>
        <v>0.94552238805970268</v>
      </c>
      <c r="R43" s="442"/>
      <c r="S43" s="28">
        <v>0.58749999999999991</v>
      </c>
      <c r="T43" s="28">
        <v>0.63402777777777763</v>
      </c>
      <c r="U43" s="277">
        <f t="shared" si="24"/>
        <v>6.9999999999999751</v>
      </c>
      <c r="V43" s="285">
        <f t="shared" si="21"/>
        <v>66.999999999999915</v>
      </c>
      <c r="W43" s="16"/>
      <c r="X43" s="16"/>
      <c r="Y43" s="447"/>
      <c r="Z43" s="448"/>
      <c r="AA43" s="12">
        <f t="shared" si="22"/>
        <v>-130.74626865671371</v>
      </c>
      <c r="AB43" s="282">
        <f t="shared" si="23"/>
        <v>0.94552238805970257</v>
      </c>
      <c r="AC43" s="442"/>
    </row>
    <row r="44" spans="1:29">
      <c r="A44" s="462" t="s">
        <v>1166</v>
      </c>
      <c r="B44" s="31" t="s">
        <v>67</v>
      </c>
      <c r="C44" s="441" t="s">
        <v>77</v>
      </c>
      <c r="D44" s="441"/>
      <c r="E44" s="31">
        <v>26.2</v>
      </c>
      <c r="F44" s="286">
        <v>1745</v>
      </c>
      <c r="G44" s="277">
        <f t="shared" si="14"/>
        <v>45719</v>
      </c>
      <c r="H44" s="287" t="s">
        <v>103</v>
      </c>
      <c r="I44" s="284">
        <v>19</v>
      </c>
      <c r="J44" s="26">
        <v>2400</v>
      </c>
      <c r="K44" s="10">
        <f t="shared" si="15"/>
        <v>126.31578947368421</v>
      </c>
      <c r="L44" s="284">
        <v>19</v>
      </c>
      <c r="M44" s="11">
        <f t="shared" si="16"/>
        <v>2276.086956521739</v>
      </c>
      <c r="N44" s="10">
        <f t="shared" si="17"/>
        <v>119.79405034324942</v>
      </c>
      <c r="O44" s="12">
        <f t="shared" si="18"/>
        <v>0</v>
      </c>
      <c r="P44" s="13">
        <f t="shared" si="19"/>
        <v>-6.5217391304347814</v>
      </c>
      <c r="Q44" s="282">
        <f t="shared" si="20"/>
        <v>0.94836956521739135</v>
      </c>
      <c r="R44" s="442"/>
      <c r="S44" s="28">
        <v>0.63888888888888873</v>
      </c>
      <c r="T44" s="28">
        <v>0.67083333333333317</v>
      </c>
      <c r="U44" s="277">
        <f t="shared" si="24"/>
        <v>6.9999999999999751</v>
      </c>
      <c r="V44" s="285">
        <f t="shared" si="21"/>
        <v>46</v>
      </c>
      <c r="W44" s="16"/>
      <c r="X44" s="16"/>
      <c r="Y44" s="447"/>
      <c r="Z44" s="448"/>
      <c r="AA44" s="12">
        <f t="shared" si="22"/>
        <v>-123.91304347826099</v>
      </c>
      <c r="AB44" s="282">
        <f t="shared" si="23"/>
        <v>0.94836956521739124</v>
      </c>
      <c r="AC44" s="442"/>
    </row>
    <row r="45" spans="1:29">
      <c r="A45" s="462" t="s">
        <v>1166</v>
      </c>
      <c r="B45" s="31" t="s">
        <v>67</v>
      </c>
      <c r="C45" s="441" t="s">
        <v>1167</v>
      </c>
      <c r="D45" s="441"/>
      <c r="E45" s="31">
        <v>23.34</v>
      </c>
      <c r="F45" s="286">
        <v>2898</v>
      </c>
      <c r="G45" s="277">
        <f t="shared" si="14"/>
        <v>67639.319999999992</v>
      </c>
      <c r="H45" s="287" t="s">
        <v>103</v>
      </c>
      <c r="I45" s="284">
        <v>15</v>
      </c>
      <c r="J45" s="26">
        <v>2400</v>
      </c>
      <c r="K45" s="10">
        <f t="shared" si="15"/>
        <v>160</v>
      </c>
      <c r="L45" s="284">
        <v>15</v>
      </c>
      <c r="M45" s="11">
        <f t="shared" si="16"/>
        <v>2287.8947368421032</v>
      </c>
      <c r="N45" s="10">
        <f t="shared" si="17"/>
        <v>152.52631578947356</v>
      </c>
      <c r="O45" s="12">
        <f t="shared" si="18"/>
        <v>0</v>
      </c>
      <c r="P45" s="13">
        <f t="shared" si="19"/>
        <v>-7.4736842105264429</v>
      </c>
      <c r="Q45" s="282">
        <f t="shared" si="20"/>
        <v>0.95328947368420969</v>
      </c>
      <c r="R45" s="442"/>
      <c r="S45" s="28">
        <v>0.67430555555555538</v>
      </c>
      <c r="T45" s="28">
        <v>0.72708333333333319</v>
      </c>
      <c r="U45" s="277">
        <f t="shared" si="24"/>
        <v>4.9999999999999822</v>
      </c>
      <c r="V45" s="285">
        <f t="shared" si="21"/>
        <v>76.000000000000057</v>
      </c>
      <c r="W45" s="16"/>
      <c r="X45" s="16"/>
      <c r="Y45" s="447"/>
      <c r="Z45" s="448"/>
      <c r="AA45" s="12">
        <f t="shared" si="22"/>
        <v>-112.10526315789684</v>
      </c>
      <c r="AB45" s="282">
        <f t="shared" si="23"/>
        <v>0.95328947368420969</v>
      </c>
      <c r="AC45" s="442"/>
    </row>
    <row r="46" spans="1:29">
      <c r="A46" s="462" t="s">
        <v>1166</v>
      </c>
      <c r="B46" s="31" t="s">
        <v>67</v>
      </c>
      <c r="C46" s="441" t="s">
        <v>76</v>
      </c>
      <c r="D46" s="441"/>
      <c r="E46" s="31">
        <v>20.52</v>
      </c>
      <c r="F46" s="286">
        <v>816</v>
      </c>
      <c r="G46" s="277">
        <f t="shared" si="14"/>
        <v>16744.32</v>
      </c>
      <c r="H46" s="287" t="s">
        <v>103</v>
      </c>
      <c r="I46" s="284">
        <v>18</v>
      </c>
      <c r="J46" s="26">
        <v>2400</v>
      </c>
      <c r="K46" s="10">
        <f t="shared" si="15"/>
        <v>133.33333333333334</v>
      </c>
      <c r="L46" s="284">
        <v>18</v>
      </c>
      <c r="M46" s="11">
        <f t="shared" si="16"/>
        <v>2331.4285714285797</v>
      </c>
      <c r="N46" s="10">
        <f t="shared" si="17"/>
        <v>129.52380952380997</v>
      </c>
      <c r="O46" s="12">
        <f t="shared" si="18"/>
        <v>0</v>
      </c>
      <c r="P46" s="13">
        <f t="shared" si="19"/>
        <v>-3.8095238095233697</v>
      </c>
      <c r="Q46" s="282">
        <f t="shared" si="20"/>
        <v>0.97142857142857475</v>
      </c>
      <c r="R46" s="442"/>
      <c r="S46" s="28">
        <v>0.7305555555555554</v>
      </c>
      <c r="T46" s="28">
        <v>0.74513888888888868</v>
      </c>
      <c r="U46" s="277">
        <f t="shared" si="24"/>
        <v>4.9999999999999822</v>
      </c>
      <c r="V46" s="285">
        <f t="shared" si="21"/>
        <v>20.999999999999925</v>
      </c>
      <c r="W46" s="16"/>
      <c r="X46" s="16"/>
      <c r="Y46" s="447"/>
      <c r="Z46" s="448"/>
      <c r="AA46" s="12">
        <f t="shared" si="22"/>
        <v>-68.571428571420256</v>
      </c>
      <c r="AB46" s="282">
        <f t="shared" si="23"/>
        <v>0.97142857142857486</v>
      </c>
      <c r="AC46" s="442"/>
    </row>
    <row r="47" spans="1:29">
      <c r="A47" s="462" t="s">
        <v>1166</v>
      </c>
      <c r="B47" s="31" t="s">
        <v>67</v>
      </c>
      <c r="C47" s="441" t="s">
        <v>101</v>
      </c>
      <c r="D47" s="441"/>
      <c r="E47" s="31">
        <v>25</v>
      </c>
      <c r="F47" s="286">
        <v>1355</v>
      </c>
      <c r="G47" s="277">
        <f t="shared" si="14"/>
        <v>33875</v>
      </c>
      <c r="H47" s="287" t="s">
        <v>103</v>
      </c>
      <c r="I47" s="284">
        <v>15</v>
      </c>
      <c r="J47" s="26">
        <v>2400</v>
      </c>
      <c r="K47" s="10">
        <f t="shared" si="15"/>
        <v>160</v>
      </c>
      <c r="L47" s="284">
        <v>15</v>
      </c>
      <c r="M47" s="11">
        <f t="shared" si="16"/>
        <v>2322.8571428571404</v>
      </c>
      <c r="N47" s="10">
        <f t="shared" si="17"/>
        <v>154.85714285714269</v>
      </c>
      <c r="O47" s="12">
        <f t="shared" si="18"/>
        <v>0</v>
      </c>
      <c r="P47" s="13">
        <f t="shared" si="19"/>
        <v>-5.1428571428573093</v>
      </c>
      <c r="Q47" s="282">
        <f t="shared" si="20"/>
        <v>0.96785714285714186</v>
      </c>
      <c r="R47" s="442"/>
      <c r="S47" s="28">
        <v>0.74930555555555534</v>
      </c>
      <c r="T47" s="28">
        <v>0.77361111111111092</v>
      </c>
      <c r="U47" s="277">
        <f t="shared" si="24"/>
        <v>5.9999999999999787</v>
      </c>
      <c r="V47" s="285">
        <f t="shared" si="21"/>
        <v>35.000000000000036</v>
      </c>
      <c r="W47" s="16"/>
      <c r="X47" s="16"/>
      <c r="Y47" s="447"/>
      <c r="Z47" s="448"/>
      <c r="AA47" s="12">
        <f t="shared" si="22"/>
        <v>-77.142857142859611</v>
      </c>
      <c r="AB47" s="282">
        <f t="shared" si="23"/>
        <v>0.96785714285714186</v>
      </c>
      <c r="AC47" s="442"/>
    </row>
    <row r="48" spans="1:29">
      <c r="A48" s="462" t="s">
        <v>1166</v>
      </c>
      <c r="B48" s="33" t="s">
        <v>1162</v>
      </c>
      <c r="C48" s="446"/>
      <c r="D48" s="446"/>
      <c r="E48" s="276"/>
      <c r="F48" s="33"/>
      <c r="G48" s="10"/>
      <c r="H48" s="286"/>
      <c r="I48" s="19">
        <v>17.636363636363637</v>
      </c>
      <c r="J48" s="26">
        <v>2400</v>
      </c>
      <c r="K48" s="10">
        <f t="shared" si="15"/>
        <v>136.08247422680412</v>
      </c>
      <c r="L48" s="19">
        <v>17.636363636363637</v>
      </c>
      <c r="M48" s="11">
        <f>AVERAGE(M37:M47)</f>
        <v>2287.7652267769863</v>
      </c>
      <c r="N48" s="10">
        <f t="shared" si="17"/>
        <v>129.71864687910747</v>
      </c>
      <c r="O48" s="12">
        <f t="shared" si="18"/>
        <v>0</v>
      </c>
      <c r="P48" s="13">
        <f t="shared" si="19"/>
        <v>-6.363827347696656</v>
      </c>
      <c r="Q48" s="282">
        <f t="shared" si="20"/>
        <v>0.95323551115707761</v>
      </c>
      <c r="R48" s="442"/>
      <c r="S48" s="28"/>
      <c r="T48" s="28"/>
      <c r="U48" s="10"/>
      <c r="V48" s="285"/>
      <c r="W48" s="10"/>
      <c r="X48" s="10"/>
      <c r="Y48" s="443"/>
      <c r="Z48" s="443"/>
      <c r="AA48" s="12">
        <f t="shared" si="22"/>
        <v>-112.23477322301369</v>
      </c>
      <c r="AB48" s="282">
        <f t="shared" si="23"/>
        <v>0.95323551115707761</v>
      </c>
      <c r="AC48" s="442"/>
    </row>
    <row r="49" spans="1:29" ht="15.75" customHeight="1">
      <c r="A49" s="453" t="s">
        <v>47</v>
      </c>
      <c r="B49" s="31" t="s">
        <v>79</v>
      </c>
      <c r="C49" s="444" t="s">
        <v>80</v>
      </c>
      <c r="D49" s="445"/>
      <c r="E49" s="31">
        <v>21.13</v>
      </c>
      <c r="F49" s="286">
        <v>3100</v>
      </c>
      <c r="G49" s="277">
        <f t="shared" ref="G49:G55" si="25">E49*F49</f>
        <v>65503</v>
      </c>
      <c r="H49" s="287">
        <v>2</v>
      </c>
      <c r="I49" s="284">
        <v>10</v>
      </c>
      <c r="J49" s="26">
        <v>3000</v>
      </c>
      <c r="K49" s="10">
        <f t="shared" si="15"/>
        <v>300</v>
      </c>
      <c r="L49" s="284">
        <v>10</v>
      </c>
      <c r="M49" s="11">
        <f t="shared" ref="M49:M55" si="26">F49/V49*60</f>
        <v>2861.5384615384619</v>
      </c>
      <c r="N49" s="11">
        <f t="shared" si="17"/>
        <v>286.15384615384619</v>
      </c>
      <c r="O49" s="12">
        <f t="shared" si="18"/>
        <v>0</v>
      </c>
      <c r="P49" s="13">
        <f t="shared" si="19"/>
        <v>-13.846153846153811</v>
      </c>
      <c r="Q49" s="282">
        <f t="shared" si="20"/>
        <v>0.95384615384615401</v>
      </c>
      <c r="R49" s="456">
        <f>Q56</f>
        <v>0.95259026275335357</v>
      </c>
      <c r="S49" s="28">
        <v>8.3333333333333329E-2</v>
      </c>
      <c r="T49" s="28">
        <v>0.12847222222222221</v>
      </c>
      <c r="U49" s="18"/>
      <c r="V49" s="285">
        <f t="shared" ref="V49:V55" si="27">(T49-S49)*24*60</f>
        <v>64.999999999999986</v>
      </c>
      <c r="W49" s="16"/>
      <c r="X49" s="16"/>
      <c r="Y49" s="447"/>
      <c r="Z49" s="448"/>
      <c r="AA49" s="12">
        <f t="shared" si="22"/>
        <v>-138.46153846153811</v>
      </c>
      <c r="AB49" s="282">
        <f t="shared" si="23"/>
        <v>0.95384615384615401</v>
      </c>
      <c r="AC49" s="456">
        <f>AB56</f>
        <v>0.95259026275335368</v>
      </c>
    </row>
    <row r="50" spans="1:29" ht="15.75" customHeight="1">
      <c r="A50" s="454" t="s">
        <v>1165</v>
      </c>
      <c r="B50" s="31" t="s">
        <v>79</v>
      </c>
      <c r="C50" s="444" t="s">
        <v>81</v>
      </c>
      <c r="D50" s="445"/>
      <c r="E50" s="31">
        <v>27.17</v>
      </c>
      <c r="F50" s="286">
        <v>3900</v>
      </c>
      <c r="G50" s="277">
        <f t="shared" si="25"/>
        <v>105963</v>
      </c>
      <c r="H50" s="287">
        <v>2</v>
      </c>
      <c r="I50" s="284">
        <v>10</v>
      </c>
      <c r="J50" s="26">
        <v>3000</v>
      </c>
      <c r="K50" s="10">
        <f t="shared" si="15"/>
        <v>300</v>
      </c>
      <c r="L50" s="284">
        <v>10</v>
      </c>
      <c r="M50" s="11">
        <f t="shared" si="26"/>
        <v>2853.6585365853662</v>
      </c>
      <c r="N50" s="11">
        <f t="shared" si="17"/>
        <v>285.36585365853659</v>
      </c>
      <c r="O50" s="12">
        <f t="shared" si="18"/>
        <v>0</v>
      </c>
      <c r="P50" s="13">
        <f t="shared" si="19"/>
        <v>-14.634146341463406</v>
      </c>
      <c r="Q50" s="282">
        <f t="shared" si="20"/>
        <v>0.95121951219512202</v>
      </c>
      <c r="R50" s="457"/>
      <c r="S50" s="28">
        <v>0.13263888888888889</v>
      </c>
      <c r="T50" s="28">
        <v>0.18958333333333333</v>
      </c>
      <c r="U50" s="277">
        <f t="shared" ref="U50:U55" si="28">(S50-T49)*24*60</f>
        <v>6.0000000000000187</v>
      </c>
      <c r="V50" s="285">
        <f t="shared" si="27"/>
        <v>81.999999999999986</v>
      </c>
      <c r="W50" s="16">
        <f>T50</f>
        <v>0.18958333333333333</v>
      </c>
      <c r="X50" s="16">
        <f>S51</f>
        <v>0.20902777777777778</v>
      </c>
      <c r="Y50" s="447"/>
      <c r="Z50" s="448"/>
      <c r="AA50" s="12">
        <f t="shared" si="22"/>
        <v>-146.34146341463384</v>
      </c>
      <c r="AB50" s="282">
        <f t="shared" si="23"/>
        <v>0.95121951219512202</v>
      </c>
      <c r="AC50" s="457"/>
    </row>
    <row r="51" spans="1:29" ht="15.75" customHeight="1">
      <c r="A51" s="454" t="s">
        <v>1165</v>
      </c>
      <c r="B51" s="31" t="s">
        <v>79</v>
      </c>
      <c r="C51" s="444" t="s">
        <v>82</v>
      </c>
      <c r="D51" s="445"/>
      <c r="E51" s="31">
        <v>35.119999999999997</v>
      </c>
      <c r="F51" s="286">
        <v>4760</v>
      </c>
      <c r="G51" s="277">
        <f t="shared" si="25"/>
        <v>167171.19999999998</v>
      </c>
      <c r="H51" s="287" t="s">
        <v>103</v>
      </c>
      <c r="I51" s="284">
        <v>10</v>
      </c>
      <c r="J51" s="26">
        <v>3000</v>
      </c>
      <c r="K51" s="10">
        <f t="shared" si="15"/>
        <v>300</v>
      </c>
      <c r="L51" s="284">
        <v>10</v>
      </c>
      <c r="M51" s="11">
        <f t="shared" si="26"/>
        <v>2856</v>
      </c>
      <c r="N51" s="11">
        <f t="shared" si="17"/>
        <v>285.60000000000002</v>
      </c>
      <c r="O51" s="12">
        <f t="shared" si="18"/>
        <v>0</v>
      </c>
      <c r="P51" s="13">
        <f t="shared" si="19"/>
        <v>-14.399999999999977</v>
      </c>
      <c r="Q51" s="282">
        <f t="shared" si="20"/>
        <v>0.95200000000000007</v>
      </c>
      <c r="R51" s="457"/>
      <c r="S51" s="28">
        <v>0.20902777777777778</v>
      </c>
      <c r="T51" s="28">
        <v>0.27847222222222223</v>
      </c>
      <c r="U51" s="277">
        <f t="shared" si="28"/>
        <v>28.000000000000021</v>
      </c>
      <c r="V51" s="285">
        <f t="shared" si="27"/>
        <v>100</v>
      </c>
      <c r="W51" s="16"/>
      <c r="X51" s="16"/>
      <c r="Y51" s="447"/>
      <c r="Z51" s="448"/>
      <c r="AA51" s="12">
        <f t="shared" si="22"/>
        <v>-144</v>
      </c>
      <c r="AB51" s="282">
        <f t="shared" si="23"/>
        <v>0.95199999999999996</v>
      </c>
      <c r="AC51" s="457"/>
    </row>
    <row r="52" spans="1:29" ht="15.75" customHeight="1">
      <c r="A52" s="454" t="s">
        <v>1165</v>
      </c>
      <c r="B52" s="31" t="s">
        <v>79</v>
      </c>
      <c r="C52" s="444" t="s">
        <v>85</v>
      </c>
      <c r="D52" s="445"/>
      <c r="E52" s="31">
        <v>35.869999999999997</v>
      </c>
      <c r="F52" s="286">
        <v>3181</v>
      </c>
      <c r="G52" s="277">
        <f t="shared" si="25"/>
        <v>114102.46999999999</v>
      </c>
      <c r="H52" s="287" t="s">
        <v>103</v>
      </c>
      <c r="I52" s="284">
        <v>10</v>
      </c>
      <c r="J52" s="26">
        <v>3000</v>
      </c>
      <c r="K52" s="10">
        <f t="shared" si="15"/>
        <v>300</v>
      </c>
      <c r="L52" s="284">
        <v>10</v>
      </c>
      <c r="M52" s="11">
        <f t="shared" si="26"/>
        <v>2848.6567164179105</v>
      </c>
      <c r="N52" s="11">
        <f t="shared" si="17"/>
        <v>284.86567164179104</v>
      </c>
      <c r="O52" s="12">
        <f t="shared" si="18"/>
        <v>0</v>
      </c>
      <c r="P52" s="13">
        <f t="shared" si="19"/>
        <v>-15.134328358208961</v>
      </c>
      <c r="Q52" s="282">
        <f t="shared" si="20"/>
        <v>0.94955223880597017</v>
      </c>
      <c r="R52" s="457"/>
      <c r="S52" s="28">
        <v>0.28263888888888888</v>
      </c>
      <c r="T52" s="28">
        <v>0.32916666666666666</v>
      </c>
      <c r="U52" s="277">
        <f t="shared" si="28"/>
        <v>5.9999999999999787</v>
      </c>
      <c r="V52" s="285">
        <f t="shared" si="27"/>
        <v>67</v>
      </c>
      <c r="W52" s="16"/>
      <c r="X52" s="16"/>
      <c r="Y52" s="447"/>
      <c r="Z52" s="448"/>
      <c r="AA52" s="12">
        <f t="shared" si="22"/>
        <v>-151.3432835820895</v>
      </c>
      <c r="AB52" s="282">
        <f t="shared" si="23"/>
        <v>0.94955223880597017</v>
      </c>
      <c r="AC52" s="457"/>
    </row>
    <row r="53" spans="1:29" ht="15.75" customHeight="1">
      <c r="A53" s="454" t="s">
        <v>1165</v>
      </c>
      <c r="B53" s="31" t="s">
        <v>79</v>
      </c>
      <c r="C53" s="444" t="s">
        <v>86</v>
      </c>
      <c r="D53" s="445"/>
      <c r="E53" s="31">
        <v>36.14</v>
      </c>
      <c r="F53" s="286">
        <v>2394</v>
      </c>
      <c r="G53" s="277">
        <f t="shared" si="25"/>
        <v>86519.16</v>
      </c>
      <c r="H53" s="287" t="s">
        <v>103</v>
      </c>
      <c r="I53" s="284">
        <v>8</v>
      </c>
      <c r="J53" s="26">
        <v>3000</v>
      </c>
      <c r="K53" s="10">
        <f t="shared" si="15"/>
        <v>375</v>
      </c>
      <c r="L53" s="284">
        <v>8</v>
      </c>
      <c r="M53" s="11">
        <f t="shared" si="26"/>
        <v>2872.8000000000011</v>
      </c>
      <c r="N53" s="11">
        <f t="shared" si="17"/>
        <v>359.10000000000014</v>
      </c>
      <c r="O53" s="12">
        <f t="shared" si="18"/>
        <v>0</v>
      </c>
      <c r="P53" s="13">
        <f t="shared" si="19"/>
        <v>-15.899999999999864</v>
      </c>
      <c r="Q53" s="282">
        <f t="shared" si="20"/>
        <v>0.95760000000000034</v>
      </c>
      <c r="R53" s="457"/>
      <c r="S53" s="28">
        <v>0.3347222222222222</v>
      </c>
      <c r="T53" s="28">
        <v>0.36944444444444441</v>
      </c>
      <c r="U53" s="277">
        <f t="shared" si="28"/>
        <v>7.9999999999999716</v>
      </c>
      <c r="V53" s="285">
        <f t="shared" si="27"/>
        <v>49.999999999999986</v>
      </c>
      <c r="W53" s="16"/>
      <c r="X53" s="16"/>
      <c r="Y53" s="447"/>
      <c r="Z53" s="448"/>
      <c r="AA53" s="12">
        <f t="shared" si="22"/>
        <v>-127.19999999999891</v>
      </c>
      <c r="AB53" s="282">
        <f t="shared" si="23"/>
        <v>0.95760000000000034</v>
      </c>
      <c r="AC53" s="457"/>
    </row>
    <row r="54" spans="1:29" ht="15.75" customHeight="1">
      <c r="A54" s="454" t="s">
        <v>1165</v>
      </c>
      <c r="B54" s="31" t="s">
        <v>79</v>
      </c>
      <c r="C54" s="444" t="s">
        <v>81</v>
      </c>
      <c r="D54" s="445"/>
      <c r="E54" s="31">
        <v>27.17</v>
      </c>
      <c r="F54" s="286">
        <v>2898</v>
      </c>
      <c r="G54" s="277">
        <f t="shared" si="25"/>
        <v>78738.66</v>
      </c>
      <c r="H54" s="287" t="s">
        <v>103</v>
      </c>
      <c r="I54" s="284">
        <v>10</v>
      </c>
      <c r="J54" s="26">
        <v>3000</v>
      </c>
      <c r="K54" s="10">
        <f t="shared" si="15"/>
        <v>300</v>
      </c>
      <c r="L54" s="284">
        <v>10</v>
      </c>
      <c r="M54" s="11">
        <f t="shared" si="26"/>
        <v>2850.4918032786873</v>
      </c>
      <c r="N54" s="11">
        <f t="shared" si="17"/>
        <v>285.04918032786873</v>
      </c>
      <c r="O54" s="12">
        <f t="shared" si="18"/>
        <v>0</v>
      </c>
      <c r="P54" s="13">
        <f t="shared" si="19"/>
        <v>-14.950819672131274</v>
      </c>
      <c r="Q54" s="282">
        <f t="shared" si="20"/>
        <v>0.95016393442622904</v>
      </c>
      <c r="R54" s="457"/>
      <c r="S54" s="28">
        <v>0.37291666666666662</v>
      </c>
      <c r="T54" s="28">
        <v>0.41527777777777775</v>
      </c>
      <c r="U54" s="277">
        <f t="shared" si="28"/>
        <v>4.9999999999999822</v>
      </c>
      <c r="V54" s="285">
        <f t="shared" si="27"/>
        <v>61.000000000000021</v>
      </c>
      <c r="W54" s="16"/>
      <c r="X54" s="16"/>
      <c r="Y54" s="447"/>
      <c r="Z54" s="448"/>
      <c r="AA54" s="12">
        <f t="shared" si="22"/>
        <v>-149.50819672131274</v>
      </c>
      <c r="AB54" s="282">
        <f t="shared" si="23"/>
        <v>0.95016393442622904</v>
      </c>
      <c r="AC54" s="457"/>
    </row>
    <row r="55" spans="1:29" ht="15.75" customHeight="1">
      <c r="A55" s="454" t="s">
        <v>1165</v>
      </c>
      <c r="B55" s="31" t="s">
        <v>79</v>
      </c>
      <c r="C55" s="444" t="s">
        <v>80</v>
      </c>
      <c r="D55" s="445"/>
      <c r="E55" s="31">
        <v>21.13</v>
      </c>
      <c r="F55" s="286">
        <v>2289</v>
      </c>
      <c r="G55" s="277">
        <f t="shared" si="25"/>
        <v>48366.57</v>
      </c>
      <c r="H55" s="287" t="s">
        <v>103</v>
      </c>
      <c r="I55" s="284">
        <v>10</v>
      </c>
      <c r="J55" s="26">
        <v>3000</v>
      </c>
      <c r="K55" s="10">
        <f t="shared" si="15"/>
        <v>300</v>
      </c>
      <c r="L55" s="284">
        <v>10</v>
      </c>
      <c r="M55" s="11">
        <f t="shared" si="26"/>
        <v>2861.2500000000009</v>
      </c>
      <c r="N55" s="11">
        <f t="shared" si="17"/>
        <v>286.12500000000011</v>
      </c>
      <c r="O55" s="12">
        <f t="shared" si="18"/>
        <v>0</v>
      </c>
      <c r="P55" s="13">
        <f t="shared" si="19"/>
        <v>-13.874999999999886</v>
      </c>
      <c r="Q55" s="282">
        <f t="shared" si="20"/>
        <v>0.95375000000000043</v>
      </c>
      <c r="R55" s="457"/>
      <c r="S55" s="28">
        <v>0.42083333333333328</v>
      </c>
      <c r="T55" s="28">
        <v>0.45416666666666661</v>
      </c>
      <c r="U55" s="277">
        <f t="shared" si="28"/>
        <v>7.9999999999999716</v>
      </c>
      <c r="V55" s="285">
        <f t="shared" si="27"/>
        <v>47.999999999999986</v>
      </c>
      <c r="W55" s="16"/>
      <c r="X55" s="16"/>
      <c r="Y55" s="447"/>
      <c r="Z55" s="448"/>
      <c r="AA55" s="12">
        <f t="shared" si="22"/>
        <v>-138.74999999999909</v>
      </c>
      <c r="AB55" s="282">
        <f t="shared" si="23"/>
        <v>0.95375000000000032</v>
      </c>
      <c r="AC55" s="457"/>
    </row>
    <row r="56" spans="1:29" ht="15.75" customHeight="1">
      <c r="A56" s="455" t="s">
        <v>1165</v>
      </c>
      <c r="B56" s="31" t="s">
        <v>1162</v>
      </c>
      <c r="C56" s="459"/>
      <c r="D56" s="460"/>
      <c r="E56" s="283"/>
      <c r="F56" s="286"/>
      <c r="G56" s="277"/>
      <c r="H56" s="286"/>
      <c r="I56" s="19">
        <v>9.7142857142857135</v>
      </c>
      <c r="J56" s="26">
        <v>3000</v>
      </c>
      <c r="K56" s="10">
        <f t="shared" si="15"/>
        <v>308.82352941176475</v>
      </c>
      <c r="L56" s="19">
        <v>9.7142857142857135</v>
      </c>
      <c r="M56" s="11">
        <f>AVERAGE(M49:M55)</f>
        <v>2857.7707882600612</v>
      </c>
      <c r="N56" s="10">
        <f t="shared" si="17"/>
        <v>294.18228702677101</v>
      </c>
      <c r="O56" s="12">
        <f t="shared" si="18"/>
        <v>0</v>
      </c>
      <c r="P56" s="13">
        <f t="shared" si="19"/>
        <v>-14.641242384993745</v>
      </c>
      <c r="Q56" s="282">
        <f t="shared" si="20"/>
        <v>0.95259026275335357</v>
      </c>
      <c r="R56" s="458"/>
      <c r="S56" s="28"/>
      <c r="T56" s="28"/>
      <c r="U56" s="277"/>
      <c r="V56" s="285"/>
      <c r="W56" s="16"/>
      <c r="X56" s="16"/>
      <c r="Y56" s="447"/>
      <c r="Z56" s="448"/>
      <c r="AA56" s="12">
        <f t="shared" si="22"/>
        <v>-142.22921173993882</v>
      </c>
      <c r="AB56" s="282">
        <f t="shared" si="23"/>
        <v>0.95259026275335368</v>
      </c>
      <c r="AC56" s="458"/>
    </row>
    <row r="57" spans="1:29" ht="15.75" customHeight="1">
      <c r="A57" s="451" t="s">
        <v>1164</v>
      </c>
      <c r="B57" s="31" t="s">
        <v>53</v>
      </c>
      <c r="C57" s="441" t="s">
        <v>87</v>
      </c>
      <c r="D57" s="441"/>
      <c r="E57" s="31">
        <v>46</v>
      </c>
      <c r="F57" s="35">
        <v>3466</v>
      </c>
      <c r="G57" s="277">
        <f t="shared" ref="G57:G62" si="29">E57*F57</f>
        <v>159436</v>
      </c>
      <c r="H57" s="287" t="s">
        <v>103</v>
      </c>
      <c r="I57" s="284">
        <v>17</v>
      </c>
      <c r="J57" s="26">
        <v>2000</v>
      </c>
      <c r="K57" s="10">
        <f t="shared" si="15"/>
        <v>117.64705882352941</v>
      </c>
      <c r="L57" s="284">
        <v>17</v>
      </c>
      <c r="M57" s="11">
        <f t="shared" ref="M57:M62" si="30">F57/V57*60</f>
        <v>1890.5454545454543</v>
      </c>
      <c r="N57" s="11">
        <f t="shared" si="17"/>
        <v>111.2085561497326</v>
      </c>
      <c r="O57" s="12">
        <f t="shared" si="18"/>
        <v>0</v>
      </c>
      <c r="P57" s="13">
        <f t="shared" si="19"/>
        <v>-6.4385026737968047</v>
      </c>
      <c r="Q57" s="282">
        <f t="shared" si="20"/>
        <v>0.94527272727272715</v>
      </c>
      <c r="R57" s="442">
        <f>Q63</f>
        <v>0.95415272375660831</v>
      </c>
      <c r="S57" s="28">
        <v>0.29166666666666669</v>
      </c>
      <c r="T57" s="28">
        <v>0.36805555555555558</v>
      </c>
      <c r="U57" s="18"/>
      <c r="V57" s="285">
        <f t="shared" ref="V57:V62" si="31">(T57-S57)*24*60</f>
        <v>110.00000000000001</v>
      </c>
      <c r="W57" s="18"/>
      <c r="X57" s="18"/>
      <c r="Y57" s="443"/>
      <c r="Z57" s="443"/>
      <c r="AA57" s="12">
        <f t="shared" si="22"/>
        <v>-109.45454545454572</v>
      </c>
      <c r="AB57" s="282">
        <f t="shared" si="23"/>
        <v>0.94527272727272715</v>
      </c>
      <c r="AC57" s="442">
        <f>AB63</f>
        <v>0.95415272375660831</v>
      </c>
    </row>
    <row r="58" spans="1:29" ht="15.75" customHeight="1">
      <c r="A58" s="451" t="s">
        <v>1164</v>
      </c>
      <c r="B58" s="31" t="s">
        <v>53</v>
      </c>
      <c r="C58" s="441" t="s">
        <v>88</v>
      </c>
      <c r="D58" s="441"/>
      <c r="E58" s="31">
        <v>46</v>
      </c>
      <c r="F58" s="35">
        <v>3430</v>
      </c>
      <c r="G58" s="277">
        <f t="shared" si="29"/>
        <v>157780</v>
      </c>
      <c r="H58" s="287" t="s">
        <v>103</v>
      </c>
      <c r="I58" s="284">
        <v>17</v>
      </c>
      <c r="J58" s="26">
        <v>2000</v>
      </c>
      <c r="K58" s="10">
        <f t="shared" si="15"/>
        <v>117.64705882352941</v>
      </c>
      <c r="L58" s="284">
        <v>17</v>
      </c>
      <c r="M58" s="11">
        <f t="shared" si="30"/>
        <v>1905.5555555555554</v>
      </c>
      <c r="N58" s="11">
        <f t="shared" si="17"/>
        <v>112.09150326797385</v>
      </c>
      <c r="O58" s="12">
        <f t="shared" si="18"/>
        <v>0</v>
      </c>
      <c r="P58" s="13">
        <f t="shared" si="19"/>
        <v>-5.5555555555555571</v>
      </c>
      <c r="Q58" s="282">
        <f t="shared" si="20"/>
        <v>0.95277777777777772</v>
      </c>
      <c r="R58" s="442"/>
      <c r="S58" s="28">
        <v>0.37361111111111112</v>
      </c>
      <c r="T58" s="28">
        <v>0.44861111111111113</v>
      </c>
      <c r="U58" s="277">
        <f>IF(S58=TIME(17,0,0),"",(S58-T57)*24*60)</f>
        <v>7.9999999999999716</v>
      </c>
      <c r="V58" s="285">
        <f t="shared" si="31"/>
        <v>108.00000000000001</v>
      </c>
      <c r="W58" s="16"/>
      <c r="X58" s="16"/>
      <c r="Y58" s="443"/>
      <c r="Z58" s="443"/>
      <c r="AA58" s="12">
        <f t="shared" si="22"/>
        <v>-94.444444444444571</v>
      </c>
      <c r="AB58" s="282">
        <f t="shared" si="23"/>
        <v>0.95277777777777772</v>
      </c>
      <c r="AC58" s="442"/>
    </row>
    <row r="59" spans="1:29" ht="15.75" customHeight="1">
      <c r="A59" s="451" t="s">
        <v>1164</v>
      </c>
      <c r="B59" s="31" t="s">
        <v>58</v>
      </c>
      <c r="C59" s="444" t="s">
        <v>168</v>
      </c>
      <c r="D59" s="445"/>
      <c r="E59" s="31">
        <v>54.09</v>
      </c>
      <c r="F59" s="35">
        <v>1191</v>
      </c>
      <c r="G59" s="277">
        <f t="shared" si="29"/>
        <v>64421.19</v>
      </c>
      <c r="H59" s="287" t="s">
        <v>103</v>
      </c>
      <c r="I59" s="284">
        <v>16</v>
      </c>
      <c r="J59" s="26">
        <v>2000</v>
      </c>
      <c r="K59" s="10">
        <f t="shared" si="15"/>
        <v>125</v>
      </c>
      <c r="L59" s="284">
        <v>16</v>
      </c>
      <c r="M59" s="11">
        <f t="shared" si="30"/>
        <v>1931.3513513513499</v>
      </c>
      <c r="N59" s="11">
        <f t="shared" si="17"/>
        <v>120.70945945945937</v>
      </c>
      <c r="O59" s="12">
        <f t="shared" si="18"/>
        <v>0</v>
      </c>
      <c r="P59" s="13">
        <f t="shared" si="19"/>
        <v>-4.2905405405406327</v>
      </c>
      <c r="Q59" s="282">
        <f t="shared" si="20"/>
        <v>0.96567567567567492</v>
      </c>
      <c r="R59" s="442"/>
      <c r="S59" s="28">
        <v>0.45416666666666666</v>
      </c>
      <c r="T59" s="28">
        <v>0.47986111111111113</v>
      </c>
      <c r="U59" s="277">
        <f>IF(S59=TIME(17,0,0),"",(S59-T58)*24*60)</f>
        <v>7.9999999999999716</v>
      </c>
      <c r="V59" s="285">
        <f t="shared" si="31"/>
        <v>37.000000000000028</v>
      </c>
      <c r="W59" s="16"/>
      <c r="X59" s="16"/>
      <c r="Y59" s="280"/>
      <c r="Z59" s="281"/>
      <c r="AA59" s="12">
        <f t="shared" si="22"/>
        <v>-68.648648648650124</v>
      </c>
      <c r="AB59" s="282">
        <f t="shared" si="23"/>
        <v>0.96567567567567492</v>
      </c>
      <c r="AC59" s="442"/>
    </row>
    <row r="60" spans="1:29" ht="15.75" customHeight="1">
      <c r="A60" s="451" t="s">
        <v>1164</v>
      </c>
      <c r="B60" s="31" t="s">
        <v>58</v>
      </c>
      <c r="C60" s="278" t="s">
        <v>89</v>
      </c>
      <c r="D60" s="279"/>
      <c r="E60" s="31">
        <v>55.56</v>
      </c>
      <c r="F60" s="35">
        <v>2574</v>
      </c>
      <c r="G60" s="277">
        <f t="shared" si="29"/>
        <v>143011.44</v>
      </c>
      <c r="H60" s="287" t="s">
        <v>103</v>
      </c>
      <c r="I60" s="284">
        <v>17</v>
      </c>
      <c r="J60" s="26">
        <v>2000</v>
      </c>
      <c r="K60" s="10">
        <f t="shared" si="15"/>
        <v>117.64705882352941</v>
      </c>
      <c r="L60" s="284">
        <v>17</v>
      </c>
      <c r="M60" s="11">
        <f t="shared" si="30"/>
        <v>1906.6666666666661</v>
      </c>
      <c r="N60" s="11">
        <f t="shared" si="17"/>
        <v>112.15686274509801</v>
      </c>
      <c r="O60" s="12">
        <f t="shared" si="18"/>
        <v>0</v>
      </c>
      <c r="P60" s="13">
        <f t="shared" si="19"/>
        <v>-5.4901960784313957</v>
      </c>
      <c r="Q60" s="282">
        <f t="shared" si="20"/>
        <v>0.95333333333333314</v>
      </c>
      <c r="R60" s="442"/>
      <c r="S60" s="28">
        <v>0.70833333333333337</v>
      </c>
      <c r="T60" s="28">
        <v>0.76458333333333339</v>
      </c>
      <c r="U60" s="277" t="str">
        <f>IF(S60=TIME(17,0,0),"",(S60-T59)*24*60)</f>
        <v/>
      </c>
      <c r="V60" s="285">
        <f t="shared" si="31"/>
        <v>81.000000000000028</v>
      </c>
      <c r="W60" s="16"/>
      <c r="X60" s="16"/>
      <c r="Y60" s="280"/>
      <c r="Z60" s="281"/>
      <c r="AA60" s="12">
        <f t="shared" si="22"/>
        <v>-93.33333333333394</v>
      </c>
      <c r="AB60" s="282">
        <f t="shared" si="23"/>
        <v>0.95333333333333303</v>
      </c>
      <c r="AC60" s="442"/>
    </row>
    <row r="61" spans="1:29" ht="15.75" customHeight="1">
      <c r="A61" s="451" t="s">
        <v>1164</v>
      </c>
      <c r="B61" s="31" t="s">
        <v>58</v>
      </c>
      <c r="C61" s="278" t="s">
        <v>90</v>
      </c>
      <c r="D61" s="279"/>
      <c r="E61" s="31">
        <v>55.32</v>
      </c>
      <c r="F61" s="35">
        <v>2042</v>
      </c>
      <c r="G61" s="277">
        <f t="shared" si="29"/>
        <v>112963.44</v>
      </c>
      <c r="H61" s="287" t="s">
        <v>103</v>
      </c>
      <c r="I61" s="284">
        <v>15</v>
      </c>
      <c r="J61" s="26">
        <v>2000</v>
      </c>
      <c r="K61" s="10">
        <f t="shared" si="15"/>
        <v>133.33333333333334</v>
      </c>
      <c r="L61" s="284">
        <v>15</v>
      </c>
      <c r="M61" s="11">
        <f t="shared" si="30"/>
        <v>1914.375000000002</v>
      </c>
      <c r="N61" s="11">
        <f t="shared" si="17"/>
        <v>127.62500000000014</v>
      </c>
      <c r="O61" s="12">
        <f t="shared" si="18"/>
        <v>0</v>
      </c>
      <c r="P61" s="13">
        <f t="shared" si="19"/>
        <v>-5.7083333333332007</v>
      </c>
      <c r="Q61" s="282">
        <f t="shared" si="20"/>
        <v>0.95718750000000097</v>
      </c>
      <c r="R61" s="442"/>
      <c r="S61" s="28">
        <v>0.7680555555555556</v>
      </c>
      <c r="T61" s="28">
        <v>0.8125</v>
      </c>
      <c r="U61" s="277">
        <f>IF(S61=TIME(17,0,0),"",(S61-T60)*24*60)</f>
        <v>4.9999999999999822</v>
      </c>
      <c r="V61" s="285">
        <f t="shared" si="31"/>
        <v>63.999999999999929</v>
      </c>
      <c r="W61" s="16"/>
      <c r="X61" s="16"/>
      <c r="Y61" s="280"/>
      <c r="Z61" s="281"/>
      <c r="AA61" s="12">
        <f t="shared" si="22"/>
        <v>-85.624999999997954</v>
      </c>
      <c r="AB61" s="282">
        <f t="shared" si="23"/>
        <v>0.95718750000000097</v>
      </c>
      <c r="AC61" s="442"/>
    </row>
    <row r="62" spans="1:29" ht="15.75" customHeight="1">
      <c r="A62" s="451" t="s">
        <v>1164</v>
      </c>
      <c r="B62" s="31" t="s">
        <v>58</v>
      </c>
      <c r="C62" s="444" t="s">
        <v>91</v>
      </c>
      <c r="D62" s="445"/>
      <c r="E62" s="31">
        <v>57.73</v>
      </c>
      <c r="F62" s="35">
        <v>1448</v>
      </c>
      <c r="G62" s="277">
        <f t="shared" si="29"/>
        <v>83593.039999999994</v>
      </c>
      <c r="H62" s="287" t="s">
        <v>103</v>
      </c>
      <c r="I62" s="284">
        <v>16</v>
      </c>
      <c r="J62" s="26">
        <v>1500</v>
      </c>
      <c r="K62" s="10">
        <f t="shared" si="15"/>
        <v>93.75</v>
      </c>
      <c r="L62" s="284">
        <v>16</v>
      </c>
      <c r="M62" s="11">
        <f t="shared" si="30"/>
        <v>1424.2622950819684</v>
      </c>
      <c r="N62" s="11">
        <f t="shared" si="17"/>
        <v>89.016393442623027</v>
      </c>
      <c r="O62" s="12">
        <f t="shared" si="18"/>
        <v>0</v>
      </c>
      <c r="P62" s="13">
        <f t="shared" si="19"/>
        <v>-4.733606557376973</v>
      </c>
      <c r="Q62" s="282">
        <f t="shared" si="20"/>
        <v>0.94950819672131226</v>
      </c>
      <c r="R62" s="442"/>
      <c r="S62" s="28">
        <v>0.81736111111111109</v>
      </c>
      <c r="T62" s="28">
        <v>0.85972222222222217</v>
      </c>
      <c r="U62" s="277">
        <f>IF(S62=TIME(17,0,0),"",(S62-T61)*24*60)</f>
        <v>6.9999999999999751</v>
      </c>
      <c r="V62" s="285">
        <f t="shared" si="31"/>
        <v>60.999999999999943</v>
      </c>
      <c r="W62" s="16"/>
      <c r="X62" s="16"/>
      <c r="Y62" s="447"/>
      <c r="Z62" s="448"/>
      <c r="AA62" s="12">
        <f t="shared" si="22"/>
        <v>-75.737704918031568</v>
      </c>
      <c r="AB62" s="282">
        <f t="shared" si="23"/>
        <v>0.94950819672131226</v>
      </c>
      <c r="AC62" s="442"/>
    </row>
    <row r="63" spans="1:29">
      <c r="A63" s="452" t="s">
        <v>1164</v>
      </c>
      <c r="B63" s="31" t="s">
        <v>1162</v>
      </c>
      <c r="C63" s="446"/>
      <c r="D63" s="446"/>
      <c r="E63" s="276"/>
      <c r="F63" s="33"/>
      <c r="G63" s="10"/>
      <c r="H63" s="286"/>
      <c r="I63" s="19">
        <v>16.333333333333332</v>
      </c>
      <c r="J63" s="26">
        <v>1916.6666666666667</v>
      </c>
      <c r="K63" s="10">
        <f t="shared" si="15"/>
        <v>117.34693877551021</v>
      </c>
      <c r="L63" s="19">
        <v>16.333333333333332</v>
      </c>
      <c r="M63" s="11">
        <f>AVERAGE(M57:M62)</f>
        <v>1828.7927205334993</v>
      </c>
      <c r="N63" s="10">
        <f t="shared" si="17"/>
        <v>111.96690125715303</v>
      </c>
      <c r="O63" s="12">
        <f t="shared" si="18"/>
        <v>0</v>
      </c>
      <c r="P63" s="13">
        <f t="shared" si="19"/>
        <v>-5.3800375183571845</v>
      </c>
      <c r="Q63" s="282">
        <f t="shared" si="20"/>
        <v>0.95415272375660831</v>
      </c>
      <c r="R63" s="442"/>
      <c r="S63" s="29"/>
      <c r="T63" s="28"/>
      <c r="U63" s="10"/>
      <c r="V63" s="285"/>
      <c r="W63" s="10"/>
      <c r="X63" s="10"/>
      <c r="Y63" s="443"/>
      <c r="Z63" s="443"/>
      <c r="AA63" s="12">
        <f t="shared" si="22"/>
        <v>-87.873946133167465</v>
      </c>
      <c r="AB63" s="282">
        <f t="shared" si="23"/>
        <v>0.95415272375660831</v>
      </c>
      <c r="AC63" s="442"/>
    </row>
    <row r="64" spans="1:29" ht="15.75" customHeight="1">
      <c r="A64" s="449" t="s">
        <v>1163</v>
      </c>
      <c r="B64" s="286" t="s">
        <v>79</v>
      </c>
      <c r="C64" s="441" t="s">
        <v>94</v>
      </c>
      <c r="D64" s="441"/>
      <c r="E64" s="31">
        <v>26.78</v>
      </c>
      <c r="F64" s="35">
        <v>2859</v>
      </c>
      <c r="G64" s="277">
        <f>E64*F64</f>
        <v>76564.02</v>
      </c>
      <c r="H64" s="287" t="s">
        <v>103</v>
      </c>
      <c r="I64" s="284">
        <v>10</v>
      </c>
      <c r="J64" s="26">
        <v>3000</v>
      </c>
      <c r="K64" s="10">
        <f t="shared" si="15"/>
        <v>300</v>
      </c>
      <c r="L64" s="19">
        <v>10</v>
      </c>
      <c r="M64" s="11">
        <f>F64/V64*60</f>
        <v>2858.9999999999986</v>
      </c>
      <c r="N64" s="10">
        <f t="shared" si="17"/>
        <v>285.89999999999986</v>
      </c>
      <c r="O64" s="12">
        <f t="shared" si="18"/>
        <v>0</v>
      </c>
      <c r="P64" s="13">
        <f t="shared" si="19"/>
        <v>-14.100000000000136</v>
      </c>
      <c r="Q64" s="282">
        <f t="shared" si="20"/>
        <v>0.95299999999999951</v>
      </c>
      <c r="R64" s="442">
        <f>Q68</f>
        <v>0.9514883007859013</v>
      </c>
      <c r="S64" s="28">
        <v>0.33333333333333331</v>
      </c>
      <c r="T64" s="28">
        <v>0.375</v>
      </c>
      <c r="U64" s="277"/>
      <c r="V64" s="285">
        <f>(T64-S64)*24*60</f>
        <v>60.000000000000028</v>
      </c>
      <c r="W64" s="18"/>
      <c r="X64" s="18"/>
      <c r="Y64" s="443"/>
      <c r="Z64" s="443"/>
      <c r="AA64" s="12">
        <f t="shared" si="22"/>
        <v>-141.00000000000136</v>
      </c>
      <c r="AB64" s="282">
        <f t="shared" si="23"/>
        <v>0.95299999999999951</v>
      </c>
      <c r="AC64" s="442">
        <f>AB68</f>
        <v>0.95148830078590141</v>
      </c>
    </row>
    <row r="65" spans="1:29" ht="15.75" customHeight="1">
      <c r="A65" s="449" t="s">
        <v>1163</v>
      </c>
      <c r="B65" s="286" t="s">
        <v>79</v>
      </c>
      <c r="C65" s="441" t="s">
        <v>97</v>
      </c>
      <c r="D65" s="441"/>
      <c r="E65" s="31">
        <v>35.119999999999997</v>
      </c>
      <c r="F65" s="35">
        <v>1330</v>
      </c>
      <c r="G65" s="277">
        <f>E65*F65</f>
        <v>46709.599999999999</v>
      </c>
      <c r="H65" s="287" t="s">
        <v>103</v>
      </c>
      <c r="I65" s="284">
        <v>13</v>
      </c>
      <c r="J65" s="26">
        <v>2000</v>
      </c>
      <c r="K65" s="10">
        <f t="shared" si="15"/>
        <v>153.84615384615384</v>
      </c>
      <c r="L65" s="19">
        <v>13</v>
      </c>
      <c r="M65" s="11">
        <f>F65/V65*60</f>
        <v>1899.9999999999995</v>
      </c>
      <c r="N65" s="10">
        <f t="shared" si="17"/>
        <v>146.15384615384613</v>
      </c>
      <c r="O65" s="12">
        <f t="shared" si="18"/>
        <v>0</v>
      </c>
      <c r="P65" s="13">
        <f t="shared" si="19"/>
        <v>-7.6923076923077076</v>
      </c>
      <c r="Q65" s="282">
        <f t="shared" si="20"/>
        <v>0.94999999999999984</v>
      </c>
      <c r="R65" s="442"/>
      <c r="S65" s="28">
        <v>0.37847222222222221</v>
      </c>
      <c r="T65" s="28">
        <v>0.40763888888888888</v>
      </c>
      <c r="U65" s="277">
        <f>(S65-T64)*24*60</f>
        <v>4.9999999999999822</v>
      </c>
      <c r="V65" s="285">
        <f>(T65-S65)*24*60</f>
        <v>42.000000000000014</v>
      </c>
      <c r="W65" s="277"/>
      <c r="X65" s="277"/>
      <c r="Y65" s="443"/>
      <c r="Z65" s="443"/>
      <c r="AA65" s="12">
        <f t="shared" si="22"/>
        <v>-100.00000000000045</v>
      </c>
      <c r="AB65" s="282">
        <f t="shared" si="23"/>
        <v>0.94999999999999973</v>
      </c>
      <c r="AC65" s="442"/>
    </row>
    <row r="66" spans="1:29" ht="15.75" customHeight="1">
      <c r="A66" s="449" t="s">
        <v>1163</v>
      </c>
      <c r="B66" s="286" t="s">
        <v>79</v>
      </c>
      <c r="C66" s="441" t="s">
        <v>98</v>
      </c>
      <c r="D66" s="441"/>
      <c r="E66" s="31">
        <v>35.869999999999997</v>
      </c>
      <c r="F66" s="35">
        <v>2427</v>
      </c>
      <c r="G66" s="277">
        <f>E66*F66</f>
        <v>87056.489999999991</v>
      </c>
      <c r="H66" s="287" t="s">
        <v>103</v>
      </c>
      <c r="I66" s="284">
        <v>10</v>
      </c>
      <c r="J66" s="26">
        <v>3000</v>
      </c>
      <c r="K66" s="10">
        <f t="shared" si="15"/>
        <v>300</v>
      </c>
      <c r="L66" s="19">
        <v>10</v>
      </c>
      <c r="M66" s="11">
        <f>F66/V66*60</f>
        <v>2855.2941176470599</v>
      </c>
      <c r="N66" s="10">
        <f t="shared" si="17"/>
        <v>285.52941176470597</v>
      </c>
      <c r="O66" s="12">
        <f t="shared" si="18"/>
        <v>0</v>
      </c>
      <c r="P66" s="13">
        <f t="shared" si="19"/>
        <v>-14.470588235294031</v>
      </c>
      <c r="Q66" s="282">
        <f t="shared" si="20"/>
        <v>0.95176470588235318</v>
      </c>
      <c r="R66" s="442"/>
      <c r="S66" s="28">
        <v>0.41319444444444442</v>
      </c>
      <c r="T66" s="28">
        <v>0.44861111111111107</v>
      </c>
      <c r="U66" s="277">
        <f>(S66-T65)*24*60</f>
        <v>7.9999999999999716</v>
      </c>
      <c r="V66" s="285">
        <f>(T66-S66)*24*60</f>
        <v>50.999999999999979</v>
      </c>
      <c r="W66" s="16">
        <f>T66</f>
        <v>0.44861111111111107</v>
      </c>
      <c r="X66" s="16">
        <f>S67</f>
        <v>0.53055555555555545</v>
      </c>
      <c r="Y66" s="443"/>
      <c r="Z66" s="443"/>
      <c r="AA66" s="12">
        <f t="shared" si="22"/>
        <v>-144.70588235294008</v>
      </c>
      <c r="AB66" s="282">
        <f t="shared" si="23"/>
        <v>0.95176470588235329</v>
      </c>
      <c r="AC66" s="442"/>
    </row>
    <row r="67" spans="1:29" ht="15.75" customHeight="1">
      <c r="A67" s="449" t="s">
        <v>1163</v>
      </c>
      <c r="B67" s="286" t="s">
        <v>67</v>
      </c>
      <c r="C67" s="441" t="s">
        <v>1161</v>
      </c>
      <c r="D67" s="441"/>
      <c r="E67" s="31">
        <v>23.16</v>
      </c>
      <c r="F67" s="35">
        <v>5779</v>
      </c>
      <c r="G67" s="277">
        <f>E67*F67</f>
        <v>133841.64000000001</v>
      </c>
      <c r="H67" s="287" t="s">
        <v>103</v>
      </c>
      <c r="I67" s="284">
        <v>17</v>
      </c>
      <c r="J67" s="26">
        <v>2400</v>
      </c>
      <c r="K67" s="10">
        <f t="shared" si="15"/>
        <v>141.1764705882353</v>
      </c>
      <c r="L67" s="19">
        <v>17</v>
      </c>
      <c r="M67" s="11">
        <f>F67/V67*60</f>
        <v>2281.1842105263163</v>
      </c>
      <c r="N67" s="10">
        <f t="shared" si="17"/>
        <v>134.18730650154802</v>
      </c>
      <c r="O67" s="12">
        <f t="shared" si="18"/>
        <v>0</v>
      </c>
      <c r="P67" s="13">
        <f t="shared" si="19"/>
        <v>-6.989164086687282</v>
      </c>
      <c r="Q67" s="282">
        <f t="shared" si="20"/>
        <v>0.95049342105263179</v>
      </c>
      <c r="R67" s="442"/>
      <c r="S67" s="28">
        <v>0.53055555555555545</v>
      </c>
      <c r="T67" s="28">
        <v>0.63611111111111096</v>
      </c>
      <c r="U67" s="277">
        <f>(S67-T66)*24*60</f>
        <v>117.9999999999999</v>
      </c>
      <c r="V67" s="285">
        <f>(T67-S67)*24*60</f>
        <v>151.99999999999994</v>
      </c>
      <c r="W67" s="277"/>
      <c r="X67" s="277"/>
      <c r="Y67" s="443"/>
      <c r="Z67" s="443"/>
      <c r="AA67" s="12">
        <f t="shared" si="22"/>
        <v>-118.81578947368371</v>
      </c>
      <c r="AB67" s="282">
        <f t="shared" si="23"/>
        <v>0.95049342105263179</v>
      </c>
      <c r="AC67" s="442"/>
    </row>
    <row r="68" spans="1:29">
      <c r="A68" s="450" t="s">
        <v>1163</v>
      </c>
      <c r="B68" s="31" t="s">
        <v>1162</v>
      </c>
      <c r="C68" s="446"/>
      <c r="D68" s="446"/>
      <c r="E68" s="276"/>
      <c r="F68" s="33"/>
      <c r="G68" s="10"/>
      <c r="H68" s="286"/>
      <c r="I68" s="19">
        <v>12.5</v>
      </c>
      <c r="J68" s="26">
        <v>2600</v>
      </c>
      <c r="K68" s="10">
        <f t="shared" si="15"/>
        <v>208</v>
      </c>
      <c r="L68" s="19">
        <v>12.5</v>
      </c>
      <c r="M68" s="11">
        <f>AVERAGE(M64:M67)</f>
        <v>2473.8695820433436</v>
      </c>
      <c r="N68" s="10">
        <f t="shared" si="17"/>
        <v>197.90956656346748</v>
      </c>
      <c r="O68" s="12">
        <f t="shared" si="18"/>
        <v>0</v>
      </c>
      <c r="P68" s="13">
        <f t="shared" si="19"/>
        <v>-10.090433436532521</v>
      </c>
      <c r="Q68" s="282">
        <f t="shared" si="20"/>
        <v>0.9514883007859013</v>
      </c>
      <c r="R68" s="442"/>
      <c r="S68" s="28"/>
      <c r="T68" s="28"/>
      <c r="U68" s="10"/>
      <c r="V68" s="285"/>
      <c r="W68" s="10"/>
      <c r="X68" s="10"/>
      <c r="Y68" s="443"/>
      <c r="Z68" s="443"/>
      <c r="AA68" s="12">
        <f t="shared" si="22"/>
        <v>-126.1304179566564</v>
      </c>
      <c r="AB68" s="282">
        <f t="shared" si="23"/>
        <v>0.95148830078590141</v>
      </c>
      <c r="AC68" s="442"/>
    </row>
    <row r="69" spans="1:29" ht="15.75" customHeight="1">
      <c r="A69" s="439" t="s">
        <v>1160</v>
      </c>
      <c r="B69" s="286" t="s">
        <v>67</v>
      </c>
      <c r="C69" s="441" t="s">
        <v>99</v>
      </c>
      <c r="D69" s="441"/>
      <c r="E69" s="31">
        <v>20.2</v>
      </c>
      <c r="F69" s="286">
        <v>3003</v>
      </c>
      <c r="G69" s="277">
        <f t="shared" ref="G69:G75" si="32">E69*F69</f>
        <v>60660.6</v>
      </c>
      <c r="H69" s="287" t="s">
        <v>103</v>
      </c>
      <c r="I69" s="284">
        <v>19</v>
      </c>
      <c r="J69" s="26">
        <v>2400</v>
      </c>
      <c r="K69" s="10">
        <f t="shared" ref="K69:K76" si="33">J69/I69</f>
        <v>126.31578947368421</v>
      </c>
      <c r="L69" s="19">
        <v>19</v>
      </c>
      <c r="M69" s="11">
        <f t="shared" ref="M69:M75" si="34">F69/V69*60</f>
        <v>2280.7594936708856</v>
      </c>
      <c r="N69" s="10">
        <f t="shared" ref="N69:N76" si="35">M69/L69</f>
        <v>120.03997335109925</v>
      </c>
      <c r="O69" s="12">
        <f t="shared" ref="O69:O76" si="36">L69-I69</f>
        <v>0</v>
      </c>
      <c r="P69" s="13">
        <f t="shared" ref="P69:P76" si="37">N69-K69</f>
        <v>-6.2758161225849562</v>
      </c>
      <c r="Q69" s="282">
        <f t="shared" ref="Q69:Q76" si="38">N69/K69</f>
        <v>0.95031645569620238</v>
      </c>
      <c r="R69" s="442">
        <f>Q76</f>
        <v>0.95317167014897564</v>
      </c>
      <c r="S69" s="28">
        <v>8.3333333333333329E-2</v>
      </c>
      <c r="T69" s="28">
        <v>0.13819444444444445</v>
      </c>
      <c r="U69" s="18"/>
      <c r="V69" s="285">
        <f t="shared" ref="V69:V75" si="39">(T69-S69)*24*60</f>
        <v>79.000000000000014</v>
      </c>
      <c r="W69" s="16">
        <f>T69</f>
        <v>0.13819444444444445</v>
      </c>
      <c r="X69" s="16">
        <f>S70</f>
        <v>0.15833333333333335</v>
      </c>
      <c r="Y69" s="443"/>
      <c r="Z69" s="443"/>
      <c r="AA69" s="12">
        <f t="shared" ref="AA69:AA76" si="40">M69-J69</f>
        <v>-119.2405063291144</v>
      </c>
      <c r="AB69" s="282">
        <f t="shared" ref="AB69:AB76" si="41">M69/J69</f>
        <v>0.95031645569620238</v>
      </c>
      <c r="AC69" s="442">
        <f>AB76</f>
        <v>0.95317167014897564</v>
      </c>
    </row>
    <row r="70" spans="1:29" ht="15.75" customHeight="1">
      <c r="A70" s="439" t="s">
        <v>1159</v>
      </c>
      <c r="B70" s="286" t="s">
        <v>67</v>
      </c>
      <c r="C70" s="441" t="s">
        <v>100</v>
      </c>
      <c r="D70" s="441"/>
      <c r="E70" s="31">
        <v>19.02</v>
      </c>
      <c r="F70" s="286">
        <v>8500</v>
      </c>
      <c r="G70" s="277">
        <f t="shared" si="32"/>
        <v>161670</v>
      </c>
      <c r="H70" s="287">
        <v>2</v>
      </c>
      <c r="I70" s="284">
        <v>15</v>
      </c>
      <c r="J70" s="26">
        <v>2400</v>
      </c>
      <c r="K70" s="10">
        <f t="shared" si="33"/>
        <v>160</v>
      </c>
      <c r="L70" s="19">
        <v>15</v>
      </c>
      <c r="M70" s="11">
        <f t="shared" si="34"/>
        <v>2276.7857142857151</v>
      </c>
      <c r="N70" s="10">
        <f t="shared" si="35"/>
        <v>151.78571428571433</v>
      </c>
      <c r="O70" s="12">
        <f t="shared" si="36"/>
        <v>0</v>
      </c>
      <c r="P70" s="13">
        <f t="shared" si="37"/>
        <v>-8.2142857142856656</v>
      </c>
      <c r="Q70" s="282">
        <f t="shared" si="38"/>
        <v>0.94866071428571463</v>
      </c>
      <c r="R70" s="442"/>
      <c r="S70" s="28">
        <v>0.15833333333333335</v>
      </c>
      <c r="T70" s="28">
        <v>0.31388888888888888</v>
      </c>
      <c r="U70" s="277">
        <f t="shared" ref="U70:U75" si="42">(S70-T69)*24*60</f>
        <v>29.000000000000018</v>
      </c>
      <c r="V70" s="285">
        <f t="shared" si="39"/>
        <v>223.99999999999994</v>
      </c>
      <c r="W70" s="16"/>
      <c r="X70" s="16"/>
      <c r="Y70" s="443"/>
      <c r="Z70" s="443"/>
      <c r="AA70" s="12">
        <f t="shared" si="40"/>
        <v>-123.21428571428487</v>
      </c>
      <c r="AB70" s="282">
        <f t="shared" si="41"/>
        <v>0.94866071428571463</v>
      </c>
      <c r="AC70" s="442"/>
    </row>
    <row r="71" spans="1:29" ht="15.75" customHeight="1">
      <c r="A71" s="439" t="s">
        <v>1159</v>
      </c>
      <c r="B71" s="286" t="s">
        <v>67</v>
      </c>
      <c r="C71" s="441" t="s">
        <v>102</v>
      </c>
      <c r="D71" s="441"/>
      <c r="E71" s="31">
        <v>20.52</v>
      </c>
      <c r="F71" s="286">
        <v>2800</v>
      </c>
      <c r="G71" s="277">
        <f t="shared" si="32"/>
        <v>57456</v>
      </c>
      <c r="H71" s="287">
        <v>2</v>
      </c>
      <c r="I71" s="284">
        <v>18</v>
      </c>
      <c r="J71" s="26">
        <v>2400</v>
      </c>
      <c r="K71" s="10">
        <f t="shared" si="33"/>
        <v>133.33333333333334</v>
      </c>
      <c r="L71" s="19">
        <v>18</v>
      </c>
      <c r="M71" s="11">
        <f t="shared" si="34"/>
        <v>2301.3698630136987</v>
      </c>
      <c r="N71" s="10">
        <f t="shared" si="35"/>
        <v>127.85388127853882</v>
      </c>
      <c r="O71" s="12">
        <f t="shared" si="36"/>
        <v>0</v>
      </c>
      <c r="P71" s="13">
        <f t="shared" si="37"/>
        <v>-5.4794520547945211</v>
      </c>
      <c r="Q71" s="282">
        <f t="shared" si="38"/>
        <v>0.95890410958904104</v>
      </c>
      <c r="R71" s="442"/>
      <c r="S71" s="28">
        <v>0.31874999999999998</v>
      </c>
      <c r="T71" s="28">
        <v>0.36944444444444441</v>
      </c>
      <c r="U71" s="277">
        <f t="shared" si="42"/>
        <v>6.9999999999999751</v>
      </c>
      <c r="V71" s="285">
        <f t="shared" si="39"/>
        <v>72.999999999999986</v>
      </c>
      <c r="W71" s="16"/>
      <c r="X71" s="16"/>
      <c r="Y71" s="443"/>
      <c r="Z71" s="443"/>
      <c r="AA71" s="12">
        <f t="shared" si="40"/>
        <v>-98.630136986301295</v>
      </c>
      <c r="AB71" s="282">
        <f t="shared" si="41"/>
        <v>0.95890410958904115</v>
      </c>
      <c r="AC71" s="442"/>
    </row>
    <row r="72" spans="1:29" ht="15.75" customHeight="1">
      <c r="A72" s="439" t="s">
        <v>1159</v>
      </c>
      <c r="B72" s="286" t="s">
        <v>67</v>
      </c>
      <c r="C72" s="441" t="s">
        <v>70</v>
      </c>
      <c r="D72" s="441"/>
      <c r="E72" s="31">
        <v>24.25</v>
      </c>
      <c r="F72" s="286">
        <v>3836</v>
      </c>
      <c r="G72" s="277">
        <f t="shared" si="32"/>
        <v>93023</v>
      </c>
      <c r="H72" s="287" t="s">
        <v>103</v>
      </c>
      <c r="I72" s="284">
        <v>18</v>
      </c>
      <c r="J72" s="26">
        <v>2400</v>
      </c>
      <c r="K72" s="10">
        <f t="shared" si="33"/>
        <v>133.33333333333334</v>
      </c>
      <c r="L72" s="19">
        <v>18</v>
      </c>
      <c r="M72" s="11">
        <f t="shared" si="34"/>
        <v>2278.8118811881177</v>
      </c>
      <c r="N72" s="10">
        <f t="shared" si="35"/>
        <v>126.60066006600654</v>
      </c>
      <c r="O72" s="12">
        <f t="shared" si="36"/>
        <v>0</v>
      </c>
      <c r="P72" s="13">
        <f t="shared" si="37"/>
        <v>-6.7326732673268026</v>
      </c>
      <c r="Q72" s="282">
        <f t="shared" si="38"/>
        <v>0.94950495049504902</v>
      </c>
      <c r="R72" s="442"/>
      <c r="S72" s="28">
        <v>0.37361111111111106</v>
      </c>
      <c r="T72" s="28">
        <v>0.44374999999999998</v>
      </c>
      <c r="U72" s="277">
        <f t="shared" si="42"/>
        <v>5.9999999999999787</v>
      </c>
      <c r="V72" s="285">
        <f t="shared" si="39"/>
        <v>101.00000000000004</v>
      </c>
      <c r="W72" s="16"/>
      <c r="X72" s="16"/>
      <c r="Y72" s="443"/>
      <c r="Z72" s="443"/>
      <c r="AA72" s="12">
        <f t="shared" si="40"/>
        <v>-121.1881188118823</v>
      </c>
      <c r="AB72" s="282">
        <f t="shared" si="41"/>
        <v>0.94950495049504902</v>
      </c>
      <c r="AC72" s="442"/>
    </row>
    <row r="73" spans="1:29" ht="15.75" customHeight="1">
      <c r="A73" s="439" t="s">
        <v>1159</v>
      </c>
      <c r="B73" s="286" t="s">
        <v>67</v>
      </c>
      <c r="C73" s="441" t="s">
        <v>1161</v>
      </c>
      <c r="D73" s="441"/>
      <c r="E73" s="31">
        <v>23.16</v>
      </c>
      <c r="F73" s="286">
        <v>4500</v>
      </c>
      <c r="G73" s="277">
        <f t="shared" si="32"/>
        <v>104220</v>
      </c>
      <c r="H73" s="287">
        <v>2</v>
      </c>
      <c r="I73" s="284">
        <v>17</v>
      </c>
      <c r="J73" s="26">
        <v>2400</v>
      </c>
      <c r="K73" s="10">
        <f t="shared" si="33"/>
        <v>141.1764705882353</v>
      </c>
      <c r="L73" s="19">
        <v>17</v>
      </c>
      <c r="M73" s="11">
        <f t="shared" si="34"/>
        <v>2288.1355932203378</v>
      </c>
      <c r="N73" s="10">
        <f t="shared" si="35"/>
        <v>134.59621136590224</v>
      </c>
      <c r="O73" s="12">
        <f t="shared" si="36"/>
        <v>0</v>
      </c>
      <c r="P73" s="13">
        <f t="shared" si="37"/>
        <v>-6.5802592223330691</v>
      </c>
      <c r="Q73" s="282">
        <f t="shared" si="38"/>
        <v>0.95338983050847415</v>
      </c>
      <c r="R73" s="442"/>
      <c r="S73" s="28">
        <v>0.44930555555555551</v>
      </c>
      <c r="T73" s="28">
        <v>0.53125</v>
      </c>
      <c r="U73" s="277">
        <f t="shared" si="42"/>
        <v>7.9999999999999716</v>
      </c>
      <c r="V73" s="285">
        <f t="shared" si="39"/>
        <v>118.00000000000006</v>
      </c>
      <c r="W73" s="16">
        <f>T73</f>
        <v>0.53125</v>
      </c>
      <c r="X73" s="16">
        <f>S74</f>
        <v>0.57152777777777775</v>
      </c>
      <c r="Y73" s="443"/>
      <c r="Z73" s="443"/>
      <c r="AA73" s="12">
        <f t="shared" si="40"/>
        <v>-111.8644067796622</v>
      </c>
      <c r="AB73" s="282">
        <f t="shared" si="41"/>
        <v>0.95338983050847403</v>
      </c>
      <c r="AC73" s="442"/>
    </row>
    <row r="74" spans="1:29" ht="15.75" customHeight="1">
      <c r="A74" s="439" t="s">
        <v>1159</v>
      </c>
      <c r="B74" s="286" t="s">
        <v>67</v>
      </c>
      <c r="C74" s="441" t="s">
        <v>100</v>
      </c>
      <c r="D74" s="441"/>
      <c r="E74" s="31">
        <v>19.02</v>
      </c>
      <c r="F74" s="286">
        <v>3312</v>
      </c>
      <c r="G74" s="277">
        <f t="shared" si="32"/>
        <v>62994.239999999998</v>
      </c>
      <c r="H74" s="287" t="s">
        <v>103</v>
      </c>
      <c r="I74" s="284">
        <v>15</v>
      </c>
      <c r="J74" s="26">
        <v>2400</v>
      </c>
      <c r="K74" s="10">
        <f t="shared" si="33"/>
        <v>160</v>
      </c>
      <c r="L74" s="19">
        <v>15</v>
      </c>
      <c r="M74" s="11">
        <f t="shared" si="34"/>
        <v>2284.1379310344823</v>
      </c>
      <c r="N74" s="10">
        <f t="shared" si="35"/>
        <v>152.27586206896549</v>
      </c>
      <c r="O74" s="12">
        <f t="shared" si="36"/>
        <v>0</v>
      </c>
      <c r="P74" s="13">
        <f t="shared" si="37"/>
        <v>-7.7241379310345053</v>
      </c>
      <c r="Q74" s="282">
        <f t="shared" si="38"/>
        <v>0.95172413793103439</v>
      </c>
      <c r="R74" s="442"/>
      <c r="S74" s="28">
        <v>0.57152777777777775</v>
      </c>
      <c r="T74" s="28">
        <v>0.63194444444444442</v>
      </c>
      <c r="U74" s="277">
        <f t="shared" si="42"/>
        <v>57.999999999999957</v>
      </c>
      <c r="V74" s="285">
        <f t="shared" si="39"/>
        <v>87.000000000000014</v>
      </c>
      <c r="W74" s="16"/>
      <c r="X74" s="16"/>
      <c r="Y74" s="443"/>
      <c r="Z74" s="443"/>
      <c r="AA74" s="12">
        <f t="shared" si="40"/>
        <v>-115.86206896551766</v>
      </c>
      <c r="AB74" s="282">
        <f t="shared" si="41"/>
        <v>0.95172413793103428</v>
      </c>
      <c r="AC74" s="442"/>
    </row>
    <row r="75" spans="1:29" ht="15.75" customHeight="1">
      <c r="A75" s="439" t="s">
        <v>1160</v>
      </c>
      <c r="B75" s="286" t="s">
        <v>67</v>
      </c>
      <c r="C75" s="444" t="s">
        <v>102</v>
      </c>
      <c r="D75" s="445"/>
      <c r="E75" s="31">
        <v>20.52</v>
      </c>
      <c r="F75" s="286">
        <v>2572</v>
      </c>
      <c r="G75" s="277">
        <f t="shared" si="32"/>
        <v>52777.440000000002</v>
      </c>
      <c r="H75" s="287" t="s">
        <v>103</v>
      </c>
      <c r="I75" s="284">
        <v>18</v>
      </c>
      <c r="J75" s="26">
        <v>2400</v>
      </c>
      <c r="K75" s="10">
        <f t="shared" si="33"/>
        <v>133.33333333333334</v>
      </c>
      <c r="L75" s="19">
        <v>18</v>
      </c>
      <c r="M75" s="11">
        <f t="shared" si="34"/>
        <v>2303.2835820895552</v>
      </c>
      <c r="N75" s="10">
        <f t="shared" si="35"/>
        <v>127.96019900497529</v>
      </c>
      <c r="O75" s="12">
        <f t="shared" si="36"/>
        <v>0</v>
      </c>
      <c r="P75" s="13">
        <f t="shared" si="37"/>
        <v>-5.3731343283580486</v>
      </c>
      <c r="Q75" s="282">
        <f t="shared" si="38"/>
        <v>0.95970149253731463</v>
      </c>
      <c r="R75" s="442"/>
      <c r="S75" s="28">
        <v>0.63611111111111107</v>
      </c>
      <c r="T75" s="28">
        <v>0.6826388888888888</v>
      </c>
      <c r="U75" s="277">
        <f t="shared" si="42"/>
        <v>5.9999999999999787</v>
      </c>
      <c r="V75" s="285">
        <f t="shared" si="39"/>
        <v>66.999999999999915</v>
      </c>
      <c r="W75" s="16"/>
      <c r="X75" s="16"/>
      <c r="Y75" s="447"/>
      <c r="Z75" s="448"/>
      <c r="AA75" s="12">
        <f t="shared" si="40"/>
        <v>-96.716417910444761</v>
      </c>
      <c r="AB75" s="282">
        <f t="shared" si="41"/>
        <v>0.95970149253731474</v>
      </c>
      <c r="AC75" s="442"/>
    </row>
    <row r="76" spans="1:29" ht="16.5" customHeight="1">
      <c r="A76" s="440" t="s">
        <v>1159</v>
      </c>
      <c r="B76" s="31" t="s">
        <v>1158</v>
      </c>
      <c r="C76" s="446"/>
      <c r="D76" s="446"/>
      <c r="E76" s="276"/>
      <c r="F76" s="33"/>
      <c r="G76" s="10"/>
      <c r="H76" s="286"/>
      <c r="I76" s="19">
        <v>17.142857142857142</v>
      </c>
      <c r="J76" s="26">
        <v>2400</v>
      </c>
      <c r="K76" s="10">
        <f t="shared" si="33"/>
        <v>140</v>
      </c>
      <c r="L76" s="19">
        <v>17.142857142857142</v>
      </c>
      <c r="M76" s="11">
        <f>AVERAGE(M69:M75)</f>
        <v>2287.6120083575415</v>
      </c>
      <c r="N76" s="10">
        <f t="shared" si="35"/>
        <v>133.44403382085659</v>
      </c>
      <c r="O76" s="12">
        <f t="shared" si="36"/>
        <v>0</v>
      </c>
      <c r="P76" s="13">
        <f t="shared" si="37"/>
        <v>-6.555966179143411</v>
      </c>
      <c r="Q76" s="282">
        <f t="shared" si="38"/>
        <v>0.95317167014897564</v>
      </c>
      <c r="R76" s="442"/>
      <c r="S76" s="28"/>
      <c r="T76" s="28"/>
      <c r="U76" s="10"/>
      <c r="V76" s="285"/>
      <c r="W76" s="10"/>
      <c r="X76" s="10"/>
      <c r="Y76" s="443"/>
      <c r="Z76" s="443"/>
      <c r="AA76" s="12">
        <f t="shared" si="40"/>
        <v>-112.38799164245847</v>
      </c>
      <c r="AB76" s="282">
        <f t="shared" si="41"/>
        <v>0.95317167014897564</v>
      </c>
      <c r="AC76" s="442"/>
    </row>
    <row r="77" spans="1:29">
      <c r="D77" s="22"/>
      <c r="E77" s="22"/>
    </row>
  </sheetData>
  <mergeCells count="200">
    <mergeCell ref="A69:A76"/>
    <mergeCell ref="C69:D69"/>
    <mergeCell ref="R69:R76"/>
    <mergeCell ref="Y69:Z69"/>
    <mergeCell ref="Y74:Z74"/>
    <mergeCell ref="C75:D75"/>
    <mergeCell ref="Y75:Z75"/>
    <mergeCell ref="AC64:AC68"/>
    <mergeCell ref="Y73:Z73"/>
    <mergeCell ref="C74:D74"/>
    <mergeCell ref="C76:D76"/>
    <mergeCell ref="Y76:Z76"/>
    <mergeCell ref="AC69:AC76"/>
    <mergeCell ref="C70:D70"/>
    <mergeCell ref="Y70:Z70"/>
    <mergeCell ref="C71:D71"/>
    <mergeCell ref="Y71:Z71"/>
    <mergeCell ref="C72:D72"/>
    <mergeCell ref="Y72:Z72"/>
    <mergeCell ref="C73:D73"/>
    <mergeCell ref="AC57:AC63"/>
    <mergeCell ref="C58:D58"/>
    <mergeCell ref="Y58:Z58"/>
    <mergeCell ref="C59:D59"/>
    <mergeCell ref="C62:D62"/>
    <mergeCell ref="Y62:Z62"/>
    <mergeCell ref="A64:A68"/>
    <mergeCell ref="C64:D64"/>
    <mergeCell ref="R64:R68"/>
    <mergeCell ref="Y64:Z64"/>
    <mergeCell ref="C67:D67"/>
    <mergeCell ref="C68:D68"/>
    <mergeCell ref="Y68:Z68"/>
    <mergeCell ref="C63:D63"/>
    <mergeCell ref="Y63:Z63"/>
    <mergeCell ref="Y67:Z67"/>
    <mergeCell ref="A57:A63"/>
    <mergeCell ref="C57:D57"/>
    <mergeCell ref="R57:R63"/>
    <mergeCell ref="Y57:Z57"/>
    <mergeCell ref="C65:D65"/>
    <mergeCell ref="Y65:Z65"/>
    <mergeCell ref="C66:D66"/>
    <mergeCell ref="Y66:Z66"/>
    <mergeCell ref="A49:A56"/>
    <mergeCell ref="C49:D49"/>
    <mergeCell ref="R49:R56"/>
    <mergeCell ref="Y49:Z49"/>
    <mergeCell ref="Y54:Z54"/>
    <mergeCell ref="C55:D55"/>
    <mergeCell ref="Y55:Z55"/>
    <mergeCell ref="Y52:Z52"/>
    <mergeCell ref="C53:D53"/>
    <mergeCell ref="Y53:Z53"/>
    <mergeCell ref="C42:D42"/>
    <mergeCell ref="Y42:Z42"/>
    <mergeCell ref="C43:D43"/>
    <mergeCell ref="Y43:Z43"/>
    <mergeCell ref="R37:R48"/>
    <mergeCell ref="Y37:Z37"/>
    <mergeCell ref="C48:D48"/>
    <mergeCell ref="Y48:Z48"/>
    <mergeCell ref="C54:D54"/>
    <mergeCell ref="C45:D45"/>
    <mergeCell ref="C44:D44"/>
    <mergeCell ref="Y44:Z44"/>
    <mergeCell ref="Y45:Z45"/>
    <mergeCell ref="C46:D46"/>
    <mergeCell ref="Y46:Z46"/>
    <mergeCell ref="Y40:Z40"/>
    <mergeCell ref="AC49:AC56"/>
    <mergeCell ref="C50:D50"/>
    <mergeCell ref="Y50:Z50"/>
    <mergeCell ref="C51:D51"/>
    <mergeCell ref="Y51:Z51"/>
    <mergeCell ref="C52:D52"/>
    <mergeCell ref="AC26:AC36"/>
    <mergeCell ref="C27:D27"/>
    <mergeCell ref="Y27:Z27"/>
    <mergeCell ref="C28:D28"/>
    <mergeCell ref="Y28:Z28"/>
    <mergeCell ref="AC37:AC48"/>
    <mergeCell ref="C38:D38"/>
    <mergeCell ref="Y38:Z38"/>
    <mergeCell ref="C39:D39"/>
    <mergeCell ref="Y39:Z39"/>
    <mergeCell ref="C40:D40"/>
    <mergeCell ref="C47:D47"/>
    <mergeCell ref="Y47:Z47"/>
    <mergeCell ref="C37:D37"/>
    <mergeCell ref="C56:D56"/>
    <mergeCell ref="Y56:Z56"/>
    <mergeCell ref="C41:D41"/>
    <mergeCell ref="Y41:Z41"/>
    <mergeCell ref="Y36:Z36"/>
    <mergeCell ref="C33:D33"/>
    <mergeCell ref="C29:D29"/>
    <mergeCell ref="Y29:Z29"/>
    <mergeCell ref="C30:D30"/>
    <mergeCell ref="Y30:Z30"/>
    <mergeCell ref="C31:D31"/>
    <mergeCell ref="Y33:Z33"/>
    <mergeCell ref="C34:D34"/>
    <mergeCell ref="Y34:Z34"/>
    <mergeCell ref="C35:D35"/>
    <mergeCell ref="Y35:Z35"/>
    <mergeCell ref="A37:A48"/>
    <mergeCell ref="AC20:AC25"/>
    <mergeCell ref="C21:D21"/>
    <mergeCell ref="Y21:Z21"/>
    <mergeCell ref="C22:D22"/>
    <mergeCell ref="Y22:Z22"/>
    <mergeCell ref="C23:D23"/>
    <mergeCell ref="Y23:Z23"/>
    <mergeCell ref="C24:D24"/>
    <mergeCell ref="Y24:Z24"/>
    <mergeCell ref="C25:D25"/>
    <mergeCell ref="A20:A25"/>
    <mergeCell ref="C20:D20"/>
    <mergeCell ref="R20:R25"/>
    <mergeCell ref="Y20:Z20"/>
    <mergeCell ref="Y25:Z25"/>
    <mergeCell ref="A26:A36"/>
    <mergeCell ref="C26:D26"/>
    <mergeCell ref="R26:R36"/>
    <mergeCell ref="Y26:Z26"/>
    <mergeCell ref="Y31:Z31"/>
    <mergeCell ref="C32:D32"/>
    <mergeCell ref="Y32:Z32"/>
    <mergeCell ref="C36:D36"/>
    <mergeCell ref="AC13:AC19"/>
    <mergeCell ref="C14:D14"/>
    <mergeCell ref="Y14:Z14"/>
    <mergeCell ref="C15:D15"/>
    <mergeCell ref="Y15:Z15"/>
    <mergeCell ref="C16:D16"/>
    <mergeCell ref="Y16:Z16"/>
    <mergeCell ref="C17:D17"/>
    <mergeCell ref="Y17:Z17"/>
    <mergeCell ref="C18:D18"/>
    <mergeCell ref="C19:D19"/>
    <mergeCell ref="Y19:Z19"/>
    <mergeCell ref="A13:A19"/>
    <mergeCell ref="C13:D13"/>
    <mergeCell ref="R13:R19"/>
    <mergeCell ref="Y13:Z13"/>
    <mergeCell ref="Y18:Z18"/>
    <mergeCell ref="AC5:AC8"/>
    <mergeCell ref="C6:D6"/>
    <mergeCell ref="Y6:Z6"/>
    <mergeCell ref="C7:D7"/>
    <mergeCell ref="Y7:Z7"/>
    <mergeCell ref="C8:D8"/>
    <mergeCell ref="Y8:Z8"/>
    <mergeCell ref="AC9:AC12"/>
    <mergeCell ref="C10:D10"/>
    <mergeCell ref="Y10:Z10"/>
    <mergeCell ref="C11:D11"/>
    <mergeCell ref="Y11:Z11"/>
    <mergeCell ref="A9:A12"/>
    <mergeCell ref="C9:D9"/>
    <mergeCell ref="R9:R12"/>
    <mergeCell ref="Y9:Z9"/>
    <mergeCell ref="C12:D12"/>
    <mergeCell ref="Y12:Z12"/>
    <mergeCell ref="Y5:Z5"/>
    <mergeCell ref="AB3:AB4"/>
    <mergeCell ref="H3:H4"/>
    <mergeCell ref="I3:I4"/>
    <mergeCell ref="J3:J4"/>
    <mergeCell ref="K3:K4"/>
    <mergeCell ref="L3:L4"/>
    <mergeCell ref="M3:M4"/>
    <mergeCell ref="A5:A8"/>
    <mergeCell ref="C5:D5"/>
    <mergeCell ref="R5:R8"/>
    <mergeCell ref="AC3:AC4"/>
    <mergeCell ref="U3:U4"/>
    <mergeCell ref="V3:V4"/>
    <mergeCell ref="W3:X3"/>
    <mergeCell ref="Y3:Z4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AA3:AA4"/>
  </mergeCells>
  <phoneticPr fontId="3" type="noConversion"/>
  <conditionalFormatting sqref="O67:O74 O76 O5:O9 O12:O14 O56:O64 O19:O33 O36:O54">
    <cfRule type="cellIs" dxfId="912" priority="63" operator="greaterThan">
      <formula>0</formula>
    </cfRule>
  </conditionalFormatting>
  <conditionalFormatting sqref="P5:P7 P67 AA67 P69:P74 P26:P33 P64 P9 P12:P14 P20:P24 P57:P62 P37:P54 AA5:AA64 AA69:AA76">
    <cfRule type="cellIs" dxfId="911" priority="67" operator="lessThan">
      <formula>0</formula>
    </cfRule>
  </conditionalFormatting>
  <conditionalFormatting sqref="AB67 Q67:Q74 Q76 Q5:Q9 Q12:Q14 Q56:Q64 Q19:Q33 Q36:Q54 AB5:AB64 AB69:AB76">
    <cfRule type="cellIs" dxfId="910" priority="64" operator="greaterThan">
      <formula>1</formula>
    </cfRule>
    <cfRule type="cellIs" dxfId="909" priority="65" operator="lessThan">
      <formula>0.8</formula>
    </cfRule>
  </conditionalFormatting>
  <conditionalFormatting sqref="AC13:AC14 R13:R14 AC67 R67:R74 AC19:AC33 R19:R33 R36:R44 AC36:AC44 R76 AC5:AC9 R5:R9 R48:R54 AC48:AC54 AC56:AC64 R56:R64">
    <cfRule type="cellIs" dxfId="908" priority="69" operator="lessThan">
      <formula>0.8</formula>
    </cfRule>
  </conditionalFormatting>
  <conditionalFormatting sqref="AC49">
    <cfRule type="cellIs" dxfId="907" priority="71" operator="lessThan">
      <formula>0.8</formula>
    </cfRule>
  </conditionalFormatting>
  <conditionalFormatting sqref="AC20:AC24">
    <cfRule type="cellIs" dxfId="906" priority="68" operator="lessThan">
      <formula>0.8</formula>
    </cfRule>
  </conditionalFormatting>
  <conditionalFormatting sqref="AC26">
    <cfRule type="cellIs" dxfId="905" priority="70" operator="lessThan">
      <formula>0.8</formula>
    </cfRule>
  </conditionalFormatting>
  <conditionalFormatting sqref="AC37:AC44">
    <cfRule type="cellIs" dxfId="904" priority="66" operator="lessThan">
      <formula>0.8</formula>
    </cfRule>
  </conditionalFormatting>
  <conditionalFormatting sqref="AA68">
    <cfRule type="cellIs" dxfId="903" priority="62" operator="lessThan">
      <formula>0</formula>
    </cfRule>
  </conditionalFormatting>
  <conditionalFormatting sqref="AB68">
    <cfRule type="cellIs" dxfId="902" priority="60" operator="greaterThan">
      <formula>1</formula>
    </cfRule>
    <cfRule type="cellIs" dxfId="901" priority="61" operator="lessThan">
      <formula>0.8</formula>
    </cfRule>
  </conditionalFormatting>
  <conditionalFormatting sqref="O15:O16">
    <cfRule type="cellIs" dxfId="900" priority="55" operator="greaterThan">
      <formula>0</formula>
    </cfRule>
  </conditionalFormatting>
  <conditionalFormatting sqref="P15:P16">
    <cfRule type="cellIs" dxfId="899" priority="58" operator="lessThan">
      <formula>0</formula>
    </cfRule>
  </conditionalFormatting>
  <conditionalFormatting sqref="Q15:Q16">
    <cfRule type="cellIs" dxfId="898" priority="56" operator="greaterThan">
      <formula>1</formula>
    </cfRule>
    <cfRule type="cellIs" dxfId="897" priority="57" operator="lessThan">
      <formula>0.8</formula>
    </cfRule>
  </conditionalFormatting>
  <conditionalFormatting sqref="R15:R16 AC15:AC16">
    <cfRule type="cellIs" dxfId="896" priority="59" operator="lessThan">
      <formula>0.8</formula>
    </cfRule>
  </conditionalFormatting>
  <conditionalFormatting sqref="O10:O11">
    <cfRule type="cellIs" dxfId="895" priority="51" operator="greaterThan">
      <formula>0</formula>
    </cfRule>
  </conditionalFormatting>
  <conditionalFormatting sqref="P10:P11">
    <cfRule type="cellIs" dxfId="894" priority="54" operator="lessThan">
      <formula>0</formula>
    </cfRule>
  </conditionalFormatting>
  <conditionalFormatting sqref="Q10:Q11">
    <cfRule type="cellIs" dxfId="893" priority="52" operator="greaterThan">
      <formula>1</formula>
    </cfRule>
    <cfRule type="cellIs" dxfId="892" priority="53" operator="lessThan">
      <formula>0.8</formula>
    </cfRule>
  </conditionalFormatting>
  <conditionalFormatting sqref="R45 AC45">
    <cfRule type="cellIs" dxfId="891" priority="50" operator="lessThan">
      <formula>0.8</formula>
    </cfRule>
  </conditionalFormatting>
  <conditionalFormatting sqref="AC45">
    <cfRule type="cellIs" dxfId="890" priority="49" operator="lessThan">
      <formula>0.8</formula>
    </cfRule>
  </conditionalFormatting>
  <conditionalFormatting sqref="O66">
    <cfRule type="cellIs" dxfId="889" priority="44" operator="greaterThan">
      <formula>0</formula>
    </cfRule>
  </conditionalFormatting>
  <conditionalFormatting sqref="P66 AA66">
    <cfRule type="cellIs" dxfId="888" priority="47" operator="lessThan">
      <formula>0</formula>
    </cfRule>
  </conditionalFormatting>
  <conditionalFormatting sqref="Q66 AB66">
    <cfRule type="cellIs" dxfId="887" priority="45" operator="greaterThan">
      <formula>1</formula>
    </cfRule>
    <cfRule type="cellIs" dxfId="886" priority="46" operator="lessThan">
      <formula>0.8</formula>
    </cfRule>
  </conditionalFormatting>
  <conditionalFormatting sqref="R66 AC66">
    <cfRule type="cellIs" dxfId="885" priority="48" operator="lessThan">
      <formula>0.8</formula>
    </cfRule>
  </conditionalFormatting>
  <conditionalFormatting sqref="O34">
    <cfRule type="cellIs" dxfId="884" priority="39" operator="greaterThan">
      <formula>0</formula>
    </cfRule>
  </conditionalFormatting>
  <conditionalFormatting sqref="P34">
    <cfRule type="cellIs" dxfId="883" priority="42" operator="lessThan">
      <formula>0</formula>
    </cfRule>
  </conditionalFormatting>
  <conditionalFormatting sqref="Q34">
    <cfRule type="cellIs" dxfId="882" priority="40" operator="greaterThan">
      <formula>1</formula>
    </cfRule>
    <cfRule type="cellIs" dxfId="881" priority="41" operator="lessThan">
      <formula>0.8</formula>
    </cfRule>
  </conditionalFormatting>
  <conditionalFormatting sqref="R34 AC34">
    <cfRule type="cellIs" dxfId="880" priority="43" operator="lessThan">
      <formula>0.8</formula>
    </cfRule>
  </conditionalFormatting>
  <conditionalFormatting sqref="R47 AC47">
    <cfRule type="cellIs" dxfId="879" priority="38" operator="lessThan">
      <formula>0.8</formula>
    </cfRule>
  </conditionalFormatting>
  <conditionalFormatting sqref="AC47">
    <cfRule type="cellIs" dxfId="878" priority="37" operator="lessThan">
      <formula>0.8</formula>
    </cfRule>
  </conditionalFormatting>
  <conditionalFormatting sqref="O75">
    <cfRule type="cellIs" dxfId="877" priority="32" operator="greaterThan">
      <formula>0</formula>
    </cfRule>
  </conditionalFormatting>
  <conditionalFormatting sqref="P75">
    <cfRule type="cellIs" dxfId="876" priority="35" operator="lessThan">
      <formula>0</formula>
    </cfRule>
  </conditionalFormatting>
  <conditionalFormatting sqref="Q75">
    <cfRule type="cellIs" dxfId="875" priority="33" operator="greaterThan">
      <formula>1</formula>
    </cfRule>
    <cfRule type="cellIs" dxfId="874" priority="34" operator="lessThan">
      <formula>0.8</formula>
    </cfRule>
  </conditionalFormatting>
  <conditionalFormatting sqref="R75">
    <cfRule type="cellIs" dxfId="873" priority="36" operator="lessThan">
      <formula>0.8</formula>
    </cfRule>
  </conditionalFormatting>
  <conditionalFormatting sqref="O17:O18">
    <cfRule type="cellIs" dxfId="872" priority="27" operator="greaterThan">
      <formula>0</formula>
    </cfRule>
  </conditionalFormatting>
  <conditionalFormatting sqref="P17:P18">
    <cfRule type="cellIs" dxfId="871" priority="30" operator="lessThan">
      <formula>0</formula>
    </cfRule>
  </conditionalFormatting>
  <conditionalFormatting sqref="Q17:Q18">
    <cfRule type="cellIs" dxfId="870" priority="28" operator="greaterThan">
      <formula>1</formula>
    </cfRule>
    <cfRule type="cellIs" dxfId="869" priority="29" operator="lessThan">
      <formula>0.8</formula>
    </cfRule>
  </conditionalFormatting>
  <conditionalFormatting sqref="R17:R18 AC17:AC18">
    <cfRule type="cellIs" dxfId="868" priority="31" operator="lessThan">
      <formula>0.8</formula>
    </cfRule>
  </conditionalFormatting>
  <conditionalFormatting sqref="O35">
    <cfRule type="cellIs" dxfId="867" priority="22" operator="greaterThan">
      <formula>0</formula>
    </cfRule>
  </conditionalFormatting>
  <conditionalFormatting sqref="P35">
    <cfRule type="cellIs" dxfId="866" priority="25" operator="lessThan">
      <formula>0</formula>
    </cfRule>
  </conditionalFormatting>
  <conditionalFormatting sqref="Q35">
    <cfRule type="cellIs" dxfId="865" priority="23" operator="greaterThan">
      <formula>1</formula>
    </cfRule>
    <cfRule type="cellIs" dxfId="864" priority="24" operator="lessThan">
      <formula>0.8</formula>
    </cfRule>
  </conditionalFormatting>
  <conditionalFormatting sqref="R35 AC35">
    <cfRule type="cellIs" dxfId="863" priority="26" operator="lessThan">
      <formula>0.8</formula>
    </cfRule>
  </conditionalFormatting>
  <conditionalFormatting sqref="O55">
    <cfRule type="cellIs" dxfId="862" priority="16" operator="greaterThan">
      <formula>0</formula>
    </cfRule>
  </conditionalFormatting>
  <conditionalFormatting sqref="P55">
    <cfRule type="cellIs" dxfId="861" priority="20" operator="lessThan">
      <formula>0</formula>
    </cfRule>
  </conditionalFormatting>
  <conditionalFormatting sqref="Q55">
    <cfRule type="cellIs" dxfId="860" priority="17" operator="greaterThan">
      <formula>1</formula>
    </cfRule>
    <cfRule type="cellIs" dxfId="859" priority="18" operator="lessThan">
      <formula>0.8</formula>
    </cfRule>
  </conditionalFormatting>
  <conditionalFormatting sqref="R55 AC55">
    <cfRule type="cellIs" dxfId="858" priority="21" operator="lessThan">
      <formula>0.8</formula>
    </cfRule>
  </conditionalFormatting>
  <conditionalFormatting sqref="AC55">
    <cfRule type="cellIs" dxfId="857" priority="19" operator="lessThan">
      <formula>0.8</formula>
    </cfRule>
  </conditionalFormatting>
  <conditionalFormatting sqref="O65">
    <cfRule type="cellIs" dxfId="856" priority="11" operator="greaterThan">
      <formula>0</formula>
    </cfRule>
  </conditionalFormatting>
  <conditionalFormatting sqref="P65 AA65">
    <cfRule type="cellIs" dxfId="855" priority="14" operator="lessThan">
      <formula>0</formula>
    </cfRule>
  </conditionalFormatting>
  <conditionalFormatting sqref="Q65 AB65">
    <cfRule type="cellIs" dxfId="854" priority="12" operator="greaterThan">
      <formula>1</formula>
    </cfRule>
    <cfRule type="cellIs" dxfId="853" priority="13" operator="lessThan">
      <formula>0.8</formula>
    </cfRule>
  </conditionalFormatting>
  <conditionalFormatting sqref="R65 AC65">
    <cfRule type="cellIs" dxfId="852" priority="15" operator="lessThan">
      <formula>0.8</formula>
    </cfRule>
  </conditionalFormatting>
  <conditionalFormatting sqref="P8">
    <cfRule type="cellIs" dxfId="851" priority="10" operator="lessThan">
      <formula>0</formula>
    </cfRule>
  </conditionalFormatting>
  <conditionalFormatting sqref="P19">
    <cfRule type="cellIs" dxfId="850" priority="9" operator="lessThan">
      <formula>0</formula>
    </cfRule>
  </conditionalFormatting>
  <conditionalFormatting sqref="P25">
    <cfRule type="cellIs" dxfId="849" priority="8" operator="lessThan">
      <formula>0</formula>
    </cfRule>
  </conditionalFormatting>
  <conditionalFormatting sqref="P36">
    <cfRule type="cellIs" dxfId="848" priority="7" operator="lessThan">
      <formula>0</formula>
    </cfRule>
  </conditionalFormatting>
  <conditionalFormatting sqref="P56">
    <cfRule type="cellIs" dxfId="847" priority="6" operator="lessThan">
      <formula>0</formula>
    </cfRule>
  </conditionalFormatting>
  <conditionalFormatting sqref="P63">
    <cfRule type="cellIs" dxfId="846" priority="5" operator="lessThan">
      <formula>0</formula>
    </cfRule>
  </conditionalFormatting>
  <conditionalFormatting sqref="P68">
    <cfRule type="cellIs" dxfId="845" priority="4" operator="lessThan">
      <formula>0</formula>
    </cfRule>
  </conditionalFormatting>
  <conditionalFormatting sqref="P76">
    <cfRule type="cellIs" dxfId="844" priority="3" operator="lessThan">
      <formula>0</formula>
    </cfRule>
  </conditionalFormatting>
  <conditionalFormatting sqref="R46 AC46">
    <cfRule type="cellIs" dxfId="843" priority="2" operator="lessThan">
      <formula>0.8</formula>
    </cfRule>
  </conditionalFormatting>
  <conditionalFormatting sqref="AC46">
    <cfRule type="cellIs" dxfId="842" priority="1" operator="lessThan">
      <formula>0.8</formula>
    </cfRule>
  </conditionalFormatting>
  <dataValidations count="1">
    <dataValidation type="list" allowBlank="1" showInputMessage="1" showErrorMessage="1" sqref="Z8 Y5:Z7 Y8:Y67 Z10:Z64 Y68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B1:Q28"/>
  <sheetViews>
    <sheetView zoomScale="70" zoomScaleNormal="70" workbookViewId="0">
      <selection activeCell="D26" sqref="D26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108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261" t="s">
        <v>1082</v>
      </c>
      <c r="C3" s="493" t="str">
        <f>TEXT('0915 4度C'!A2,"yyyy.mm.ddaaaa")</f>
        <v>2025.09.15星期一</v>
      </c>
      <c r="D3" s="493"/>
      <c r="E3" s="261" t="s">
        <v>1083</v>
      </c>
      <c r="F3" s="494">
        <f>'0915 4度C'!D1</f>
        <v>186709</v>
      </c>
      <c r="G3" s="494"/>
      <c r="H3" s="261" t="s">
        <v>1084</v>
      </c>
      <c r="I3" s="495">
        <f>'0915 4度C'!F1</f>
        <v>6231365.4199999999</v>
      </c>
      <c r="J3" s="495"/>
      <c r="K3" s="45"/>
      <c r="L3" s="46"/>
      <c r="M3" s="47"/>
      <c r="N3" s="47"/>
    </row>
    <row r="4" spans="2:17" ht="28.5" customHeight="1">
      <c r="B4" s="496" t="s">
        <v>1085</v>
      </c>
      <c r="C4" s="496" t="s">
        <v>1086</v>
      </c>
      <c r="D4" s="496"/>
      <c r="E4" s="497" t="s">
        <v>1087</v>
      </c>
      <c r="F4" s="497"/>
      <c r="G4" s="497" t="s">
        <v>1088</v>
      </c>
      <c r="H4" s="497"/>
      <c r="I4" s="497" t="s">
        <v>1089</v>
      </c>
      <c r="J4" s="497"/>
      <c r="L4" s="47"/>
      <c r="M4" s="47"/>
      <c r="N4" s="47"/>
    </row>
    <row r="5" spans="2:17" ht="28.5" customHeight="1">
      <c r="B5" s="496"/>
      <c r="C5" s="496" t="s">
        <v>1090</v>
      </c>
      <c r="D5" s="496"/>
      <c r="E5" s="496" t="s">
        <v>1091</v>
      </c>
      <c r="F5" s="496"/>
      <c r="G5" s="498" t="s">
        <v>1092</v>
      </c>
      <c r="H5" s="498"/>
      <c r="I5" s="499" t="s">
        <v>120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146.92735244394399</v>
      </c>
      <c r="F6" s="496">
        <f>AVERAGE(D27:O27,D13:J13)</f>
        <v>151.45317867406703</v>
      </c>
      <c r="G6" s="501">
        <f>AVERAGE(D13:J13)</f>
        <v>151.45317867406703</v>
      </c>
      <c r="H6" s="501"/>
      <c r="I6" s="501">
        <f>AVERAGE(K13:M13)</f>
        <v>136.3670912403235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139.55606882673317</v>
      </c>
      <c r="F7" s="506">
        <f>AVERAGE(D28:O28,D14:J14)</f>
        <v>144.00708950194377</v>
      </c>
      <c r="G7" s="507">
        <f>AVERAGE(D14:J14)</f>
        <v>144.00708950194377</v>
      </c>
      <c r="H7" s="507"/>
      <c r="I7" s="507">
        <f>AVERAGE(K14:M14)</f>
        <v>129.17035391790841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0.94897254957485921</v>
      </c>
      <c r="F8" s="504">
        <f>AVERAGE(D15:J15,D29:O29)</f>
        <v>0.94971706822773949</v>
      </c>
      <c r="G8" s="509">
        <f>AVERAGE(D15:J15)</f>
        <v>0.94971706822773949</v>
      </c>
      <c r="H8" s="509"/>
      <c r="I8" s="509">
        <f>AVERAGE(K15:M15)</f>
        <v>0.94723533938480553</v>
      </c>
      <c r="J8" s="509"/>
      <c r="K8" s="48" t="s">
        <v>1093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1094</v>
      </c>
      <c r="C10" s="414"/>
      <c r="D10" s="415" t="s">
        <v>1095</v>
      </c>
      <c r="E10" s="416"/>
      <c r="F10" s="416"/>
      <c r="G10" s="416"/>
      <c r="H10" s="416"/>
      <c r="I10" s="416"/>
      <c r="J10" s="417"/>
      <c r="K10" s="389" t="s">
        <v>1096</v>
      </c>
      <c r="L10" s="390"/>
      <c r="M10" s="391"/>
      <c r="P10" s="51"/>
      <c r="Q10" s="51"/>
    </row>
    <row r="11" spans="2:17" ht="17.25" customHeight="1">
      <c r="B11" s="503" t="s">
        <v>1097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1098</v>
      </c>
      <c r="C13" s="58" t="s">
        <v>1099</v>
      </c>
      <c r="D13" s="59">
        <f>SUMIFS('0915 4度C'!$K:$K,'0915 4度C'!$A:$A,"新豐6線",'0915 4度C'!$B:$B,"平均")</f>
        <v>125</v>
      </c>
      <c r="E13" s="60">
        <f>SUMIFS('0915 4度C'!$K:$K,'0915 4度C'!$A:$A,"新豐2線",'0915 4度C'!$B:$B,"平均")</f>
        <v>83.333333333333329</v>
      </c>
      <c r="F13" s="61">
        <f>SUMIFS('0915 4度C'!$K:$K,'0915 4度C'!$A:$A,"新豐5線",'0915 4度C'!$B:$B,"平均")</f>
        <v>90.909090909090907</v>
      </c>
      <c r="G13" s="61">
        <f>SUMIFS('0915 4度C'!$K:$K,'0915 4度C'!$A:$A,"新豐7線",'0915 4度C'!$B:$B,"平均")</f>
        <v>117.64705882352941</v>
      </c>
      <c r="H13" s="61">
        <f>SUMIFS('0915 4度C'!$K:$K,'0915 4度C'!$A:$A,"新豐3線",'0915 4度C'!$B:$B,"平均")</f>
        <v>306.81818181818181</v>
      </c>
      <c r="I13" s="61">
        <f>SUMIFS('0915 4度C'!$K:$K,'0915 4度C'!$A:$A,"新豐1線",'0915 4度C'!$B:$B,"平均")</f>
        <v>117.34693877551021</v>
      </c>
      <c r="J13" s="62">
        <f>SUMIFS('0915 4度C'!$K:$K,'0915 4度C'!$A:$A,"新豐10線",'0915 4度C'!$B:$B,"平均")</f>
        <v>219.11764705882354</v>
      </c>
      <c r="K13" s="63">
        <f>SUMIFS('0915 4度C'!$K:$K,'0915 4度C'!$A:$A,"新豐8線",'0915 4度C'!$B:$B,"平均")</f>
        <v>136.17021276595744</v>
      </c>
      <c r="L13" s="64">
        <f>SUMIFS('0915 4度C'!$K:$K,'0915 4度C'!$A:$A,"新豐9線",'0915 4度C'!$B:$B,"平均")</f>
        <v>129.34131736526945</v>
      </c>
      <c r="M13" s="62">
        <f>SUMIFS('0915 4度C'!$K:$K,'0915 4度C'!$A:$A,"新豐4線",'0915 4度C'!$B:$B,"平均")</f>
        <v>143.58974358974359</v>
      </c>
    </row>
    <row r="14" spans="2:17" ht="39.6" customHeight="1">
      <c r="B14" s="515"/>
      <c r="C14" s="65" t="s">
        <v>1100</v>
      </c>
      <c r="D14" s="66">
        <f>SUMIFS('0915 4度C'!$N:$N,'0915 4度C'!$A:$A,"新豐6線",'0915 4度C'!$B:$B,"平均")</f>
        <v>119.25042348955382</v>
      </c>
      <c r="E14" s="67">
        <f>SUMIFS('0915 4度C'!$N:$N,'0915 4度C'!$A:$A,"新豐2線",'0915 4度C'!$B:$B,"平均")</f>
        <v>78.692603105693763</v>
      </c>
      <c r="F14" s="67">
        <f>SUMIFS('0915 4度C'!$N:$N,'0915 4度C'!$A:$A,"新豐5線",'0915 4度C'!$B:$B,"平均")</f>
        <v>86.075186946574149</v>
      </c>
      <c r="G14" s="67">
        <f>SUMIFS('0915 4度C'!$N:$N,'0915 4度C'!$A:$A,"新豐7線",'0915 4度C'!$B:$B,"平均")</f>
        <v>111.63943113032848</v>
      </c>
      <c r="H14" s="67">
        <f>SUMIFS('0915 4度C'!$N:$N,'0915 4度C'!$A:$A,"新豐3線",'0915 4度C'!$B:$B,"平均")</f>
        <v>292.09785497521347</v>
      </c>
      <c r="I14" s="67">
        <f>SUMIFS('0915 4度C'!$N:$N,'0915 4度C'!$A:$A,"新豐1線",'0915 4度C'!$B:$B,"平均")</f>
        <v>111.21200764206925</v>
      </c>
      <c r="J14" s="68">
        <f>SUMIFS('0915 4度C'!$N:$N,'0915 4度C'!$A:$A,"新豐10線",'0915 4度C'!$B:$B,"平均")</f>
        <v>209.08211922417345</v>
      </c>
      <c r="K14" s="69">
        <f>SUMIFS('0915 4度C'!$N:$N,'0915 4度C'!$A:$A,"新豐8線",'0915 4度C'!$B:$B,"平均")</f>
        <v>129.08939447945681</v>
      </c>
      <c r="L14" s="70">
        <f>SUMIFS('0915 4度C'!$N:$N,'0915 4度C'!$A:$A,"新豐9線",'0915 4度C'!$B:$B,"平均")</f>
        <v>122.50256818979545</v>
      </c>
      <c r="M14" s="68">
        <f>SUMIFS('0915 4度C'!$N:$N,'0915 4度C'!$A:$A,"新豐4線",'0915 4度C'!$B:$B,"平均")</f>
        <v>135.91909908447298</v>
      </c>
    </row>
    <row r="15" spans="2:17" ht="40.15" customHeight="1">
      <c r="B15" s="515"/>
      <c r="C15" s="71" t="s">
        <v>1101</v>
      </c>
      <c r="D15" s="72">
        <f t="shared" ref="D15:M15" si="0">D14/D13</f>
        <v>0.95400338791643058</v>
      </c>
      <c r="E15" s="73">
        <f t="shared" si="0"/>
        <v>0.94431123726832522</v>
      </c>
      <c r="F15" s="73">
        <f t="shared" si="0"/>
        <v>0.94682705641231568</v>
      </c>
      <c r="G15" s="73">
        <f t="shared" si="0"/>
        <v>0.94893516460779204</v>
      </c>
      <c r="H15" s="73">
        <f t="shared" si="0"/>
        <v>0.95202263843773283</v>
      </c>
      <c r="I15" s="73">
        <f t="shared" si="0"/>
        <v>0.9477197172976336</v>
      </c>
      <c r="J15" s="74">
        <f t="shared" si="0"/>
        <v>0.95420027565394594</v>
      </c>
      <c r="K15" s="72">
        <f t="shared" si="0"/>
        <v>0.94800024070851097</v>
      </c>
      <c r="L15" s="73">
        <f t="shared" si="0"/>
        <v>0.94712633739332608</v>
      </c>
      <c r="M15" s="74">
        <f t="shared" si="0"/>
        <v>0.94657944005257966</v>
      </c>
    </row>
    <row r="16" spans="2:17" ht="17.25" customHeight="1">
      <c r="B16" s="502" t="s">
        <v>1102</v>
      </c>
      <c r="C16" s="260" t="s">
        <v>144</v>
      </c>
      <c r="D16" s="76">
        <f>VLOOKUP("新豐6線",'0915 4度C'!$A:$T,19,0)</f>
        <v>0.70833333333333337</v>
      </c>
      <c r="E16" s="28">
        <f>VLOOKUP("新豐2線",'0915 4度C'!$A:$T,19,0)</f>
        <v>0.125</v>
      </c>
      <c r="F16" s="28">
        <f>VLOOKUP("新豐5線",'0915 4度C'!$A:$T,19,0)</f>
        <v>0.20833333333333334</v>
      </c>
      <c r="G16" s="28">
        <f>VLOOKUP("新豐7線",'0915 4度C'!$A:$T,19,0)</f>
        <v>0.20833333333333334</v>
      </c>
      <c r="H16" s="28">
        <f>VLOOKUP("新豐3線",'0915 4度C'!$A:$T,19,0)</f>
        <v>0.20833333333333334</v>
      </c>
      <c r="I16" s="28">
        <f>VLOOKUP("新豐1線",'0915 4度C'!$A:$T,19,0)</f>
        <v>0.25</v>
      </c>
      <c r="J16" s="77">
        <f>VLOOKUP("新豐10線",'0915 4度C'!$A:$T,19,0)</f>
        <v>0.16666666666666666</v>
      </c>
      <c r="K16" s="78">
        <f>VLOOKUP("新豐8線",'0915 4度C'!$A:$T,19,0)</f>
        <v>0.125</v>
      </c>
      <c r="L16" s="79">
        <f>VLOOKUP("新豐9線",'0915 4度C'!$A:$T,19,0)</f>
        <v>0.125</v>
      </c>
      <c r="M16" s="80">
        <f>VLOOKUP("新豐4線",'0915 4度C'!$A:$T,19,0)</f>
        <v>0.125</v>
      </c>
    </row>
    <row r="17" spans="2:13" ht="17.25" customHeight="1">
      <c r="B17" s="503"/>
      <c r="C17" s="260" t="s">
        <v>145</v>
      </c>
      <c r="D17" s="78">
        <f>LOOKUP(2,1/(('0915 4度C'!$A:$A="新豐6線")*('0915 4度C'!$T:$T&lt;&gt;"")),'0915 4度C'!$T:$T)</f>
        <v>0.84166666666666679</v>
      </c>
      <c r="E17" s="28">
        <f>LOOKUP(2,1/(('0915 4度C'!$A:$A="新豐2線")*('0915 4度C'!$T:$T&lt;&gt;"")),'0915 4度C'!$T:$T)</f>
        <v>0.5229166666666667</v>
      </c>
      <c r="F17" s="28">
        <f>LOOKUP(2,1/(('0915 4度C'!$A:$A="新豐5線")*('0915 4度C'!$T:$T&lt;&gt;"")),'0915 4度C'!$T:$T)</f>
        <v>0.86597222222222225</v>
      </c>
      <c r="G17" s="28">
        <f>LOOKUP(2,1/(('0915 4度C'!$A:$A="新豐7線")*('0915 4度C'!$T:$T&lt;&gt;"")),'0915 4度C'!$T:$T)</f>
        <v>0.78750000000000009</v>
      </c>
      <c r="H17" s="28">
        <f>LOOKUP(2,1/(('0915 4度C'!$A:$A="新豐3線")*('0915 4度C'!$T:$T&lt;&gt;"")),'0915 4度C'!$T:$T)</f>
        <v>0.66458333333333319</v>
      </c>
      <c r="I17" s="28">
        <f>LOOKUP(2,1/(('0915 4度C'!$A:$A="新豐1線")*('0915 4度C'!$T:$T&lt;&gt;"")),'0915 4度C'!$T:$T)</f>
        <v>0.86111111111111105</v>
      </c>
      <c r="J17" s="77">
        <f>LOOKUP(2,1/(('0915 4度C'!$A:$A="新豐10線")*('0915 4度C'!$T:$T&lt;&gt;"")),'0915 4度C'!$T:$T)</f>
        <v>0.46388888888888891</v>
      </c>
      <c r="K17" s="76">
        <f>LOOKUP(2,1/(('0915 4度C'!$A:$A="新豐8線")*('0915 4度C'!$T:$T&lt;&gt;"")),'0915 4度C'!$T:$T)</f>
        <v>0.75555555555555542</v>
      </c>
      <c r="L17" s="28">
        <f>LOOKUP(2,1/(('0915 4度C'!$A:$A="新豐9線")*('0915 4度C'!$T:$T&lt;&gt;"")),'0915 4度C'!$T:$T)</f>
        <v>0.75416666666666654</v>
      </c>
      <c r="M17" s="77">
        <f>LOOKUP(2,1/(('0915 4度C'!$A:$A="新豐4線")*('0915 4度C'!$T:$T&lt;&gt;"")),'0915 4度C'!$T:$T)</f>
        <v>0.74166666666666659</v>
      </c>
    </row>
    <row r="18" spans="2:13" ht="17.25" customHeight="1">
      <c r="B18" s="503" t="s">
        <v>1103</v>
      </c>
      <c r="C18" s="514"/>
      <c r="D18" s="81">
        <f>SUMIFS('0915 4度C'!$I:$I,'0915 4度C'!$A:$A,"新豐6線",'0915 4度C'!$B:$B,"平均")</f>
        <v>16</v>
      </c>
      <c r="E18" s="82">
        <f>SUMIFS('0915 4度C'!$I:$I,'0915 4度C'!$A:$A,"新豐2線",'0915 4度C'!$B:$B,"平均")</f>
        <v>18</v>
      </c>
      <c r="F18" s="82">
        <f>SUMIFS('0915 4度C'!$I:$I,'0915 4度C'!$A:$A,"新豐5線",'0915 4度C'!$B:$B,"平均")</f>
        <v>19.25</v>
      </c>
      <c r="G18" s="82">
        <f>SUMIFS('0915 4度C'!$I:$I,'0915 4度C'!$A:$A,"新豐7線",'0915 4度C'!$B:$B,"平均")</f>
        <v>17</v>
      </c>
      <c r="H18" s="82">
        <f>SUMIFS('0915 4度C'!$I:$I,'0915 4度C'!$A:$A,"新豐3線",'0915 4度C'!$B:$B,"平均")</f>
        <v>9.7777777777777786</v>
      </c>
      <c r="I18" s="82">
        <f>SUMIFS('0915 4度C'!$I:$I,'0915 4度C'!$A:$A,"新豐1線",'0915 4度C'!$B:$B,"平均")</f>
        <v>16.333333333333332</v>
      </c>
      <c r="J18" s="83">
        <f>SUMIFS('0915 4度C'!$I:$I,'0915 4度C'!$A:$A,"新豐10線",'0915 4度C'!$B:$B,"平均")</f>
        <v>11.333333333333334</v>
      </c>
      <c r="K18" s="81">
        <f>SUMIFS('0915 4度C'!$I:$I,'0915 4度C'!$A:$A,"新豐8線",'0915 4度C'!$B:$B,"平均")</f>
        <v>17.625</v>
      </c>
      <c r="L18" s="82">
        <f>SUMIFS('0915 4度C'!$I:$I,'0915 4度C'!$A:$A,"新豐9線",'0915 4度C'!$B:$B,"平均")</f>
        <v>18.555555555555557</v>
      </c>
      <c r="M18" s="83">
        <f>SUMIFS('0915 4度C'!$I:$I,'0915 4度C'!$A:$A,"新豐4線",'0915 4度C'!$B:$B,"平均")</f>
        <v>16.714285714285715</v>
      </c>
    </row>
    <row r="19" spans="2:13" ht="17.25" customHeight="1">
      <c r="B19" s="510" t="s">
        <v>1104</v>
      </c>
      <c r="C19" s="511"/>
      <c r="D19" s="84" t="s">
        <v>148</v>
      </c>
      <c r="E19" s="85" t="s">
        <v>149</v>
      </c>
      <c r="F19" s="85" t="s">
        <v>1105</v>
      </c>
      <c r="G19" s="85" t="s">
        <v>1105</v>
      </c>
      <c r="H19" s="85" t="s">
        <v>151</v>
      </c>
      <c r="I19" s="85" t="s">
        <v>148</v>
      </c>
      <c r="J19" s="86" t="s">
        <v>151</v>
      </c>
      <c r="K19" s="84" t="s">
        <v>1106</v>
      </c>
      <c r="L19" s="85" t="s">
        <v>1107</v>
      </c>
      <c r="M19" s="86" t="s">
        <v>1106</v>
      </c>
    </row>
    <row r="20" spans="2:13" ht="17.25" customHeight="1">
      <c r="B20" s="510" t="s">
        <v>1108</v>
      </c>
      <c r="C20" s="511"/>
      <c r="D20" s="84"/>
      <c r="E20" s="85"/>
      <c r="F20" s="85" t="s">
        <v>1109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1110</v>
      </c>
      <c r="C21" s="513"/>
      <c r="D21" s="87"/>
      <c r="E21" s="88" t="s">
        <v>1111</v>
      </c>
      <c r="F21" s="387" t="s">
        <v>1112</v>
      </c>
      <c r="G21" s="388"/>
      <c r="H21" s="88" t="s">
        <v>1113</v>
      </c>
      <c r="I21" s="88" t="s">
        <v>1114</v>
      </c>
      <c r="J21" s="89" t="s">
        <v>1113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84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>
    <pageSetUpPr fitToPage="1"/>
  </sheetPr>
  <dimension ref="A1:AC73"/>
  <sheetViews>
    <sheetView zoomScale="80" zoomScaleNormal="80" workbookViewId="0">
      <pane ySplit="4" topLeftCell="A50" activePane="bottomLeft" state="frozen"/>
      <selection activeCell="G25" sqref="G2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1115</v>
      </c>
      <c r="B1" s="1"/>
      <c r="C1" s="2" t="s">
        <v>1116</v>
      </c>
      <c r="D1" s="3">
        <f>SUM(F5:F72)</f>
        <v>186709</v>
      </c>
      <c r="E1" s="263" t="s">
        <v>1117</v>
      </c>
      <c r="F1" s="1">
        <f>SUM(G5:G72)</f>
        <v>6231365.4199999999</v>
      </c>
      <c r="G1" s="1" t="s">
        <v>1118</v>
      </c>
      <c r="H1" s="106">
        <f>L8+L11+L50+L57+L16+L64+L30+L40+L21+L72</f>
        <v>160.58928571428572</v>
      </c>
      <c r="I1" s="482" t="s">
        <v>1119</v>
      </c>
      <c r="J1" s="482"/>
      <c r="K1" s="482"/>
      <c r="L1" s="482" t="s">
        <v>1120</v>
      </c>
      <c r="M1" s="482"/>
      <c r="N1" s="482"/>
      <c r="O1" s="482" t="s">
        <v>1121</v>
      </c>
      <c r="P1" s="482"/>
      <c r="Q1" s="482"/>
      <c r="R1" s="482"/>
      <c r="S1" s="482" t="s">
        <v>1122</v>
      </c>
      <c r="T1" s="482"/>
      <c r="U1" s="482"/>
      <c r="V1" s="482"/>
      <c r="W1" s="482"/>
      <c r="X1" s="482"/>
      <c r="Y1" s="482" t="s">
        <v>1123</v>
      </c>
      <c r="Z1" s="482"/>
      <c r="AA1" s="482" t="s">
        <v>1124</v>
      </c>
      <c r="AB1" s="483"/>
      <c r="AC1" s="483"/>
    </row>
    <row r="2" spans="1:29" ht="26.25" customHeight="1">
      <c r="A2" s="24">
        <v>45915</v>
      </c>
      <c r="B2" s="25" t="s">
        <v>52</v>
      </c>
      <c r="C2" s="2" t="s">
        <v>1098</v>
      </c>
      <c r="D2" s="6">
        <f>AVERAGE(N8,N11,N50,N57,N16,N64,N21,N30,N40,N72)</f>
        <v>139.55606882673317</v>
      </c>
      <c r="E2" s="7" t="s">
        <v>11</v>
      </c>
      <c r="F2" s="8">
        <f>F1/D1</f>
        <v>33.374745834426832</v>
      </c>
      <c r="G2" s="1" t="s">
        <v>1125</v>
      </c>
      <c r="H2" s="39">
        <f>COUNT(H5:H76)</f>
        <v>10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1126</v>
      </c>
      <c r="B3" s="443" t="s">
        <v>1127</v>
      </c>
      <c r="C3" s="443" t="s">
        <v>1128</v>
      </c>
      <c r="D3" s="443"/>
      <c r="E3" s="484" t="s">
        <v>1129</v>
      </c>
      <c r="F3" s="443" t="s">
        <v>1130</v>
      </c>
      <c r="G3" s="484" t="s">
        <v>1131</v>
      </c>
      <c r="H3" s="476" t="s">
        <v>1132</v>
      </c>
      <c r="I3" s="474" t="s">
        <v>1133</v>
      </c>
      <c r="J3" s="479" t="s">
        <v>1134</v>
      </c>
      <c r="K3" s="481" t="s">
        <v>1098</v>
      </c>
      <c r="L3" s="474" t="s">
        <v>1133</v>
      </c>
      <c r="M3" s="479" t="s">
        <v>1134</v>
      </c>
      <c r="N3" s="481" t="s">
        <v>1098</v>
      </c>
      <c r="O3" s="474" t="s">
        <v>1133</v>
      </c>
      <c r="P3" s="481" t="s">
        <v>1098</v>
      </c>
      <c r="Q3" s="480" t="s">
        <v>1135</v>
      </c>
      <c r="R3" s="451" t="s">
        <v>1136</v>
      </c>
      <c r="S3" s="443" t="s">
        <v>25</v>
      </c>
      <c r="T3" s="443"/>
      <c r="U3" s="476" t="s">
        <v>26</v>
      </c>
      <c r="V3" s="476" t="s">
        <v>1137</v>
      </c>
      <c r="W3" s="443" t="s">
        <v>1138</v>
      </c>
      <c r="X3" s="443"/>
      <c r="Y3" s="477" t="s">
        <v>1139</v>
      </c>
      <c r="Z3" s="478"/>
      <c r="AA3" s="479" t="s">
        <v>1134</v>
      </c>
      <c r="AB3" s="480" t="s">
        <v>1140</v>
      </c>
      <c r="AC3" s="451" t="s">
        <v>1136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63" t="s">
        <v>31</v>
      </c>
      <c r="T4" s="263" t="s">
        <v>32</v>
      </c>
      <c r="U4" s="476"/>
      <c r="V4" s="476"/>
      <c r="W4" s="263" t="s">
        <v>1141</v>
      </c>
      <c r="X4" s="263" t="s">
        <v>1142</v>
      </c>
      <c r="Y4" s="478"/>
      <c r="Z4" s="478"/>
      <c r="AA4" s="479"/>
      <c r="AB4" s="480"/>
      <c r="AC4" s="451"/>
    </row>
    <row r="5" spans="1:29">
      <c r="A5" s="473" t="s">
        <v>1143</v>
      </c>
      <c r="B5" s="31" t="s">
        <v>58</v>
      </c>
      <c r="C5" s="475" t="s">
        <v>104</v>
      </c>
      <c r="D5" s="475"/>
      <c r="E5" s="31">
        <v>46.93</v>
      </c>
      <c r="F5" s="272">
        <v>1060</v>
      </c>
      <c r="G5" s="263">
        <f>E5*F5</f>
        <v>49745.8</v>
      </c>
      <c r="H5" s="273" t="s">
        <v>103</v>
      </c>
      <c r="I5" s="270">
        <v>16</v>
      </c>
      <c r="J5" s="26">
        <v>2000</v>
      </c>
      <c r="K5" s="10">
        <f>J5/I5</f>
        <v>125</v>
      </c>
      <c r="L5" s="270">
        <v>16</v>
      </c>
      <c r="M5" s="11">
        <f>F5/V5*60</f>
        <v>1927.272727272725</v>
      </c>
      <c r="N5" s="10">
        <f>M5/L5</f>
        <v>120.45454545454531</v>
      </c>
      <c r="O5" s="12">
        <f t="shared" ref="O5:O7" si="0">L5-I5</f>
        <v>0</v>
      </c>
      <c r="P5" s="13">
        <f t="shared" ref="P5:P7" si="1">N5-K5</f>
        <v>-4.5454545454546889</v>
      </c>
      <c r="Q5" s="268">
        <f>N5/K5</f>
        <v>0.96363636363636251</v>
      </c>
      <c r="R5" s="442">
        <f>Q8</f>
        <v>0.95400338791643058</v>
      </c>
      <c r="S5" s="28">
        <v>0.70833333333333337</v>
      </c>
      <c r="T5" s="28">
        <v>0.73125000000000007</v>
      </c>
      <c r="U5" s="263"/>
      <c r="V5" s="271">
        <f>(T5-S5)*24*60</f>
        <v>33.000000000000043</v>
      </c>
      <c r="W5" s="16"/>
      <c r="X5" s="17"/>
      <c r="Y5" s="443"/>
      <c r="Z5" s="443"/>
      <c r="AA5" s="12">
        <f t="shared" ref="AA5:AA68" si="2">M5-J5</f>
        <v>-72.727272727275022</v>
      </c>
      <c r="AB5" s="268">
        <f t="shared" ref="AB5:AB7" si="3">M5/J5</f>
        <v>0.96363636363636251</v>
      </c>
      <c r="AC5" s="442">
        <f>AB8</f>
        <v>0.95400338791643058</v>
      </c>
    </row>
    <row r="6" spans="1:29">
      <c r="A6" s="474" t="s">
        <v>1144</v>
      </c>
      <c r="B6" s="31" t="s">
        <v>58</v>
      </c>
      <c r="C6" s="475" t="s">
        <v>105</v>
      </c>
      <c r="D6" s="475"/>
      <c r="E6" s="31">
        <v>50.49</v>
      </c>
      <c r="F6" s="272">
        <v>2423</v>
      </c>
      <c r="G6" s="263">
        <f t="shared" ref="G6:G7" si="4">E6*F6</f>
        <v>122337.27</v>
      </c>
      <c r="H6" s="273" t="s">
        <v>103</v>
      </c>
      <c r="I6" s="270">
        <v>15</v>
      </c>
      <c r="J6" s="26">
        <v>2000</v>
      </c>
      <c r="K6" s="10">
        <f t="shared" ref="K6:K7" si="5">J6/I6</f>
        <v>133.33333333333334</v>
      </c>
      <c r="L6" s="270">
        <v>15</v>
      </c>
      <c r="M6" s="11">
        <f>F6/V6*60</f>
        <v>1888.051948051947</v>
      </c>
      <c r="N6" s="10">
        <f t="shared" ref="N6:N7" si="6">M6/L6</f>
        <v>125.8701298701298</v>
      </c>
      <c r="O6" s="12">
        <f t="shared" si="0"/>
        <v>0</v>
      </c>
      <c r="P6" s="13">
        <f t="shared" si="1"/>
        <v>-7.4632034632035413</v>
      </c>
      <c r="Q6" s="268">
        <f t="shared" ref="Q6:Q7" si="7">N6/K6</f>
        <v>0.94402597402597344</v>
      </c>
      <c r="R6" s="442"/>
      <c r="S6" s="28">
        <v>0.73611111111111116</v>
      </c>
      <c r="T6" s="28">
        <v>0.78958333333333341</v>
      </c>
      <c r="U6" s="263">
        <f>(S6-T5)*24*60</f>
        <v>6.9999999999999751</v>
      </c>
      <c r="V6" s="271">
        <f>(T6-S6)*24*60</f>
        <v>77.000000000000043</v>
      </c>
      <c r="W6" s="16"/>
      <c r="X6" s="16"/>
      <c r="Y6" s="443"/>
      <c r="Z6" s="443"/>
      <c r="AA6" s="12">
        <f t="shared" si="2"/>
        <v>-111.94805194805303</v>
      </c>
      <c r="AB6" s="268">
        <f t="shared" si="3"/>
        <v>0.94402597402597344</v>
      </c>
      <c r="AC6" s="442"/>
    </row>
    <row r="7" spans="1:29">
      <c r="A7" s="474" t="s">
        <v>1143</v>
      </c>
      <c r="B7" s="31" t="s">
        <v>58</v>
      </c>
      <c r="C7" s="471" t="s">
        <v>106</v>
      </c>
      <c r="D7" s="472"/>
      <c r="E7" s="31">
        <v>50.67</v>
      </c>
      <c r="F7" s="272">
        <v>2195</v>
      </c>
      <c r="G7" s="263">
        <f t="shared" si="4"/>
        <v>111220.65000000001</v>
      </c>
      <c r="H7" s="273" t="s">
        <v>103</v>
      </c>
      <c r="I7" s="270">
        <v>17</v>
      </c>
      <c r="J7" s="26">
        <v>2000</v>
      </c>
      <c r="K7" s="10">
        <f t="shared" si="5"/>
        <v>117.64705882352941</v>
      </c>
      <c r="L7" s="270">
        <v>17</v>
      </c>
      <c r="M7" s="11">
        <f t="shared" ref="M7" si="8">F7/V7*60</f>
        <v>1908.6956521739112</v>
      </c>
      <c r="N7" s="10">
        <f t="shared" si="6"/>
        <v>112.27621483375948</v>
      </c>
      <c r="O7" s="12">
        <f t="shared" si="0"/>
        <v>0</v>
      </c>
      <c r="P7" s="13">
        <f t="shared" si="1"/>
        <v>-5.3708439897699236</v>
      </c>
      <c r="Q7" s="268">
        <f t="shared" si="7"/>
        <v>0.95434782608695568</v>
      </c>
      <c r="R7" s="442"/>
      <c r="S7" s="28">
        <v>0.79375000000000007</v>
      </c>
      <c r="T7" s="28">
        <v>0.84166666666666679</v>
      </c>
      <c r="U7" s="263">
        <f t="shared" ref="U7" si="9">(S7-T6)*24*60</f>
        <v>5.9999999999999787</v>
      </c>
      <c r="V7" s="271">
        <f t="shared" ref="V7" si="10">(T7-S7)*24*60</f>
        <v>69.000000000000071</v>
      </c>
      <c r="W7" s="16"/>
      <c r="X7" s="16"/>
      <c r="Y7" s="447"/>
      <c r="Z7" s="448"/>
      <c r="AA7" s="12">
        <f t="shared" si="2"/>
        <v>-91.304347826088815</v>
      </c>
      <c r="AB7" s="268">
        <f t="shared" si="3"/>
        <v>0.95434782608695556</v>
      </c>
      <c r="AC7" s="442"/>
    </row>
    <row r="8" spans="1:29">
      <c r="A8" s="474" t="s">
        <v>1145</v>
      </c>
      <c r="B8" s="31" t="s">
        <v>1146</v>
      </c>
      <c r="C8" s="446"/>
      <c r="D8" s="446"/>
      <c r="E8" s="262"/>
      <c r="F8" s="33"/>
      <c r="G8" s="10"/>
      <c r="H8" s="272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1908.0067758328612</v>
      </c>
      <c r="N8" s="10">
        <f>M8/L8</f>
        <v>119.25042348955382</v>
      </c>
      <c r="O8" s="12">
        <f>L8-I8</f>
        <v>0</v>
      </c>
      <c r="P8" s="13">
        <f>N8-K8</f>
        <v>-5.7495765104461753</v>
      </c>
      <c r="Q8" s="268">
        <f>N8/K8</f>
        <v>0.95400338791643058</v>
      </c>
      <c r="R8" s="442"/>
      <c r="S8" s="28"/>
      <c r="T8" s="28"/>
      <c r="U8" s="263"/>
      <c r="V8" s="271"/>
      <c r="W8" s="10"/>
      <c r="X8" s="10"/>
      <c r="Y8" s="443"/>
      <c r="Z8" s="443"/>
      <c r="AA8" s="12">
        <f t="shared" si="2"/>
        <v>-91.993224167138806</v>
      </c>
      <c r="AB8" s="268">
        <f>M8/J8</f>
        <v>0.95400338791643058</v>
      </c>
      <c r="AC8" s="442"/>
    </row>
    <row r="9" spans="1:29" ht="15.75" customHeight="1">
      <c r="A9" s="439" t="s">
        <v>1147</v>
      </c>
      <c r="B9" s="31" t="s">
        <v>53</v>
      </c>
      <c r="C9" s="471" t="s">
        <v>107</v>
      </c>
      <c r="D9" s="472"/>
      <c r="E9" s="31">
        <v>39.619999999999997</v>
      </c>
      <c r="F9" s="272">
        <v>5332</v>
      </c>
      <c r="G9" s="263">
        <f t="shared" ref="G9:G10" si="11">E9*F9</f>
        <v>211253.84</v>
      </c>
      <c r="H9" s="273" t="s">
        <v>103</v>
      </c>
      <c r="I9" s="270">
        <v>19</v>
      </c>
      <c r="J9" s="26">
        <v>1500</v>
      </c>
      <c r="K9" s="10">
        <f t="shared" ref="K9:K10" si="12">J9/I9</f>
        <v>78.94736842105263</v>
      </c>
      <c r="L9" s="270">
        <v>19</v>
      </c>
      <c r="M9" s="11">
        <f t="shared" ref="M9:M10" si="13">F9/V9*60</f>
        <v>1415.575221238938</v>
      </c>
      <c r="N9" s="10">
        <f t="shared" ref="N9:N10" si="14">M9/L9</f>
        <v>74.503959012575677</v>
      </c>
      <c r="O9" s="12">
        <f t="shared" ref="O9:O10" si="15">L9-I9</f>
        <v>0</v>
      </c>
      <c r="P9" s="13">
        <f>N9-K9</f>
        <v>-4.4434094084769526</v>
      </c>
      <c r="Q9" s="268">
        <f>N9/K9</f>
        <v>0.94371681415929198</v>
      </c>
      <c r="R9" s="442">
        <f>Q11</f>
        <v>0.94431123726832522</v>
      </c>
      <c r="S9" s="28">
        <v>0.125</v>
      </c>
      <c r="T9" s="28">
        <v>0.28194444444444444</v>
      </c>
      <c r="U9" s="263"/>
      <c r="V9" s="271">
        <f t="shared" ref="V9:V10" si="16">(T9-S9)*24*60</f>
        <v>226</v>
      </c>
      <c r="W9" s="16">
        <f>T9</f>
        <v>0.28194444444444444</v>
      </c>
      <c r="X9" s="16">
        <f>S10</f>
        <v>0.30208333333333331</v>
      </c>
      <c r="Y9" s="443"/>
      <c r="Z9" s="443"/>
      <c r="AA9" s="12">
        <f t="shared" si="2"/>
        <v>-84.424778761062043</v>
      </c>
      <c r="AB9" s="268">
        <f>M9/J9</f>
        <v>0.94371681415929198</v>
      </c>
      <c r="AC9" s="442">
        <f>AB11</f>
        <v>0.94431123726832511</v>
      </c>
    </row>
    <row r="10" spans="1:29" ht="15.75" customHeight="1">
      <c r="A10" s="439" t="s">
        <v>1147</v>
      </c>
      <c r="B10" s="31" t="s">
        <v>53</v>
      </c>
      <c r="C10" s="471" t="s">
        <v>54</v>
      </c>
      <c r="D10" s="472"/>
      <c r="E10" s="31">
        <v>39.799999999999997</v>
      </c>
      <c r="F10" s="272">
        <v>7512</v>
      </c>
      <c r="G10" s="263">
        <f t="shared" si="11"/>
        <v>298977.59999999998</v>
      </c>
      <c r="H10" s="273" t="s">
        <v>103</v>
      </c>
      <c r="I10" s="270">
        <v>17</v>
      </c>
      <c r="J10" s="26">
        <v>1500</v>
      </c>
      <c r="K10" s="10">
        <f t="shared" si="12"/>
        <v>88.235294117647058</v>
      </c>
      <c r="L10" s="270">
        <v>17</v>
      </c>
      <c r="M10" s="11">
        <f t="shared" si="13"/>
        <v>1417.3584905660375</v>
      </c>
      <c r="N10" s="10">
        <f t="shared" si="14"/>
        <v>83.374028856825731</v>
      </c>
      <c r="O10" s="12">
        <f t="shared" si="15"/>
        <v>0</v>
      </c>
      <c r="P10" s="13">
        <f t="shared" ref="P10" si="17">N10-K10</f>
        <v>-4.8612652608213267</v>
      </c>
      <c r="Q10" s="268">
        <f t="shared" ref="Q10" si="18">N10/K10</f>
        <v>0.94490566037735835</v>
      </c>
      <c r="R10" s="442"/>
      <c r="S10" s="28">
        <v>0.30208333333333331</v>
      </c>
      <c r="T10" s="28">
        <v>0.5229166666666667</v>
      </c>
      <c r="U10" s="263">
        <f>(S10-T9)*24*60</f>
        <v>28.999999999999979</v>
      </c>
      <c r="V10" s="271">
        <f t="shared" si="16"/>
        <v>318.00000000000006</v>
      </c>
      <c r="W10" s="16"/>
      <c r="X10" s="16"/>
      <c r="Y10" s="443"/>
      <c r="Z10" s="443"/>
      <c r="AA10" s="12">
        <f t="shared" si="2"/>
        <v>-82.641509433962483</v>
      </c>
      <c r="AB10" s="268">
        <f t="shared" ref="AB10:AB21" si="19">M10/J10</f>
        <v>0.94490566037735835</v>
      </c>
      <c r="AC10" s="442"/>
    </row>
    <row r="11" spans="1:29" ht="16.5" customHeight="1">
      <c r="A11" s="439" t="s">
        <v>1147</v>
      </c>
      <c r="B11" s="31" t="s">
        <v>1148</v>
      </c>
      <c r="C11" s="446"/>
      <c r="D11" s="446"/>
      <c r="E11" s="262"/>
      <c r="F11" s="26"/>
      <c r="G11" s="11"/>
      <c r="H11" s="272"/>
      <c r="I11" s="19">
        <v>18</v>
      </c>
      <c r="J11" s="26">
        <v>1500</v>
      </c>
      <c r="K11" s="10">
        <f>J11/I11</f>
        <v>83.333333333333329</v>
      </c>
      <c r="L11" s="19">
        <v>18</v>
      </c>
      <c r="M11" s="11">
        <f>AVERAGE(M9:M10)</f>
        <v>1416.4668559024876</v>
      </c>
      <c r="N11" s="10">
        <f>M11/L11</f>
        <v>78.692603105693763</v>
      </c>
      <c r="O11" s="12">
        <f>L11-I11</f>
        <v>0</v>
      </c>
      <c r="P11" s="13">
        <f>N11-K11</f>
        <v>-4.6407302276395654</v>
      </c>
      <c r="Q11" s="268">
        <f>N11/K11</f>
        <v>0.94431123726832522</v>
      </c>
      <c r="R11" s="442"/>
      <c r="S11" s="28"/>
      <c r="T11" s="28"/>
      <c r="U11" s="10"/>
      <c r="V11" s="271"/>
      <c r="W11" s="10"/>
      <c r="X11" s="10"/>
      <c r="Y11" s="443"/>
      <c r="Z11" s="443"/>
      <c r="AA11" s="12">
        <f t="shared" si="2"/>
        <v>-83.533144097512377</v>
      </c>
      <c r="AB11" s="268">
        <f t="shared" si="19"/>
        <v>0.94431123726832511</v>
      </c>
      <c r="AC11" s="442"/>
    </row>
    <row r="12" spans="1:29" ht="16.5" customHeight="1">
      <c r="A12" s="469" t="s">
        <v>1149</v>
      </c>
      <c r="B12" s="272" t="s">
        <v>56</v>
      </c>
      <c r="C12" s="464" t="s">
        <v>57</v>
      </c>
      <c r="D12" s="464"/>
      <c r="E12" s="31">
        <v>41</v>
      </c>
      <c r="F12" s="272">
        <v>1948</v>
      </c>
      <c r="G12" s="263">
        <f t="shared" ref="G12:G15" si="20">E12*F12</f>
        <v>79868</v>
      </c>
      <c r="H12" s="273" t="s">
        <v>103</v>
      </c>
      <c r="I12" s="270">
        <v>26</v>
      </c>
      <c r="J12" s="26">
        <v>1500</v>
      </c>
      <c r="K12" s="10">
        <f>J12/I12</f>
        <v>57.692307692307693</v>
      </c>
      <c r="L12" s="270">
        <v>26</v>
      </c>
      <c r="M12" s="11">
        <f>F12/V12*60</f>
        <v>1425.3658536585369</v>
      </c>
      <c r="N12" s="10">
        <f t="shared" ref="N12:N20" si="21">M12/L12</f>
        <v>54.821763602251423</v>
      </c>
      <c r="O12" s="12">
        <f t="shared" ref="O12" si="22">L12-I12</f>
        <v>0</v>
      </c>
      <c r="P12" s="13">
        <f t="shared" ref="P12" si="23">N12-K12</f>
        <v>-2.8705440900562706</v>
      </c>
      <c r="Q12" s="268">
        <f>N12/K12</f>
        <v>0.95024390243902468</v>
      </c>
      <c r="R12" s="442">
        <f>Q16</f>
        <v>0.94682705641231568</v>
      </c>
      <c r="S12" s="28">
        <v>0.20833333333333334</v>
      </c>
      <c r="T12" s="28">
        <v>0.26527777777777778</v>
      </c>
      <c r="U12" s="263"/>
      <c r="V12" s="271">
        <f>(T12-S12)*24*60</f>
        <v>81.999999999999986</v>
      </c>
      <c r="W12" s="18"/>
      <c r="X12" s="18"/>
      <c r="Y12" s="443"/>
      <c r="Z12" s="443"/>
      <c r="AA12" s="12">
        <f t="shared" si="2"/>
        <v>-74.634146341463065</v>
      </c>
      <c r="AB12" s="268">
        <f t="shared" si="19"/>
        <v>0.95024390243902457</v>
      </c>
      <c r="AC12" s="442">
        <f>AB16</f>
        <v>0.94682705641231557</v>
      </c>
    </row>
    <row r="13" spans="1:29" ht="16.5" customHeight="1">
      <c r="A13" s="470" t="s">
        <v>1149</v>
      </c>
      <c r="B13" s="272" t="s">
        <v>53</v>
      </c>
      <c r="C13" s="464" t="s">
        <v>163</v>
      </c>
      <c r="D13" s="464"/>
      <c r="E13" s="31">
        <v>39.36</v>
      </c>
      <c r="F13" s="272">
        <v>4815</v>
      </c>
      <c r="G13" s="263">
        <f t="shared" si="20"/>
        <v>189518.4</v>
      </c>
      <c r="H13" s="273" t="s">
        <v>103</v>
      </c>
      <c r="I13" s="270">
        <v>20</v>
      </c>
      <c r="J13" s="26">
        <v>1500</v>
      </c>
      <c r="K13" s="10">
        <f>J13/I13</f>
        <v>75</v>
      </c>
      <c r="L13" s="270">
        <v>20</v>
      </c>
      <c r="M13" s="11">
        <f>F13/V13*60</f>
        <v>1416.1764705882351</v>
      </c>
      <c r="N13" s="10">
        <f t="shared" si="21"/>
        <v>70.808823529411754</v>
      </c>
      <c r="O13" s="12">
        <f>L13-I13</f>
        <v>0</v>
      </c>
      <c r="P13" s="13">
        <f>N13-K13</f>
        <v>-4.1911764705882462</v>
      </c>
      <c r="Q13" s="268">
        <f>N13/K13</f>
        <v>0.94411764705882339</v>
      </c>
      <c r="R13" s="442"/>
      <c r="S13" s="28">
        <v>0.27083333333333331</v>
      </c>
      <c r="T13" s="28">
        <v>0.41249999999999998</v>
      </c>
      <c r="U13" s="263">
        <f>IF(S13=TIME(17,0,0),"",(S13-T12)*24*60)</f>
        <v>7.9999999999999716</v>
      </c>
      <c r="V13" s="271">
        <f>(T13-S13)*24*60</f>
        <v>204</v>
      </c>
      <c r="W13" s="16"/>
      <c r="X13" s="16"/>
      <c r="Y13" s="443"/>
      <c r="Z13" s="443"/>
      <c r="AA13" s="12">
        <f t="shared" si="2"/>
        <v>-83.823529411764866</v>
      </c>
      <c r="AB13" s="268">
        <f t="shared" si="19"/>
        <v>0.94411764705882339</v>
      </c>
      <c r="AC13" s="442"/>
    </row>
    <row r="14" spans="1:29" ht="16.5" customHeight="1">
      <c r="A14" s="470" t="s">
        <v>1149</v>
      </c>
      <c r="B14" s="272" t="s">
        <v>58</v>
      </c>
      <c r="C14" s="464" t="s">
        <v>59</v>
      </c>
      <c r="D14" s="464"/>
      <c r="E14" s="31">
        <v>50.98</v>
      </c>
      <c r="F14" s="272">
        <v>3257</v>
      </c>
      <c r="G14" s="263">
        <f t="shared" si="20"/>
        <v>166041.85999999999</v>
      </c>
      <c r="H14" s="273" t="s">
        <v>103</v>
      </c>
      <c r="I14" s="270">
        <v>16</v>
      </c>
      <c r="J14" s="26">
        <v>2000</v>
      </c>
      <c r="K14" s="10">
        <f t="shared" ref="K14:K15" si="24">J14/I14</f>
        <v>125</v>
      </c>
      <c r="L14" s="270">
        <v>16</v>
      </c>
      <c r="M14" s="11">
        <f t="shared" ref="M14:M15" si="25">F14/V14*60</f>
        <v>1897.281553398059</v>
      </c>
      <c r="N14" s="10">
        <f t="shared" si="21"/>
        <v>118.58009708737869</v>
      </c>
      <c r="O14" s="12">
        <f t="shared" ref="O14:O15" si="26">L14-I14</f>
        <v>0</v>
      </c>
      <c r="P14" s="13">
        <f t="shared" ref="P14:P15" si="27">N14-K14</f>
        <v>-6.4199029126213105</v>
      </c>
      <c r="Q14" s="268">
        <f t="shared" ref="Q14:Q20" si="28">N14/K14</f>
        <v>0.94864077669902946</v>
      </c>
      <c r="R14" s="442"/>
      <c r="S14" s="28">
        <v>0.70833333333333337</v>
      </c>
      <c r="T14" s="28">
        <v>0.77986111111111112</v>
      </c>
      <c r="U14" s="263" t="str">
        <f t="shared" ref="U14:U15" si="29">IF(S14=TIME(17,0,0),"",(S14-T13)*24*60)</f>
        <v/>
      </c>
      <c r="V14" s="271">
        <f t="shared" ref="V14:V15" si="30">(T14-S14)*24*60</f>
        <v>102.99999999999996</v>
      </c>
      <c r="W14" s="16"/>
      <c r="X14" s="16"/>
      <c r="Y14" s="443"/>
      <c r="Z14" s="443"/>
      <c r="AA14" s="12">
        <f t="shared" si="2"/>
        <v>-102.71844660194097</v>
      </c>
      <c r="AB14" s="268">
        <f t="shared" si="19"/>
        <v>0.94864077669902946</v>
      </c>
      <c r="AC14" s="442"/>
    </row>
    <row r="15" spans="1:29" ht="16.5" customHeight="1">
      <c r="A15" s="470" t="s">
        <v>1149</v>
      </c>
      <c r="B15" s="272" t="s">
        <v>58</v>
      </c>
      <c r="C15" s="464" t="s">
        <v>60</v>
      </c>
      <c r="D15" s="464"/>
      <c r="E15" s="31">
        <v>50.92</v>
      </c>
      <c r="F15" s="272">
        <v>3652</v>
      </c>
      <c r="G15" s="263">
        <f t="shared" si="20"/>
        <v>185959.84</v>
      </c>
      <c r="H15" s="273" t="s">
        <v>103</v>
      </c>
      <c r="I15" s="270">
        <v>15</v>
      </c>
      <c r="J15" s="26">
        <v>2000</v>
      </c>
      <c r="K15" s="10">
        <f t="shared" si="24"/>
        <v>133.33333333333334</v>
      </c>
      <c r="L15" s="270">
        <v>15</v>
      </c>
      <c r="M15" s="11">
        <f t="shared" si="25"/>
        <v>1888.9655172413782</v>
      </c>
      <c r="N15" s="10">
        <f t="shared" si="21"/>
        <v>125.93103448275855</v>
      </c>
      <c r="O15" s="12">
        <f t="shared" si="26"/>
        <v>0</v>
      </c>
      <c r="P15" s="13">
        <f t="shared" si="27"/>
        <v>-7.4022988505747946</v>
      </c>
      <c r="Q15" s="268">
        <f t="shared" si="28"/>
        <v>0.94448275862068909</v>
      </c>
      <c r="R15" s="442"/>
      <c r="S15" s="28">
        <v>0.78541666666666665</v>
      </c>
      <c r="T15" s="28">
        <v>0.86597222222222225</v>
      </c>
      <c r="U15" s="263">
        <f t="shared" si="29"/>
        <v>7.9999999999999716</v>
      </c>
      <c r="V15" s="271">
        <f t="shared" si="30"/>
        <v>116.00000000000007</v>
      </c>
      <c r="W15" s="16"/>
      <c r="X15" s="16"/>
      <c r="Y15" s="443"/>
      <c r="Z15" s="443"/>
      <c r="AA15" s="12">
        <f t="shared" si="2"/>
        <v>-111.03448275862183</v>
      </c>
      <c r="AB15" s="268">
        <f t="shared" si="19"/>
        <v>0.94448275862068909</v>
      </c>
      <c r="AC15" s="442"/>
    </row>
    <row r="16" spans="1:29" ht="16.5" customHeight="1">
      <c r="A16" s="470" t="s">
        <v>1149</v>
      </c>
      <c r="B16" s="31" t="s">
        <v>1148</v>
      </c>
      <c r="C16" s="446"/>
      <c r="D16" s="446"/>
      <c r="E16" s="262"/>
      <c r="F16" s="33"/>
      <c r="G16" s="10"/>
      <c r="H16" s="272"/>
      <c r="I16" s="19">
        <v>19.25</v>
      </c>
      <c r="J16" s="26">
        <v>1750</v>
      </c>
      <c r="K16" s="10">
        <f>J16/I16</f>
        <v>90.909090909090907</v>
      </c>
      <c r="L16" s="19">
        <v>19.25</v>
      </c>
      <c r="M16" s="11">
        <f>AVERAGE(M12:M15)</f>
        <v>1656.9473487215523</v>
      </c>
      <c r="N16" s="10">
        <f t="shared" si="21"/>
        <v>86.075186946574149</v>
      </c>
      <c r="O16" s="12">
        <f>L16-I16</f>
        <v>0</v>
      </c>
      <c r="P16" s="13">
        <f>N16-K16</f>
        <v>-4.8339039625167572</v>
      </c>
      <c r="Q16" s="268">
        <f t="shared" si="28"/>
        <v>0.94682705641231568</v>
      </c>
      <c r="R16" s="442"/>
      <c r="S16" s="28"/>
      <c r="T16" s="28"/>
      <c r="U16" s="263"/>
      <c r="V16" s="271"/>
      <c r="W16" s="10"/>
      <c r="X16" s="10"/>
      <c r="Y16" s="443"/>
      <c r="Z16" s="443"/>
      <c r="AA16" s="12">
        <f t="shared" si="2"/>
        <v>-93.052651278447684</v>
      </c>
      <c r="AB16" s="268">
        <f t="shared" si="19"/>
        <v>0.94682705641231557</v>
      </c>
      <c r="AC16" s="442"/>
    </row>
    <row r="17" spans="1:29" ht="15.75" customHeight="1">
      <c r="A17" s="467" t="s">
        <v>1150</v>
      </c>
      <c r="B17" s="31" t="s">
        <v>56</v>
      </c>
      <c r="C17" s="464" t="s">
        <v>61</v>
      </c>
      <c r="D17" s="464"/>
      <c r="E17" s="31">
        <v>43.14</v>
      </c>
      <c r="F17" s="272">
        <v>1528</v>
      </c>
      <c r="G17" s="263">
        <f t="shared" ref="G17:G20" si="31">E17*F17</f>
        <v>65917.919999999998</v>
      </c>
      <c r="H17" s="273" t="s">
        <v>103</v>
      </c>
      <c r="I17" s="270">
        <v>17</v>
      </c>
      <c r="J17" s="26">
        <v>2000</v>
      </c>
      <c r="K17" s="10">
        <f t="shared" ref="K17:K21" si="32">J17/I17</f>
        <v>117.64705882352941</v>
      </c>
      <c r="L17" s="270">
        <v>17</v>
      </c>
      <c r="M17" s="11">
        <f t="shared" ref="M17:M20" si="33">F17/V17*60</f>
        <v>1910.0000000000005</v>
      </c>
      <c r="N17" s="10">
        <f t="shared" si="21"/>
        <v>112.35294117647061</v>
      </c>
      <c r="O17" s="12">
        <f t="shared" ref="O17:O20" si="34">L17-I17</f>
        <v>0</v>
      </c>
      <c r="P17" s="13">
        <f t="shared" ref="P17:P20" si="35">N17-K17</f>
        <v>-5.2941176470587976</v>
      </c>
      <c r="Q17" s="268">
        <f t="shared" si="28"/>
        <v>0.95500000000000018</v>
      </c>
      <c r="R17" s="442">
        <f>Q21</f>
        <v>0.94893516460779204</v>
      </c>
      <c r="S17" s="28">
        <v>0.20833333333333334</v>
      </c>
      <c r="T17" s="28">
        <v>0.24166666666666667</v>
      </c>
      <c r="U17" s="263"/>
      <c r="V17" s="271">
        <f>(T17-S17)*24*60</f>
        <v>47.999999999999986</v>
      </c>
      <c r="W17" s="18"/>
      <c r="X17" s="18"/>
      <c r="Y17" s="443"/>
      <c r="Z17" s="443"/>
      <c r="AA17" s="12">
        <f t="shared" si="2"/>
        <v>-89.999999999999545</v>
      </c>
      <c r="AB17" s="268">
        <f t="shared" si="19"/>
        <v>0.95500000000000018</v>
      </c>
      <c r="AC17" s="442">
        <f>AB21</f>
        <v>0.94893516460779204</v>
      </c>
    </row>
    <row r="18" spans="1:29" ht="15.75" customHeight="1">
      <c r="A18" s="468" t="s">
        <v>1150</v>
      </c>
      <c r="B18" s="31" t="s">
        <v>58</v>
      </c>
      <c r="C18" s="464" t="s">
        <v>62</v>
      </c>
      <c r="D18" s="464"/>
      <c r="E18" s="31">
        <v>57.73</v>
      </c>
      <c r="F18" s="272">
        <v>3186</v>
      </c>
      <c r="G18" s="263">
        <f t="shared" si="31"/>
        <v>183927.78</v>
      </c>
      <c r="H18" s="273" t="s">
        <v>103</v>
      </c>
      <c r="I18" s="270">
        <v>15</v>
      </c>
      <c r="J18" s="26">
        <v>2000</v>
      </c>
      <c r="K18" s="10">
        <f t="shared" si="32"/>
        <v>133.33333333333334</v>
      </c>
      <c r="L18" s="270">
        <v>15</v>
      </c>
      <c r="M18" s="11">
        <f t="shared" si="33"/>
        <v>1892.6732673267334</v>
      </c>
      <c r="N18" s="10">
        <f t="shared" si="21"/>
        <v>126.17821782178223</v>
      </c>
      <c r="O18" s="12">
        <f t="shared" si="34"/>
        <v>0</v>
      </c>
      <c r="P18" s="13">
        <f t="shared" si="35"/>
        <v>-7.1551155115511165</v>
      </c>
      <c r="Q18" s="268">
        <f t="shared" si="28"/>
        <v>0.94633663366336662</v>
      </c>
      <c r="R18" s="442"/>
      <c r="S18" s="28">
        <v>0.24722222222222223</v>
      </c>
      <c r="T18" s="28">
        <v>0.31736111111111109</v>
      </c>
      <c r="U18" s="263">
        <f>IF(S18=TIME(17,0,0),"",(S18-T17)*24*60)</f>
        <v>8.0000000000000107</v>
      </c>
      <c r="V18" s="271">
        <f t="shared" ref="V18:V20" si="36">(T18-S18)*24*60</f>
        <v>100.99999999999996</v>
      </c>
      <c r="W18" s="16"/>
      <c r="X18" s="263"/>
      <c r="Y18" s="443"/>
      <c r="Z18" s="443"/>
      <c r="AA18" s="12">
        <f t="shared" si="2"/>
        <v>-107.32673267326663</v>
      </c>
      <c r="AB18" s="268">
        <f t="shared" si="19"/>
        <v>0.94633663366336673</v>
      </c>
      <c r="AC18" s="442"/>
    </row>
    <row r="19" spans="1:29" ht="15.75" customHeight="1">
      <c r="A19" s="468" t="s">
        <v>1150</v>
      </c>
      <c r="B19" s="31" t="s">
        <v>58</v>
      </c>
      <c r="C19" s="464" t="s">
        <v>63</v>
      </c>
      <c r="D19" s="464"/>
      <c r="E19" s="31">
        <v>53.68</v>
      </c>
      <c r="F19" s="272">
        <v>2149</v>
      </c>
      <c r="G19" s="263">
        <f t="shared" si="31"/>
        <v>115358.31999999999</v>
      </c>
      <c r="H19" s="273" t="s">
        <v>103</v>
      </c>
      <c r="I19" s="270">
        <v>16</v>
      </c>
      <c r="J19" s="26">
        <v>2000</v>
      </c>
      <c r="K19" s="10">
        <f t="shared" si="32"/>
        <v>125</v>
      </c>
      <c r="L19" s="270">
        <v>16</v>
      </c>
      <c r="M19" s="11">
        <f t="shared" si="33"/>
        <v>1896.1764705882351</v>
      </c>
      <c r="N19" s="10">
        <f t="shared" si="21"/>
        <v>118.5110294117647</v>
      </c>
      <c r="O19" s="12">
        <f t="shared" si="34"/>
        <v>0</v>
      </c>
      <c r="P19" s="13">
        <f t="shared" si="35"/>
        <v>-6.4889705882353041</v>
      </c>
      <c r="Q19" s="268">
        <f t="shared" si="28"/>
        <v>0.94808823529411757</v>
      </c>
      <c r="R19" s="442"/>
      <c r="S19" s="28">
        <v>0.3208333333333333</v>
      </c>
      <c r="T19" s="28">
        <v>0.36805555555555552</v>
      </c>
      <c r="U19" s="263">
        <f t="shared" ref="U19:U20" si="37">IF(S19=TIME(17,0,0),"",(S19-T18)*24*60)</f>
        <v>4.9999999999999822</v>
      </c>
      <c r="V19" s="271">
        <f t="shared" si="36"/>
        <v>68</v>
      </c>
      <c r="W19" s="16"/>
      <c r="X19" s="263"/>
      <c r="Y19" s="443"/>
      <c r="Z19" s="443"/>
      <c r="AA19" s="12">
        <f t="shared" si="2"/>
        <v>-103.82352941176487</v>
      </c>
      <c r="AB19" s="268">
        <f t="shared" si="19"/>
        <v>0.94808823529411757</v>
      </c>
      <c r="AC19" s="442"/>
    </row>
    <row r="20" spans="1:29" ht="15.75" customHeight="1">
      <c r="A20" s="468" t="s">
        <v>1150</v>
      </c>
      <c r="B20" s="31" t="s">
        <v>58</v>
      </c>
      <c r="C20" s="464" t="s">
        <v>65</v>
      </c>
      <c r="D20" s="464"/>
      <c r="E20" s="31">
        <v>54.09</v>
      </c>
      <c r="F20" s="272">
        <v>3596</v>
      </c>
      <c r="G20" s="263">
        <f t="shared" si="31"/>
        <v>194507.64</v>
      </c>
      <c r="H20" s="273" t="s">
        <v>103</v>
      </c>
      <c r="I20" s="270">
        <v>19</v>
      </c>
      <c r="J20" s="26">
        <v>2000</v>
      </c>
      <c r="K20" s="10">
        <f t="shared" si="32"/>
        <v>105.26315789473684</v>
      </c>
      <c r="L20" s="270">
        <v>19</v>
      </c>
      <c r="M20" s="11">
        <f t="shared" si="33"/>
        <v>1892.6315789473672</v>
      </c>
      <c r="N20" s="10">
        <f t="shared" si="21"/>
        <v>99.612188365650908</v>
      </c>
      <c r="O20" s="12">
        <f t="shared" si="34"/>
        <v>0</v>
      </c>
      <c r="P20" s="13">
        <f t="shared" si="35"/>
        <v>-5.650969529085927</v>
      </c>
      <c r="Q20" s="268">
        <f t="shared" si="28"/>
        <v>0.94631578947368367</v>
      </c>
      <c r="R20" s="442"/>
      <c r="S20" s="28">
        <v>0.70833333333333337</v>
      </c>
      <c r="T20" s="28">
        <v>0.78750000000000009</v>
      </c>
      <c r="U20" s="263" t="str">
        <f t="shared" si="37"/>
        <v/>
      </c>
      <c r="V20" s="271">
        <f t="shared" si="36"/>
        <v>114.00000000000007</v>
      </c>
      <c r="W20" s="16"/>
      <c r="X20" s="263"/>
      <c r="Y20" s="443"/>
      <c r="Z20" s="443"/>
      <c r="AA20" s="12">
        <f t="shared" si="2"/>
        <v>-107.36842105263281</v>
      </c>
      <c r="AB20" s="268">
        <f t="shared" si="19"/>
        <v>0.94631578947368356</v>
      </c>
      <c r="AC20" s="442"/>
    </row>
    <row r="21" spans="1:29" ht="15.75" customHeight="1">
      <c r="A21" s="468" t="s">
        <v>1150</v>
      </c>
      <c r="B21" s="31" t="s">
        <v>1148</v>
      </c>
      <c r="C21" s="446"/>
      <c r="D21" s="446"/>
      <c r="E21" s="262"/>
      <c r="F21" s="272"/>
      <c r="G21" s="263"/>
      <c r="H21" s="272"/>
      <c r="I21" s="19">
        <v>17</v>
      </c>
      <c r="J21" s="26">
        <v>2000</v>
      </c>
      <c r="K21" s="10">
        <f t="shared" si="32"/>
        <v>117.64705882352941</v>
      </c>
      <c r="L21" s="19">
        <v>17</v>
      </c>
      <c r="M21" s="11">
        <f>AVERAGE(M17:M20)</f>
        <v>1897.870329215584</v>
      </c>
      <c r="N21" s="10">
        <f>M21/L21</f>
        <v>111.63943113032848</v>
      </c>
      <c r="O21" s="12">
        <f>L21-I21</f>
        <v>0</v>
      </c>
      <c r="P21" s="13">
        <f>N21-K21</f>
        <v>-6.0076276932009307</v>
      </c>
      <c r="Q21" s="268">
        <f>N21/K21</f>
        <v>0.94893516460779204</v>
      </c>
      <c r="R21" s="442"/>
      <c r="S21" s="28"/>
      <c r="T21" s="28"/>
      <c r="U21" s="10"/>
      <c r="V21" s="271"/>
      <c r="W21" s="10"/>
      <c r="X21" s="10"/>
      <c r="Y21" s="443"/>
      <c r="Z21" s="443"/>
      <c r="AA21" s="12">
        <f t="shared" si="2"/>
        <v>-102.12967078441602</v>
      </c>
      <c r="AB21" s="268">
        <f t="shared" si="19"/>
        <v>0.94893516460779204</v>
      </c>
      <c r="AC21" s="442"/>
    </row>
    <row r="22" spans="1:29" ht="15.75" customHeight="1">
      <c r="A22" s="463" t="s">
        <v>1151</v>
      </c>
      <c r="B22" s="31" t="s">
        <v>67</v>
      </c>
      <c r="C22" s="464" t="s">
        <v>68</v>
      </c>
      <c r="D22" s="464"/>
      <c r="E22" s="31">
        <v>26.2</v>
      </c>
      <c r="F22" s="272">
        <v>5419</v>
      </c>
      <c r="G22" s="263">
        <f t="shared" ref="G22:G29" si="38">E22*F22</f>
        <v>141977.79999999999</v>
      </c>
      <c r="H22" s="273" t="s">
        <v>103</v>
      </c>
      <c r="I22" s="270">
        <v>20</v>
      </c>
      <c r="J22" s="26">
        <v>2400</v>
      </c>
      <c r="K22" s="10">
        <f>J22/I22</f>
        <v>120</v>
      </c>
      <c r="L22" s="270">
        <v>20</v>
      </c>
      <c r="M22" s="11">
        <f t="shared" ref="M22:M29" si="39">F22/V22*60</f>
        <v>2273.7062937062942</v>
      </c>
      <c r="N22" s="10">
        <f t="shared" ref="N22:N29" si="40">M22/L22</f>
        <v>113.68531468531471</v>
      </c>
      <c r="O22" s="12">
        <f t="shared" ref="O22:O29" si="41">L22-I22</f>
        <v>0</v>
      </c>
      <c r="P22" s="13">
        <f t="shared" ref="P22:P29" si="42">N22-K22</f>
        <v>-6.3146853146852919</v>
      </c>
      <c r="Q22" s="268">
        <f t="shared" ref="Q22:Q29" si="43">N22/K22</f>
        <v>0.94737762237762257</v>
      </c>
      <c r="R22" s="442">
        <f>Q30</f>
        <v>0.94800024070851097</v>
      </c>
      <c r="S22" s="28">
        <v>0.125</v>
      </c>
      <c r="T22" s="28">
        <v>0.22430555555555554</v>
      </c>
      <c r="U22" s="263"/>
      <c r="V22" s="271">
        <f t="shared" ref="V22:V29" si="44">(T22-S22)*24*60</f>
        <v>142.99999999999997</v>
      </c>
      <c r="W22" s="16">
        <f>T22</f>
        <v>0.22430555555555554</v>
      </c>
      <c r="X22" s="16">
        <f>S23</f>
        <v>0.24374999999999997</v>
      </c>
      <c r="Y22" s="443"/>
      <c r="Z22" s="443"/>
      <c r="AA22" s="12">
        <f t="shared" si="2"/>
        <v>-126.29370629370578</v>
      </c>
      <c r="AB22" s="268">
        <f>M22/J22</f>
        <v>0.94737762237762257</v>
      </c>
      <c r="AC22" s="442">
        <f>AB30</f>
        <v>0.94800024070851108</v>
      </c>
    </row>
    <row r="23" spans="1:29" ht="15.75" customHeight="1">
      <c r="A23" s="463" t="s">
        <v>1151</v>
      </c>
      <c r="B23" s="31" t="s">
        <v>67</v>
      </c>
      <c r="C23" s="464" t="s">
        <v>69</v>
      </c>
      <c r="D23" s="464"/>
      <c r="E23" s="31">
        <v>31.29</v>
      </c>
      <c r="F23" s="272">
        <v>4500</v>
      </c>
      <c r="G23" s="263">
        <f t="shared" si="38"/>
        <v>140805</v>
      </c>
      <c r="H23" s="273">
        <v>2</v>
      </c>
      <c r="I23" s="270">
        <v>18</v>
      </c>
      <c r="J23" s="26">
        <v>2400</v>
      </c>
      <c r="K23" s="10">
        <f t="shared" ref="K23:K30" si="45">J23/I23</f>
        <v>133.33333333333334</v>
      </c>
      <c r="L23" s="270">
        <v>18</v>
      </c>
      <c r="M23" s="11">
        <f t="shared" si="39"/>
        <v>2268.9075630252105</v>
      </c>
      <c r="N23" s="10">
        <f t="shared" si="40"/>
        <v>126.05042016806725</v>
      </c>
      <c r="O23" s="12">
        <f t="shared" si="41"/>
        <v>0</v>
      </c>
      <c r="P23" s="13">
        <f t="shared" si="42"/>
        <v>-7.2829131652660948</v>
      </c>
      <c r="Q23" s="268">
        <f t="shared" si="43"/>
        <v>0.94537815126050428</v>
      </c>
      <c r="R23" s="442"/>
      <c r="S23" s="28">
        <v>0.24374999999999997</v>
      </c>
      <c r="T23" s="28">
        <v>0.32638888888888884</v>
      </c>
      <c r="U23" s="263">
        <f>(S23-T22)*24*60</f>
        <v>27.999999999999979</v>
      </c>
      <c r="V23" s="271">
        <f t="shared" si="44"/>
        <v>118.99999999999997</v>
      </c>
      <c r="W23" s="16"/>
      <c r="X23" s="16"/>
      <c r="Y23" s="443"/>
      <c r="Z23" s="443"/>
      <c r="AA23" s="12">
        <f t="shared" si="2"/>
        <v>-131.09243697478951</v>
      </c>
      <c r="AB23" s="268">
        <f t="shared" ref="AB23:AB29" si="46">M23/J23</f>
        <v>0.9453781512605044</v>
      </c>
      <c r="AC23" s="442"/>
    </row>
    <row r="24" spans="1:29" ht="15.75" customHeight="1">
      <c r="A24" s="463" t="s">
        <v>1151</v>
      </c>
      <c r="B24" s="31" t="s">
        <v>67</v>
      </c>
      <c r="C24" s="464" t="s">
        <v>70</v>
      </c>
      <c r="D24" s="464"/>
      <c r="E24" s="31">
        <v>24.25</v>
      </c>
      <c r="F24" s="272">
        <v>4320</v>
      </c>
      <c r="G24" s="263">
        <f t="shared" si="38"/>
        <v>104760</v>
      </c>
      <c r="H24" s="273" t="s">
        <v>103</v>
      </c>
      <c r="I24" s="270">
        <v>18</v>
      </c>
      <c r="J24" s="26">
        <v>2400</v>
      </c>
      <c r="K24" s="10">
        <f t="shared" si="45"/>
        <v>133.33333333333334</v>
      </c>
      <c r="L24" s="270">
        <v>18</v>
      </c>
      <c r="M24" s="11">
        <f t="shared" si="39"/>
        <v>2273.6842105263158</v>
      </c>
      <c r="N24" s="10">
        <f t="shared" si="40"/>
        <v>126.31578947368422</v>
      </c>
      <c r="O24" s="12">
        <f t="shared" si="41"/>
        <v>0</v>
      </c>
      <c r="P24" s="13">
        <f t="shared" si="42"/>
        <v>-7.0175438596491233</v>
      </c>
      <c r="Q24" s="268">
        <f t="shared" si="43"/>
        <v>0.94736842105263153</v>
      </c>
      <c r="R24" s="442"/>
      <c r="S24" s="28">
        <v>0.33194444444444438</v>
      </c>
      <c r="T24" s="28">
        <v>0.41111111111111104</v>
      </c>
      <c r="U24" s="263">
        <f t="shared" ref="U24:U29" si="47">(S24-T23)*24*60</f>
        <v>7.9999999999999716</v>
      </c>
      <c r="V24" s="271">
        <f t="shared" si="44"/>
        <v>114</v>
      </c>
      <c r="W24" s="16"/>
      <c r="X24" s="16"/>
      <c r="Y24" s="443"/>
      <c r="Z24" s="443"/>
      <c r="AA24" s="12">
        <f t="shared" si="2"/>
        <v>-126.31578947368416</v>
      </c>
      <c r="AB24" s="268">
        <f t="shared" si="46"/>
        <v>0.94736842105263164</v>
      </c>
      <c r="AC24" s="442"/>
    </row>
    <row r="25" spans="1:29" ht="15.75" customHeight="1">
      <c r="A25" s="463" t="s">
        <v>164</v>
      </c>
      <c r="B25" s="31" t="s">
        <v>67</v>
      </c>
      <c r="C25" s="464" t="s">
        <v>165</v>
      </c>
      <c r="D25" s="464"/>
      <c r="E25" s="31">
        <v>26.18</v>
      </c>
      <c r="F25" s="272">
        <v>3500</v>
      </c>
      <c r="G25" s="263">
        <f t="shared" si="38"/>
        <v>91630</v>
      </c>
      <c r="H25" s="273">
        <v>2</v>
      </c>
      <c r="I25" s="270">
        <v>19</v>
      </c>
      <c r="J25" s="26">
        <v>2400</v>
      </c>
      <c r="K25" s="10">
        <f t="shared" si="45"/>
        <v>126.31578947368421</v>
      </c>
      <c r="L25" s="270">
        <v>19</v>
      </c>
      <c r="M25" s="11">
        <f t="shared" si="39"/>
        <v>2258.0645161290327</v>
      </c>
      <c r="N25" s="10">
        <f t="shared" si="40"/>
        <v>118.84550084889645</v>
      </c>
      <c r="O25" s="12">
        <f t="shared" si="41"/>
        <v>0</v>
      </c>
      <c r="P25" s="13">
        <f t="shared" si="42"/>
        <v>-7.4702886247877558</v>
      </c>
      <c r="Q25" s="268">
        <f t="shared" si="43"/>
        <v>0.9408602150537636</v>
      </c>
      <c r="R25" s="442"/>
      <c r="S25" s="28">
        <v>0.41527777777777769</v>
      </c>
      <c r="T25" s="28">
        <v>0.47986111111111102</v>
      </c>
      <c r="U25" s="263">
        <f t="shared" si="47"/>
        <v>5.9999999999999787</v>
      </c>
      <c r="V25" s="271">
        <f t="shared" si="44"/>
        <v>92.999999999999986</v>
      </c>
      <c r="W25" s="16"/>
      <c r="X25" s="16"/>
      <c r="Y25" s="443"/>
      <c r="Z25" s="443"/>
      <c r="AA25" s="12">
        <f t="shared" si="2"/>
        <v>-141.93548387096735</v>
      </c>
      <c r="AB25" s="268">
        <f t="shared" si="46"/>
        <v>0.9408602150537636</v>
      </c>
      <c r="AC25" s="442"/>
    </row>
    <row r="26" spans="1:29" ht="15.75" customHeight="1">
      <c r="A26" s="463" t="s">
        <v>1152</v>
      </c>
      <c r="B26" s="31" t="s">
        <v>67</v>
      </c>
      <c r="C26" s="464" t="s">
        <v>71</v>
      </c>
      <c r="D26" s="464"/>
      <c r="E26" s="31">
        <v>22.35</v>
      </c>
      <c r="F26" s="272">
        <v>2266</v>
      </c>
      <c r="G26" s="263">
        <f t="shared" si="38"/>
        <v>50645.100000000006</v>
      </c>
      <c r="H26" s="273" t="s">
        <v>103</v>
      </c>
      <c r="I26" s="270">
        <v>16</v>
      </c>
      <c r="J26" s="26">
        <v>2400</v>
      </c>
      <c r="K26" s="10">
        <f t="shared" si="45"/>
        <v>150</v>
      </c>
      <c r="L26" s="270">
        <v>16</v>
      </c>
      <c r="M26" s="11">
        <f t="shared" si="39"/>
        <v>2265.9999999999991</v>
      </c>
      <c r="N26" s="10">
        <f t="shared" si="40"/>
        <v>141.62499999999994</v>
      </c>
      <c r="O26" s="12">
        <f t="shared" si="41"/>
        <v>0</v>
      </c>
      <c r="P26" s="13">
        <f t="shared" si="42"/>
        <v>-8.3750000000000568</v>
      </c>
      <c r="Q26" s="268">
        <f t="shared" si="43"/>
        <v>0.94416666666666627</v>
      </c>
      <c r="R26" s="442"/>
      <c r="S26" s="28">
        <v>0.48333333333333323</v>
      </c>
      <c r="T26" s="28">
        <v>0.52499999999999991</v>
      </c>
      <c r="U26" s="263">
        <f t="shared" si="47"/>
        <v>4.9999999999999822</v>
      </c>
      <c r="V26" s="271">
        <f t="shared" si="44"/>
        <v>60.000000000000028</v>
      </c>
      <c r="W26" s="16">
        <f>T26</f>
        <v>0.52499999999999991</v>
      </c>
      <c r="X26" s="16">
        <f>S27</f>
        <v>0.56666666666666654</v>
      </c>
      <c r="Y26" s="443"/>
      <c r="Z26" s="443"/>
      <c r="AA26" s="12">
        <f t="shared" si="2"/>
        <v>-134.00000000000091</v>
      </c>
      <c r="AB26" s="268">
        <f t="shared" si="46"/>
        <v>0.94416666666666627</v>
      </c>
      <c r="AC26" s="442"/>
    </row>
    <row r="27" spans="1:29" ht="15.75" customHeight="1">
      <c r="A27" s="463" t="s">
        <v>1151</v>
      </c>
      <c r="B27" s="31" t="s">
        <v>67</v>
      </c>
      <c r="C27" s="464" t="s">
        <v>69</v>
      </c>
      <c r="D27" s="464"/>
      <c r="E27" s="31">
        <v>31.29</v>
      </c>
      <c r="F27" s="272">
        <v>5930</v>
      </c>
      <c r="G27" s="263">
        <f t="shared" si="38"/>
        <v>185549.69999999998</v>
      </c>
      <c r="H27" s="273" t="s">
        <v>103</v>
      </c>
      <c r="I27" s="270">
        <v>18</v>
      </c>
      <c r="J27" s="26">
        <v>2400</v>
      </c>
      <c r="K27" s="10">
        <f t="shared" si="45"/>
        <v>133.33333333333334</v>
      </c>
      <c r="L27" s="270">
        <v>18</v>
      </c>
      <c r="M27" s="11">
        <f t="shared" si="39"/>
        <v>2266.2420382165592</v>
      </c>
      <c r="N27" s="10">
        <f t="shared" si="40"/>
        <v>125.90233545647551</v>
      </c>
      <c r="O27" s="12">
        <f t="shared" si="41"/>
        <v>0</v>
      </c>
      <c r="P27" s="13">
        <f t="shared" si="42"/>
        <v>-7.4309978768578304</v>
      </c>
      <c r="Q27" s="268">
        <f t="shared" si="43"/>
        <v>0.94426751592356628</v>
      </c>
      <c r="R27" s="442"/>
      <c r="S27" s="28">
        <v>0.56666666666666654</v>
      </c>
      <c r="T27" s="28">
        <v>0.67569444444444438</v>
      </c>
      <c r="U27" s="263">
        <f t="shared" si="47"/>
        <v>59.999999999999943</v>
      </c>
      <c r="V27" s="271">
        <f t="shared" si="44"/>
        <v>157.00000000000009</v>
      </c>
      <c r="W27" s="16"/>
      <c r="X27" s="16"/>
      <c r="Y27" s="443"/>
      <c r="Z27" s="443"/>
      <c r="AA27" s="12">
        <f t="shared" si="2"/>
        <v>-133.75796178344081</v>
      </c>
      <c r="AB27" s="268">
        <f t="shared" si="46"/>
        <v>0.94426751592356628</v>
      </c>
      <c r="AC27" s="442"/>
    </row>
    <row r="28" spans="1:29" ht="15.75" customHeight="1">
      <c r="A28" s="463" t="s">
        <v>1151</v>
      </c>
      <c r="B28" s="31" t="s">
        <v>67</v>
      </c>
      <c r="C28" s="464" t="s">
        <v>78</v>
      </c>
      <c r="D28" s="464"/>
      <c r="E28" s="31">
        <v>25.98</v>
      </c>
      <c r="F28" s="272">
        <v>1389</v>
      </c>
      <c r="G28" s="263">
        <f t="shared" si="38"/>
        <v>36086.22</v>
      </c>
      <c r="H28" s="273" t="s">
        <v>103</v>
      </c>
      <c r="I28" s="270">
        <v>17</v>
      </c>
      <c r="J28" s="26">
        <v>2400</v>
      </c>
      <c r="K28" s="10">
        <f t="shared" si="45"/>
        <v>141.1764705882353</v>
      </c>
      <c r="L28" s="270">
        <v>17</v>
      </c>
      <c r="M28" s="11">
        <f t="shared" si="39"/>
        <v>2314.9999999999982</v>
      </c>
      <c r="N28" s="10">
        <f t="shared" si="40"/>
        <v>136.17647058823519</v>
      </c>
      <c r="O28" s="12">
        <f t="shared" si="41"/>
        <v>0</v>
      </c>
      <c r="P28" s="13">
        <f t="shared" si="42"/>
        <v>-5.0000000000001137</v>
      </c>
      <c r="Q28" s="268">
        <f t="shared" si="43"/>
        <v>0.96458333333333257</v>
      </c>
      <c r="R28" s="442"/>
      <c r="S28" s="28">
        <v>0.67986111111111103</v>
      </c>
      <c r="T28" s="28">
        <v>0.70486111111111105</v>
      </c>
      <c r="U28" s="263">
        <f t="shared" si="47"/>
        <v>5.9999999999999787</v>
      </c>
      <c r="V28" s="271">
        <f t="shared" si="44"/>
        <v>36.000000000000028</v>
      </c>
      <c r="W28" s="16"/>
      <c r="X28" s="16"/>
      <c r="Y28" s="443"/>
      <c r="Z28" s="443"/>
      <c r="AA28" s="12">
        <f t="shared" si="2"/>
        <v>-85.000000000001819</v>
      </c>
      <c r="AB28" s="268">
        <f t="shared" si="46"/>
        <v>0.96458333333333257</v>
      </c>
      <c r="AC28" s="442"/>
    </row>
    <row r="29" spans="1:29" ht="15.75" customHeight="1">
      <c r="A29" s="463" t="s">
        <v>1151</v>
      </c>
      <c r="B29" s="31" t="s">
        <v>67</v>
      </c>
      <c r="C29" s="464" t="s">
        <v>165</v>
      </c>
      <c r="D29" s="464"/>
      <c r="E29" s="31">
        <v>26.18</v>
      </c>
      <c r="F29" s="272">
        <v>2470</v>
      </c>
      <c r="G29" s="263">
        <f t="shared" si="38"/>
        <v>64664.6</v>
      </c>
      <c r="H29" s="273" t="s">
        <v>103</v>
      </c>
      <c r="I29" s="270">
        <v>19</v>
      </c>
      <c r="J29" s="26">
        <v>2400</v>
      </c>
      <c r="K29" s="10">
        <f t="shared" si="45"/>
        <v>126.31578947368421</v>
      </c>
      <c r="L29" s="270">
        <v>19</v>
      </c>
      <c r="M29" s="11">
        <f t="shared" si="39"/>
        <v>2280.0000000000027</v>
      </c>
      <c r="N29" s="10">
        <f t="shared" si="40"/>
        <v>120.00000000000014</v>
      </c>
      <c r="O29" s="12">
        <f t="shared" si="41"/>
        <v>0</v>
      </c>
      <c r="P29" s="13">
        <f t="shared" si="42"/>
        <v>-6.3157894736840632</v>
      </c>
      <c r="Q29" s="268">
        <f t="shared" si="43"/>
        <v>0.95000000000000118</v>
      </c>
      <c r="R29" s="442"/>
      <c r="S29" s="28">
        <v>0.71041666666666659</v>
      </c>
      <c r="T29" s="28">
        <v>0.75555555555555542</v>
      </c>
      <c r="U29" s="263">
        <f t="shared" si="47"/>
        <v>7.9999999999999716</v>
      </c>
      <c r="V29" s="271">
        <f t="shared" si="44"/>
        <v>64.999999999999929</v>
      </c>
      <c r="W29" s="16"/>
      <c r="X29" s="16"/>
      <c r="Y29" s="443"/>
      <c r="Z29" s="443"/>
      <c r="AA29" s="12">
        <f t="shared" si="2"/>
        <v>-119.99999999999727</v>
      </c>
      <c r="AB29" s="268">
        <f t="shared" si="46"/>
        <v>0.95000000000000118</v>
      </c>
      <c r="AC29" s="442"/>
    </row>
    <row r="30" spans="1:29" ht="15.75" customHeight="1">
      <c r="A30" s="463" t="s">
        <v>164</v>
      </c>
      <c r="B30" s="31" t="s">
        <v>1148</v>
      </c>
      <c r="C30" s="446"/>
      <c r="D30" s="446"/>
      <c r="E30" s="262"/>
      <c r="F30" s="272"/>
      <c r="G30" s="263"/>
      <c r="H30" s="272"/>
      <c r="I30" s="19">
        <v>17.625</v>
      </c>
      <c r="J30" s="26">
        <v>2400</v>
      </c>
      <c r="K30" s="10">
        <f t="shared" si="45"/>
        <v>136.17021276595744</v>
      </c>
      <c r="L30" s="19">
        <v>17.625</v>
      </c>
      <c r="M30" s="11">
        <f>AVERAGE(M22:M29)</f>
        <v>2275.2005777004265</v>
      </c>
      <c r="N30" s="10">
        <f>M30/L30</f>
        <v>129.08939447945681</v>
      </c>
      <c r="O30" s="12">
        <f>L30-I30</f>
        <v>0</v>
      </c>
      <c r="P30" s="13">
        <f>N30-K30</f>
        <v>-7.0808182865006302</v>
      </c>
      <c r="Q30" s="268">
        <f>N30/K30</f>
        <v>0.94800024070851097</v>
      </c>
      <c r="R30" s="442"/>
      <c r="S30" s="28"/>
      <c r="T30" s="28"/>
      <c r="U30" s="263"/>
      <c r="V30" s="271"/>
      <c r="W30" s="263"/>
      <c r="X30" s="263"/>
      <c r="Y30" s="443"/>
      <c r="Z30" s="443"/>
      <c r="AA30" s="12">
        <f t="shared" si="2"/>
        <v>-124.79942229957351</v>
      </c>
      <c r="AB30" s="268">
        <f>M30/J30</f>
        <v>0.94800024070851108</v>
      </c>
      <c r="AC30" s="442"/>
    </row>
    <row r="31" spans="1:29" ht="15.75" customHeight="1">
      <c r="A31" s="461" t="s">
        <v>44</v>
      </c>
      <c r="B31" s="31" t="s">
        <v>67</v>
      </c>
      <c r="C31" s="441" t="s">
        <v>73</v>
      </c>
      <c r="D31" s="441"/>
      <c r="E31" s="31">
        <v>26.2</v>
      </c>
      <c r="F31" s="272">
        <v>3000</v>
      </c>
      <c r="G31" s="263">
        <f t="shared" ref="G31:G39" si="48">E31*F31</f>
        <v>78600</v>
      </c>
      <c r="H31" s="273">
        <v>2</v>
      </c>
      <c r="I31" s="270">
        <v>18</v>
      </c>
      <c r="J31" s="26">
        <v>2400</v>
      </c>
      <c r="K31" s="10">
        <f>J31/I31</f>
        <v>133.33333333333334</v>
      </c>
      <c r="L31" s="270">
        <v>18</v>
      </c>
      <c r="M31" s="11">
        <f>F31/V31*60</f>
        <v>2278.4810126582279</v>
      </c>
      <c r="N31" s="10">
        <f>M31/L31</f>
        <v>126.58227848101266</v>
      </c>
      <c r="O31" s="12">
        <f t="shared" ref="O31:O39" si="49">L31-I31</f>
        <v>0</v>
      </c>
      <c r="P31" s="13">
        <f t="shared" ref="P31:P50" si="50">N31-K31</f>
        <v>-6.7510548523206779</v>
      </c>
      <c r="Q31" s="268">
        <f t="shared" ref="Q31:Q44" si="51">N31/K31</f>
        <v>0.94936708860759489</v>
      </c>
      <c r="R31" s="442">
        <f>Q40</f>
        <v>0.94712633739332608</v>
      </c>
      <c r="S31" s="28">
        <v>0.125</v>
      </c>
      <c r="T31" s="28">
        <v>0.17986111111111111</v>
      </c>
      <c r="U31" s="263"/>
      <c r="V31" s="271">
        <f t="shared" ref="V31:V39" si="52">(T31-S31)*24*60</f>
        <v>79</v>
      </c>
      <c r="W31" s="18">
        <f>T31</f>
        <v>0.17986111111111111</v>
      </c>
      <c r="X31" s="18">
        <f>S32</f>
        <v>0.1986111111111111</v>
      </c>
      <c r="Y31" s="443"/>
      <c r="Z31" s="443"/>
      <c r="AA31" s="12">
        <f t="shared" si="2"/>
        <v>-121.51898734177212</v>
      </c>
      <c r="AB31" s="268">
        <f>M31/J31</f>
        <v>0.949367088607595</v>
      </c>
      <c r="AC31" s="442">
        <f>AB40</f>
        <v>0.94712633739332608</v>
      </c>
    </row>
    <row r="32" spans="1:29" ht="15.75" customHeight="1">
      <c r="A32" s="461" t="s">
        <v>1153</v>
      </c>
      <c r="B32" s="31" t="s">
        <v>67</v>
      </c>
      <c r="C32" s="441" t="s">
        <v>74</v>
      </c>
      <c r="D32" s="441"/>
      <c r="E32" s="31">
        <v>24.45</v>
      </c>
      <c r="F32" s="272">
        <v>2767</v>
      </c>
      <c r="G32" s="263">
        <f t="shared" si="48"/>
        <v>67653.149999999994</v>
      </c>
      <c r="H32" s="273" t="s">
        <v>103</v>
      </c>
      <c r="I32" s="270">
        <v>20</v>
      </c>
      <c r="J32" s="26">
        <v>2400</v>
      </c>
      <c r="K32" s="10">
        <f t="shared" ref="K32:K49" si="53">J32/I32</f>
        <v>120</v>
      </c>
      <c r="L32" s="270">
        <v>20</v>
      </c>
      <c r="M32" s="11">
        <f t="shared" ref="M32:M39" si="54">F32/V32*60</f>
        <v>2274.2465753424663</v>
      </c>
      <c r="N32" s="10">
        <f t="shared" ref="N32:N39" si="55">M32/L32</f>
        <v>113.71232876712331</v>
      </c>
      <c r="O32" s="12">
        <f t="shared" si="49"/>
        <v>0</v>
      </c>
      <c r="P32" s="13">
        <f t="shared" si="50"/>
        <v>-6.2876712328766899</v>
      </c>
      <c r="Q32" s="268">
        <f t="shared" si="51"/>
        <v>0.9476027397260276</v>
      </c>
      <c r="R32" s="442"/>
      <c r="S32" s="28">
        <v>0.1986111111111111</v>
      </c>
      <c r="T32" s="28">
        <v>0.24930555555555553</v>
      </c>
      <c r="U32" s="263">
        <f>(S32-T31)*24*60</f>
        <v>26.999999999999986</v>
      </c>
      <c r="V32" s="271">
        <f t="shared" si="52"/>
        <v>72.999999999999986</v>
      </c>
      <c r="W32" s="263"/>
      <c r="X32" s="263"/>
      <c r="Y32" s="443"/>
      <c r="Z32" s="443"/>
      <c r="AA32" s="12">
        <f t="shared" si="2"/>
        <v>-125.75342465753374</v>
      </c>
      <c r="AB32" s="268">
        <f t="shared" ref="AB32:AB64" si="56">M32/J32</f>
        <v>0.9476027397260276</v>
      </c>
      <c r="AC32" s="442"/>
    </row>
    <row r="33" spans="1:29">
      <c r="A33" s="462" t="s">
        <v>1153</v>
      </c>
      <c r="B33" s="31" t="s">
        <v>67</v>
      </c>
      <c r="C33" s="441" t="s">
        <v>75</v>
      </c>
      <c r="D33" s="441"/>
      <c r="E33" s="31">
        <v>26.39</v>
      </c>
      <c r="F33" s="272">
        <v>4300</v>
      </c>
      <c r="G33" s="263">
        <f t="shared" si="48"/>
        <v>113477</v>
      </c>
      <c r="H33" s="273">
        <v>2</v>
      </c>
      <c r="I33" s="270">
        <v>19</v>
      </c>
      <c r="J33" s="26">
        <v>2400</v>
      </c>
      <c r="K33" s="10">
        <f t="shared" si="53"/>
        <v>126.31578947368421</v>
      </c>
      <c r="L33" s="270">
        <v>19</v>
      </c>
      <c r="M33" s="11">
        <f t="shared" si="54"/>
        <v>2263.1578947368421</v>
      </c>
      <c r="N33" s="10">
        <f t="shared" si="55"/>
        <v>119.11357340720221</v>
      </c>
      <c r="O33" s="12">
        <f t="shared" si="49"/>
        <v>0</v>
      </c>
      <c r="P33" s="13">
        <f t="shared" si="50"/>
        <v>-7.202216066481995</v>
      </c>
      <c r="Q33" s="268">
        <f t="shared" si="51"/>
        <v>0.94298245614035092</v>
      </c>
      <c r="R33" s="442"/>
      <c r="S33" s="28">
        <v>0.25347222222222221</v>
      </c>
      <c r="T33" s="28">
        <v>0.33263888888888887</v>
      </c>
      <c r="U33" s="263">
        <f t="shared" ref="U33:U39" si="57">(S33-T32)*24*60</f>
        <v>6.0000000000000187</v>
      </c>
      <c r="V33" s="271">
        <f t="shared" si="52"/>
        <v>114</v>
      </c>
      <c r="W33" s="263"/>
      <c r="X33" s="263"/>
      <c r="Y33" s="443"/>
      <c r="Z33" s="443"/>
      <c r="AA33" s="12">
        <f t="shared" si="2"/>
        <v>-136.84210526315792</v>
      </c>
      <c r="AB33" s="268">
        <f t="shared" si="56"/>
        <v>0.94298245614035092</v>
      </c>
      <c r="AC33" s="442"/>
    </row>
    <row r="34" spans="1:29">
      <c r="A34" s="462" t="s">
        <v>1153</v>
      </c>
      <c r="B34" s="31" t="s">
        <v>67</v>
      </c>
      <c r="C34" s="441" t="s">
        <v>76</v>
      </c>
      <c r="D34" s="441"/>
      <c r="E34" s="31">
        <v>20.52</v>
      </c>
      <c r="F34" s="272">
        <v>4048</v>
      </c>
      <c r="G34" s="263">
        <f t="shared" si="48"/>
        <v>83064.959999999992</v>
      </c>
      <c r="H34" s="273" t="s">
        <v>103</v>
      </c>
      <c r="I34" s="270">
        <v>18</v>
      </c>
      <c r="J34" s="26">
        <v>2400</v>
      </c>
      <c r="K34" s="10">
        <f t="shared" si="53"/>
        <v>133.33333333333334</v>
      </c>
      <c r="L34" s="270">
        <v>18</v>
      </c>
      <c r="M34" s="11">
        <f t="shared" si="54"/>
        <v>2269.9065420560742</v>
      </c>
      <c r="N34" s="10">
        <f t="shared" si="55"/>
        <v>126.10591900311523</v>
      </c>
      <c r="O34" s="12">
        <f t="shared" si="49"/>
        <v>0</v>
      </c>
      <c r="P34" s="13">
        <f t="shared" si="50"/>
        <v>-7.2274143302181102</v>
      </c>
      <c r="Q34" s="268">
        <f t="shared" si="51"/>
        <v>0.94579439252336417</v>
      </c>
      <c r="R34" s="442"/>
      <c r="S34" s="28">
        <v>0.33749999999999997</v>
      </c>
      <c r="T34" s="28">
        <v>0.41180555555555554</v>
      </c>
      <c r="U34" s="263">
        <f t="shared" si="57"/>
        <v>6.9999999999999751</v>
      </c>
      <c r="V34" s="271">
        <f t="shared" si="52"/>
        <v>107.00000000000001</v>
      </c>
      <c r="W34" s="16"/>
      <c r="X34" s="16"/>
      <c r="Y34" s="443"/>
      <c r="Z34" s="443"/>
      <c r="AA34" s="12">
        <f t="shared" si="2"/>
        <v>-130.09345794392584</v>
      </c>
      <c r="AB34" s="268">
        <f t="shared" si="56"/>
        <v>0.94579439252336428</v>
      </c>
      <c r="AC34" s="442"/>
    </row>
    <row r="35" spans="1:29">
      <c r="A35" s="462" t="s">
        <v>1153</v>
      </c>
      <c r="B35" s="31" t="s">
        <v>67</v>
      </c>
      <c r="C35" s="441" t="s">
        <v>77</v>
      </c>
      <c r="D35" s="441"/>
      <c r="E35" s="31">
        <v>26.2</v>
      </c>
      <c r="F35" s="272">
        <v>3200</v>
      </c>
      <c r="G35" s="263">
        <f t="shared" si="48"/>
        <v>83840</v>
      </c>
      <c r="H35" s="273">
        <v>2</v>
      </c>
      <c r="I35" s="270">
        <v>19</v>
      </c>
      <c r="J35" s="26">
        <v>2400</v>
      </c>
      <c r="K35" s="10">
        <f t="shared" si="53"/>
        <v>126.31578947368421</v>
      </c>
      <c r="L35" s="270">
        <v>19</v>
      </c>
      <c r="M35" s="11">
        <f t="shared" si="54"/>
        <v>2258.8235294117644</v>
      </c>
      <c r="N35" s="10">
        <f t="shared" si="55"/>
        <v>118.88544891640865</v>
      </c>
      <c r="O35" s="12">
        <f t="shared" si="49"/>
        <v>0</v>
      </c>
      <c r="P35" s="13">
        <f t="shared" si="50"/>
        <v>-7.4303405572755565</v>
      </c>
      <c r="Q35" s="268">
        <f t="shared" si="51"/>
        <v>0.94117647058823517</v>
      </c>
      <c r="R35" s="442"/>
      <c r="S35" s="28">
        <v>0.41666666666666663</v>
      </c>
      <c r="T35" s="28">
        <v>0.47569444444444442</v>
      </c>
      <c r="U35" s="263">
        <f t="shared" si="57"/>
        <v>6.9999999999999751</v>
      </c>
      <c r="V35" s="271">
        <f t="shared" si="52"/>
        <v>85.000000000000014</v>
      </c>
      <c r="W35" s="16"/>
      <c r="X35" s="16"/>
      <c r="Y35" s="443"/>
      <c r="Z35" s="443"/>
      <c r="AA35" s="12">
        <f t="shared" si="2"/>
        <v>-141.17647058823559</v>
      </c>
      <c r="AB35" s="268">
        <f t="shared" si="56"/>
        <v>0.94117647058823517</v>
      </c>
      <c r="AC35" s="442"/>
    </row>
    <row r="36" spans="1:29">
      <c r="A36" s="462" t="s">
        <v>1153</v>
      </c>
      <c r="B36" s="31" t="s">
        <v>67</v>
      </c>
      <c r="C36" s="441" t="s">
        <v>78</v>
      </c>
      <c r="D36" s="441"/>
      <c r="E36" s="31">
        <v>25.98</v>
      </c>
      <c r="F36" s="272">
        <v>2200</v>
      </c>
      <c r="G36" s="263">
        <f t="shared" si="48"/>
        <v>57156</v>
      </c>
      <c r="H36" s="273">
        <v>2</v>
      </c>
      <c r="I36" s="270">
        <v>17</v>
      </c>
      <c r="J36" s="26">
        <v>2400</v>
      </c>
      <c r="K36" s="10">
        <f t="shared" si="53"/>
        <v>141.1764705882353</v>
      </c>
      <c r="L36" s="270">
        <v>17</v>
      </c>
      <c r="M36" s="11">
        <f t="shared" si="54"/>
        <v>2275.862068965519</v>
      </c>
      <c r="N36" s="10">
        <f t="shared" si="55"/>
        <v>133.87423935091289</v>
      </c>
      <c r="O36" s="12">
        <f t="shared" si="49"/>
        <v>0</v>
      </c>
      <c r="P36" s="13">
        <f t="shared" si="50"/>
        <v>-7.3022312373224167</v>
      </c>
      <c r="Q36" s="268">
        <f t="shared" si="51"/>
        <v>0.94827586206896619</v>
      </c>
      <c r="R36" s="442"/>
      <c r="S36" s="28">
        <v>0.48055555555555551</v>
      </c>
      <c r="T36" s="28">
        <v>0.52083333333333326</v>
      </c>
      <c r="U36" s="263">
        <f t="shared" si="57"/>
        <v>6.9999999999999751</v>
      </c>
      <c r="V36" s="271">
        <f t="shared" si="52"/>
        <v>57.999999999999957</v>
      </c>
      <c r="W36" s="16">
        <f>T36</f>
        <v>0.52083333333333326</v>
      </c>
      <c r="X36" s="16">
        <f>S37</f>
        <v>0.56111111111111101</v>
      </c>
      <c r="Y36" s="443"/>
      <c r="Z36" s="443"/>
      <c r="AA36" s="12">
        <f t="shared" si="2"/>
        <v>-124.13793103448097</v>
      </c>
      <c r="AB36" s="268">
        <f t="shared" si="56"/>
        <v>0.9482758620689663</v>
      </c>
      <c r="AC36" s="442"/>
    </row>
    <row r="37" spans="1:29">
      <c r="A37" s="462" t="s">
        <v>1153</v>
      </c>
      <c r="B37" s="31" t="s">
        <v>67</v>
      </c>
      <c r="C37" s="441" t="s">
        <v>73</v>
      </c>
      <c r="D37" s="441"/>
      <c r="E37" s="31">
        <v>26.2</v>
      </c>
      <c r="F37" s="272">
        <v>5039</v>
      </c>
      <c r="G37" s="263">
        <f t="shared" si="48"/>
        <v>132021.79999999999</v>
      </c>
      <c r="H37" s="273" t="s">
        <v>103</v>
      </c>
      <c r="I37" s="270">
        <v>18</v>
      </c>
      <c r="J37" s="26">
        <v>2400</v>
      </c>
      <c r="K37" s="10">
        <f t="shared" si="53"/>
        <v>133.33333333333334</v>
      </c>
      <c r="L37" s="270">
        <v>18</v>
      </c>
      <c r="M37" s="11">
        <f t="shared" si="54"/>
        <v>2273.2330827067667</v>
      </c>
      <c r="N37" s="10">
        <f t="shared" si="55"/>
        <v>126.2907268170426</v>
      </c>
      <c r="O37" s="12">
        <f t="shared" si="49"/>
        <v>0</v>
      </c>
      <c r="P37" s="13">
        <f t="shared" si="50"/>
        <v>-7.0426065162907463</v>
      </c>
      <c r="Q37" s="268">
        <f t="shared" si="51"/>
        <v>0.94718045112781946</v>
      </c>
      <c r="R37" s="442"/>
      <c r="S37" s="28">
        <v>0.56111111111111101</v>
      </c>
      <c r="T37" s="28">
        <v>0.65347222222222212</v>
      </c>
      <c r="U37" s="263">
        <f t="shared" si="57"/>
        <v>57.999999999999957</v>
      </c>
      <c r="V37" s="271">
        <f t="shared" si="52"/>
        <v>133</v>
      </c>
      <c r="W37" s="16"/>
      <c r="X37" s="16"/>
      <c r="Y37" s="447"/>
      <c r="Z37" s="448"/>
      <c r="AA37" s="12">
        <f t="shared" si="2"/>
        <v>-126.76691729323329</v>
      </c>
      <c r="AB37" s="268">
        <f t="shared" si="56"/>
        <v>0.94718045112781946</v>
      </c>
      <c r="AC37" s="442"/>
    </row>
    <row r="38" spans="1:29">
      <c r="A38" s="462" t="s">
        <v>1153</v>
      </c>
      <c r="B38" s="31" t="s">
        <v>67</v>
      </c>
      <c r="C38" s="441" t="s">
        <v>75</v>
      </c>
      <c r="D38" s="441"/>
      <c r="E38" s="31">
        <v>26.39</v>
      </c>
      <c r="F38" s="272">
        <v>2858</v>
      </c>
      <c r="G38" s="263">
        <f t="shared" si="48"/>
        <v>75422.62</v>
      </c>
      <c r="H38" s="273" t="s">
        <v>103</v>
      </c>
      <c r="I38" s="270">
        <v>19</v>
      </c>
      <c r="J38" s="26">
        <v>2400</v>
      </c>
      <c r="K38" s="10">
        <f t="shared" si="53"/>
        <v>126.31578947368421</v>
      </c>
      <c r="L38" s="270">
        <v>19</v>
      </c>
      <c r="M38" s="11">
        <f t="shared" si="54"/>
        <v>2286.3999999999983</v>
      </c>
      <c r="N38" s="10">
        <f t="shared" si="55"/>
        <v>120.33684210526307</v>
      </c>
      <c r="O38" s="12">
        <f t="shared" si="49"/>
        <v>0</v>
      </c>
      <c r="P38" s="13">
        <f t="shared" si="50"/>
        <v>-5.9789473684211316</v>
      </c>
      <c r="Q38" s="268">
        <f t="shared" si="51"/>
        <v>0.952666666666666</v>
      </c>
      <c r="R38" s="442"/>
      <c r="S38" s="28">
        <v>0.65833333333333321</v>
      </c>
      <c r="T38" s="28">
        <v>0.71041666666666659</v>
      </c>
      <c r="U38" s="263">
        <f t="shared" si="57"/>
        <v>6.9999999999999751</v>
      </c>
      <c r="V38" s="271">
        <f t="shared" si="52"/>
        <v>75.000000000000057</v>
      </c>
      <c r="W38" s="16"/>
      <c r="X38" s="16"/>
      <c r="Y38" s="447"/>
      <c r="Z38" s="448"/>
      <c r="AA38" s="12">
        <f t="shared" si="2"/>
        <v>-113.60000000000173</v>
      </c>
      <c r="AB38" s="268">
        <f t="shared" si="56"/>
        <v>0.952666666666666</v>
      </c>
      <c r="AC38" s="442"/>
    </row>
    <row r="39" spans="1:29">
      <c r="A39" s="462" t="s">
        <v>1153</v>
      </c>
      <c r="B39" s="31" t="s">
        <v>67</v>
      </c>
      <c r="C39" s="441" t="s">
        <v>77</v>
      </c>
      <c r="D39" s="441"/>
      <c r="E39" s="31">
        <v>26.2</v>
      </c>
      <c r="F39" s="272">
        <v>2088</v>
      </c>
      <c r="G39" s="263">
        <f t="shared" si="48"/>
        <v>54705.599999999999</v>
      </c>
      <c r="H39" s="273" t="s">
        <v>103</v>
      </c>
      <c r="I39" s="270">
        <v>19</v>
      </c>
      <c r="J39" s="26">
        <v>2400</v>
      </c>
      <c r="K39" s="10">
        <f t="shared" si="53"/>
        <v>126.31578947368421</v>
      </c>
      <c r="L39" s="270">
        <v>19</v>
      </c>
      <c r="M39" s="11">
        <f t="shared" si="54"/>
        <v>2277.8181818181833</v>
      </c>
      <c r="N39" s="10">
        <f t="shared" si="55"/>
        <v>119.88516746411491</v>
      </c>
      <c r="O39" s="12">
        <f t="shared" si="49"/>
        <v>0</v>
      </c>
      <c r="P39" s="13">
        <f t="shared" si="50"/>
        <v>-6.4306220095692908</v>
      </c>
      <c r="Q39" s="268">
        <f t="shared" si="51"/>
        <v>0.94909090909090976</v>
      </c>
      <c r="R39" s="442"/>
      <c r="S39" s="28">
        <v>0.71597222222222212</v>
      </c>
      <c r="T39" s="28">
        <v>0.75416666666666654</v>
      </c>
      <c r="U39" s="263">
        <f t="shared" si="57"/>
        <v>7.9999999999999716</v>
      </c>
      <c r="V39" s="271">
        <f t="shared" si="52"/>
        <v>54.999999999999964</v>
      </c>
      <c r="W39" s="16"/>
      <c r="X39" s="16"/>
      <c r="Y39" s="447"/>
      <c r="Z39" s="448"/>
      <c r="AA39" s="12">
        <f t="shared" si="2"/>
        <v>-122.18181818181665</v>
      </c>
      <c r="AB39" s="268">
        <f t="shared" si="56"/>
        <v>0.94909090909090976</v>
      </c>
      <c r="AC39" s="442"/>
    </row>
    <row r="40" spans="1:29">
      <c r="A40" s="462" t="s">
        <v>1153</v>
      </c>
      <c r="B40" s="33" t="s">
        <v>1148</v>
      </c>
      <c r="C40" s="446"/>
      <c r="D40" s="446"/>
      <c r="E40" s="262"/>
      <c r="F40" s="33"/>
      <c r="G40" s="10"/>
      <c r="H40" s="272"/>
      <c r="I40" s="19">
        <v>18.555555555555557</v>
      </c>
      <c r="J40" s="26">
        <v>2400</v>
      </c>
      <c r="K40" s="10">
        <f t="shared" si="53"/>
        <v>129.34131736526945</v>
      </c>
      <c r="L40" s="19">
        <v>18.555555555555557</v>
      </c>
      <c r="M40" s="11">
        <f>AVERAGE(M31:M39)</f>
        <v>2273.1032097439825</v>
      </c>
      <c r="N40" s="10">
        <f>M40/L40</f>
        <v>122.50256818979545</v>
      </c>
      <c r="O40" s="12">
        <f>L40-I40</f>
        <v>0</v>
      </c>
      <c r="P40" s="13">
        <f t="shared" si="50"/>
        <v>-6.8387491754739926</v>
      </c>
      <c r="Q40" s="268">
        <f t="shared" si="51"/>
        <v>0.94712633739332608</v>
      </c>
      <c r="R40" s="442"/>
      <c r="S40" s="28"/>
      <c r="T40" s="28"/>
      <c r="U40" s="10"/>
      <c r="V40" s="271"/>
      <c r="W40" s="10"/>
      <c r="X40" s="10"/>
      <c r="Y40" s="443"/>
      <c r="Z40" s="443"/>
      <c r="AA40" s="12">
        <f t="shared" si="2"/>
        <v>-126.89679025601754</v>
      </c>
      <c r="AB40" s="268">
        <f t="shared" si="56"/>
        <v>0.94712633739332608</v>
      </c>
      <c r="AC40" s="442"/>
    </row>
    <row r="41" spans="1:29" ht="15.75" customHeight="1">
      <c r="A41" s="453" t="s">
        <v>1154</v>
      </c>
      <c r="B41" s="31" t="s">
        <v>79</v>
      </c>
      <c r="C41" s="444" t="s">
        <v>80</v>
      </c>
      <c r="D41" s="445"/>
      <c r="E41" s="31">
        <v>21.13</v>
      </c>
      <c r="F41" s="272">
        <v>3100</v>
      </c>
      <c r="G41" s="263">
        <f t="shared" ref="G41:G49" si="58">E41*F41</f>
        <v>65503</v>
      </c>
      <c r="H41" s="273">
        <v>2</v>
      </c>
      <c r="I41" s="270">
        <v>10</v>
      </c>
      <c r="J41" s="26">
        <v>3000</v>
      </c>
      <c r="K41" s="10">
        <f t="shared" si="53"/>
        <v>300</v>
      </c>
      <c r="L41" s="270">
        <v>10</v>
      </c>
      <c r="M41" s="11">
        <f t="shared" ref="M41:M42" si="59">F41/V41*60</f>
        <v>2861.5384615384628</v>
      </c>
      <c r="N41" s="11">
        <f t="shared" ref="N41:N50" si="60">M41/L41</f>
        <v>286.1538461538463</v>
      </c>
      <c r="O41" s="12">
        <f t="shared" ref="O41:O50" si="61">L41-I41</f>
        <v>0</v>
      </c>
      <c r="P41" s="13">
        <f t="shared" si="50"/>
        <v>-13.846153846153697</v>
      </c>
      <c r="Q41" s="268">
        <f t="shared" si="51"/>
        <v>0.95384615384615434</v>
      </c>
      <c r="R41" s="456">
        <f>Q50</f>
        <v>0.95202263843773283</v>
      </c>
      <c r="S41" s="28">
        <v>0.20833333333333334</v>
      </c>
      <c r="T41" s="28">
        <v>0.25347222222222221</v>
      </c>
      <c r="U41" s="18"/>
      <c r="V41" s="271">
        <f t="shared" ref="V41:V49" si="62">(T41-S41)*24*60</f>
        <v>64.999999999999972</v>
      </c>
      <c r="W41" s="16"/>
      <c r="X41" s="16"/>
      <c r="Y41" s="447"/>
      <c r="Z41" s="448"/>
      <c r="AA41" s="12">
        <f t="shared" si="2"/>
        <v>-138.4615384615372</v>
      </c>
      <c r="AB41" s="268">
        <f t="shared" si="56"/>
        <v>0.95384615384615423</v>
      </c>
      <c r="AC41" s="456">
        <f>AB50</f>
        <v>0.95202263843773294</v>
      </c>
    </row>
    <row r="42" spans="1:29" ht="15.75" customHeight="1">
      <c r="A42" s="454" t="s">
        <v>1154</v>
      </c>
      <c r="B42" s="31" t="s">
        <v>79</v>
      </c>
      <c r="C42" s="444" t="s">
        <v>81</v>
      </c>
      <c r="D42" s="445"/>
      <c r="E42" s="31">
        <v>27.17</v>
      </c>
      <c r="F42" s="272">
        <v>3000</v>
      </c>
      <c r="G42" s="263">
        <f t="shared" si="58"/>
        <v>81510</v>
      </c>
      <c r="H42" s="273">
        <v>2</v>
      </c>
      <c r="I42" s="270">
        <v>10</v>
      </c>
      <c r="J42" s="26">
        <v>3000</v>
      </c>
      <c r="K42" s="10">
        <f t="shared" si="53"/>
        <v>300</v>
      </c>
      <c r="L42" s="270">
        <v>10</v>
      </c>
      <c r="M42" s="11">
        <f t="shared" si="59"/>
        <v>2857.1428571428564</v>
      </c>
      <c r="N42" s="11">
        <f t="shared" si="60"/>
        <v>285.71428571428567</v>
      </c>
      <c r="O42" s="12">
        <f t="shared" si="61"/>
        <v>0</v>
      </c>
      <c r="P42" s="13">
        <f t="shared" si="50"/>
        <v>-14.285714285714334</v>
      </c>
      <c r="Q42" s="268">
        <f t="shared" si="51"/>
        <v>0.95238095238095222</v>
      </c>
      <c r="R42" s="457"/>
      <c r="S42" s="28">
        <v>0.2583333333333333</v>
      </c>
      <c r="T42" s="28">
        <v>0.30208333333333331</v>
      </c>
      <c r="U42" s="263">
        <f>(S42-T41)*24*60</f>
        <v>6.9999999999999751</v>
      </c>
      <c r="V42" s="271">
        <f t="shared" si="62"/>
        <v>63.000000000000014</v>
      </c>
      <c r="W42" s="16"/>
      <c r="X42" s="16"/>
      <c r="Y42" s="447"/>
      <c r="Z42" s="448"/>
      <c r="AA42" s="12">
        <f t="shared" si="2"/>
        <v>-142.85714285714357</v>
      </c>
      <c r="AB42" s="268">
        <f t="shared" si="56"/>
        <v>0.95238095238095211</v>
      </c>
      <c r="AC42" s="457"/>
    </row>
    <row r="43" spans="1:29" ht="15.75" customHeight="1">
      <c r="A43" s="454" t="s">
        <v>1154</v>
      </c>
      <c r="B43" s="31" t="s">
        <v>79</v>
      </c>
      <c r="C43" s="444" t="s">
        <v>82</v>
      </c>
      <c r="D43" s="445"/>
      <c r="E43" s="31">
        <v>35.119999999999997</v>
      </c>
      <c r="F43" s="272">
        <v>4981</v>
      </c>
      <c r="G43" s="263">
        <f t="shared" si="58"/>
        <v>174932.72</v>
      </c>
      <c r="H43" s="273" t="s">
        <v>103</v>
      </c>
      <c r="I43" s="270">
        <v>10</v>
      </c>
      <c r="J43" s="26">
        <v>3000</v>
      </c>
      <c r="K43" s="10">
        <f t="shared" si="53"/>
        <v>300</v>
      </c>
      <c r="L43" s="270">
        <v>10</v>
      </c>
      <c r="M43" s="11">
        <f>F43/V43*60</f>
        <v>2846.2857142857133</v>
      </c>
      <c r="N43" s="11">
        <f t="shared" si="60"/>
        <v>284.62857142857132</v>
      </c>
      <c r="O43" s="12">
        <f t="shared" si="61"/>
        <v>0</v>
      </c>
      <c r="P43" s="13">
        <f t="shared" si="50"/>
        <v>-15.37142857142868</v>
      </c>
      <c r="Q43" s="268">
        <f t="shared" si="51"/>
        <v>0.94876190476190436</v>
      </c>
      <c r="R43" s="457"/>
      <c r="S43" s="28">
        <v>0.30624999999999997</v>
      </c>
      <c r="T43" s="28">
        <v>0.37916666666666665</v>
      </c>
      <c r="U43" s="263">
        <f t="shared" ref="U43:U49" si="63">(S43-T42)*24*60</f>
        <v>5.9999999999999787</v>
      </c>
      <c r="V43" s="271">
        <f t="shared" si="62"/>
        <v>105.00000000000003</v>
      </c>
      <c r="W43" s="16"/>
      <c r="X43" s="16"/>
      <c r="Y43" s="447"/>
      <c r="Z43" s="448"/>
      <c r="AA43" s="12">
        <f t="shared" si="2"/>
        <v>-153.71428571428669</v>
      </c>
      <c r="AB43" s="268">
        <f t="shared" si="56"/>
        <v>0.94876190476190447</v>
      </c>
      <c r="AC43" s="457"/>
    </row>
    <row r="44" spans="1:29" ht="15.75" customHeight="1">
      <c r="A44" s="454" t="s">
        <v>1154</v>
      </c>
      <c r="B44" s="31" t="s">
        <v>79</v>
      </c>
      <c r="C44" s="444" t="s">
        <v>83</v>
      </c>
      <c r="D44" s="445"/>
      <c r="E44" s="31">
        <v>40.18</v>
      </c>
      <c r="F44" s="272">
        <v>1904</v>
      </c>
      <c r="G44" s="263">
        <f t="shared" si="58"/>
        <v>76502.720000000001</v>
      </c>
      <c r="H44" s="273" t="s">
        <v>103</v>
      </c>
      <c r="I44" s="270">
        <v>10</v>
      </c>
      <c r="J44" s="26">
        <v>3000</v>
      </c>
      <c r="K44" s="10">
        <f t="shared" si="53"/>
        <v>300</v>
      </c>
      <c r="L44" s="270">
        <v>10</v>
      </c>
      <c r="M44" s="11">
        <f t="shared" ref="M44:M49" si="64">F44/V44*60</f>
        <v>2855.9999999999986</v>
      </c>
      <c r="N44" s="11">
        <f t="shared" si="60"/>
        <v>285.59999999999985</v>
      </c>
      <c r="O44" s="12">
        <f t="shared" si="61"/>
        <v>0</v>
      </c>
      <c r="P44" s="13">
        <f t="shared" si="50"/>
        <v>-14.400000000000148</v>
      </c>
      <c r="Q44" s="268">
        <f t="shared" si="51"/>
        <v>0.95199999999999951</v>
      </c>
      <c r="R44" s="457"/>
      <c r="S44" s="28">
        <v>0.38402777777777775</v>
      </c>
      <c r="T44" s="28">
        <v>0.41180555555555554</v>
      </c>
      <c r="U44" s="263">
        <f t="shared" si="63"/>
        <v>6.9999999999999751</v>
      </c>
      <c r="V44" s="271">
        <f t="shared" si="62"/>
        <v>40.000000000000014</v>
      </c>
      <c r="W44" s="16"/>
      <c r="X44" s="16"/>
      <c r="Y44" s="447"/>
      <c r="Z44" s="448"/>
      <c r="AA44" s="12">
        <f t="shared" si="2"/>
        <v>-144.00000000000136</v>
      </c>
      <c r="AB44" s="268">
        <f t="shared" si="56"/>
        <v>0.95199999999999951</v>
      </c>
      <c r="AC44" s="457"/>
    </row>
    <row r="45" spans="1:29" ht="15.75" customHeight="1">
      <c r="A45" s="454" t="s">
        <v>1154</v>
      </c>
      <c r="B45" s="31" t="s">
        <v>79</v>
      </c>
      <c r="C45" s="444" t="s">
        <v>84</v>
      </c>
      <c r="D45" s="445"/>
      <c r="E45" s="31">
        <v>28.5</v>
      </c>
      <c r="F45" s="272">
        <v>1011</v>
      </c>
      <c r="G45" s="263">
        <f t="shared" si="58"/>
        <v>28813.5</v>
      </c>
      <c r="H45" s="273" t="s">
        <v>103</v>
      </c>
      <c r="I45" s="270">
        <v>10</v>
      </c>
      <c r="J45" s="26">
        <v>3000</v>
      </c>
      <c r="K45" s="10">
        <f t="shared" si="53"/>
        <v>300</v>
      </c>
      <c r="L45" s="270">
        <v>10</v>
      </c>
      <c r="M45" s="11">
        <f t="shared" si="64"/>
        <v>2888.5714285714275</v>
      </c>
      <c r="N45" s="11">
        <f t="shared" si="60"/>
        <v>288.85714285714278</v>
      </c>
      <c r="O45" s="12">
        <f t="shared" si="61"/>
        <v>0</v>
      </c>
      <c r="P45" s="13">
        <f t="shared" si="50"/>
        <v>-11.142857142857224</v>
      </c>
      <c r="Q45" s="268">
        <f>N45/K45</f>
        <v>0.96285714285714263</v>
      </c>
      <c r="R45" s="457"/>
      <c r="S45" s="28">
        <v>0.41527777777777775</v>
      </c>
      <c r="T45" s="28">
        <v>0.42986111111111108</v>
      </c>
      <c r="U45" s="263">
        <f t="shared" si="63"/>
        <v>4.9999999999999822</v>
      </c>
      <c r="V45" s="271">
        <f t="shared" si="62"/>
        <v>21.000000000000007</v>
      </c>
      <c r="W45" s="16"/>
      <c r="X45" s="16"/>
      <c r="Y45" s="447"/>
      <c r="Z45" s="448"/>
      <c r="AA45" s="12">
        <f t="shared" si="2"/>
        <v>-111.42857142857247</v>
      </c>
      <c r="AB45" s="268">
        <f t="shared" si="56"/>
        <v>0.96285714285714252</v>
      </c>
      <c r="AC45" s="457"/>
    </row>
    <row r="46" spans="1:29" ht="15.75" customHeight="1">
      <c r="A46" s="454" t="s">
        <v>1154</v>
      </c>
      <c r="B46" s="31" t="s">
        <v>79</v>
      </c>
      <c r="C46" s="444" t="s">
        <v>85</v>
      </c>
      <c r="D46" s="445"/>
      <c r="E46" s="31">
        <v>35.869999999999997</v>
      </c>
      <c r="F46" s="272">
        <v>3324</v>
      </c>
      <c r="G46" s="263">
        <f t="shared" si="58"/>
        <v>119231.87999999999</v>
      </c>
      <c r="H46" s="273" t="s">
        <v>103</v>
      </c>
      <c r="I46" s="270">
        <v>10</v>
      </c>
      <c r="J46" s="26">
        <v>3000</v>
      </c>
      <c r="K46" s="10">
        <f t="shared" si="53"/>
        <v>300</v>
      </c>
      <c r="L46" s="270">
        <v>10</v>
      </c>
      <c r="M46" s="11">
        <f t="shared" si="64"/>
        <v>2849.1428571428578</v>
      </c>
      <c r="N46" s="11">
        <f t="shared" si="60"/>
        <v>284.91428571428577</v>
      </c>
      <c r="O46" s="12">
        <f t="shared" si="61"/>
        <v>0</v>
      </c>
      <c r="P46" s="13">
        <f t="shared" si="50"/>
        <v>-15.085714285714232</v>
      </c>
      <c r="Q46" s="268">
        <f t="shared" ref="Q46:Q50" si="65">N46/K46</f>
        <v>0.94971428571428584</v>
      </c>
      <c r="R46" s="457"/>
      <c r="S46" s="28">
        <v>0.43541666666666662</v>
      </c>
      <c r="T46" s="28">
        <v>0.48402777777777772</v>
      </c>
      <c r="U46" s="263">
        <f t="shared" si="63"/>
        <v>7.9999999999999716</v>
      </c>
      <c r="V46" s="271">
        <f t="shared" si="62"/>
        <v>69.999999999999986</v>
      </c>
      <c r="W46" s="16"/>
      <c r="X46" s="16"/>
      <c r="Y46" s="447"/>
      <c r="Z46" s="448"/>
      <c r="AA46" s="12">
        <f t="shared" si="2"/>
        <v>-150.85714285714221</v>
      </c>
      <c r="AB46" s="268">
        <f t="shared" si="56"/>
        <v>0.94971428571428596</v>
      </c>
      <c r="AC46" s="457"/>
    </row>
    <row r="47" spans="1:29" ht="15.75" customHeight="1">
      <c r="A47" s="454" t="s">
        <v>1154</v>
      </c>
      <c r="B47" s="31" t="s">
        <v>79</v>
      </c>
      <c r="C47" s="444" t="s">
        <v>86</v>
      </c>
      <c r="D47" s="445"/>
      <c r="E47" s="31">
        <v>36.14</v>
      </c>
      <c r="F47" s="272">
        <v>2658</v>
      </c>
      <c r="G47" s="263">
        <f t="shared" si="58"/>
        <v>96060.12</v>
      </c>
      <c r="H47" s="273" t="s">
        <v>103</v>
      </c>
      <c r="I47" s="270">
        <v>8</v>
      </c>
      <c r="J47" s="26">
        <v>3000</v>
      </c>
      <c r="K47" s="10">
        <f t="shared" si="53"/>
        <v>375</v>
      </c>
      <c r="L47" s="270">
        <v>8</v>
      </c>
      <c r="M47" s="11">
        <f t="shared" si="64"/>
        <v>2847.8571428571449</v>
      </c>
      <c r="N47" s="11">
        <f t="shared" si="60"/>
        <v>355.98214285714312</v>
      </c>
      <c r="O47" s="12">
        <f t="shared" si="61"/>
        <v>0</v>
      </c>
      <c r="P47" s="13">
        <f t="shared" si="50"/>
        <v>-19.017857142856883</v>
      </c>
      <c r="Q47" s="268">
        <f t="shared" si="65"/>
        <v>0.94928571428571495</v>
      </c>
      <c r="R47" s="457"/>
      <c r="S47" s="28">
        <v>0.48749999999999993</v>
      </c>
      <c r="T47" s="28">
        <v>0.5263888888888888</v>
      </c>
      <c r="U47" s="263">
        <f t="shared" si="63"/>
        <v>4.9999999999999822</v>
      </c>
      <c r="V47" s="271">
        <f t="shared" si="62"/>
        <v>55.999999999999957</v>
      </c>
      <c r="W47" s="16">
        <f>T47</f>
        <v>0.5263888888888888</v>
      </c>
      <c r="X47" s="16">
        <f>S48</f>
        <v>0.5659722222222221</v>
      </c>
      <c r="Y47" s="447"/>
      <c r="Z47" s="448"/>
      <c r="AA47" s="12">
        <f t="shared" si="2"/>
        <v>-152.14285714285506</v>
      </c>
      <c r="AB47" s="268">
        <f t="shared" si="56"/>
        <v>0.94928571428571495</v>
      </c>
      <c r="AC47" s="457"/>
    </row>
    <row r="48" spans="1:29" ht="15.75" customHeight="1">
      <c r="A48" s="454" t="s">
        <v>1154</v>
      </c>
      <c r="B48" s="31" t="s">
        <v>79</v>
      </c>
      <c r="C48" s="444" t="s">
        <v>81</v>
      </c>
      <c r="D48" s="445"/>
      <c r="E48" s="31">
        <v>27.17</v>
      </c>
      <c r="F48" s="272">
        <v>3977</v>
      </c>
      <c r="G48" s="263">
        <f t="shared" si="58"/>
        <v>108055.09000000001</v>
      </c>
      <c r="H48" s="273" t="s">
        <v>103</v>
      </c>
      <c r="I48" s="270">
        <v>10</v>
      </c>
      <c r="J48" s="26">
        <v>3000</v>
      </c>
      <c r="K48" s="10">
        <f t="shared" si="53"/>
        <v>300</v>
      </c>
      <c r="L48" s="270">
        <v>10</v>
      </c>
      <c r="M48" s="11">
        <f t="shared" si="64"/>
        <v>2840.7142857142849</v>
      </c>
      <c r="N48" s="11">
        <f t="shared" si="60"/>
        <v>284.0714285714285</v>
      </c>
      <c r="O48" s="12">
        <f t="shared" si="61"/>
        <v>0</v>
      </c>
      <c r="P48" s="13">
        <f t="shared" si="50"/>
        <v>-15.928571428571502</v>
      </c>
      <c r="Q48" s="268">
        <f t="shared" si="65"/>
        <v>0.94690476190476169</v>
      </c>
      <c r="R48" s="457"/>
      <c r="S48" s="28">
        <v>0.5659722222222221</v>
      </c>
      <c r="T48" s="28">
        <v>0.62430555555555545</v>
      </c>
      <c r="U48" s="263">
        <f t="shared" si="63"/>
        <v>56.999999999999957</v>
      </c>
      <c r="V48" s="271">
        <f t="shared" si="62"/>
        <v>84.000000000000028</v>
      </c>
      <c r="W48" s="16"/>
      <c r="X48" s="16"/>
      <c r="Y48" s="447"/>
      <c r="Z48" s="448"/>
      <c r="AA48" s="12">
        <f t="shared" si="2"/>
        <v>-159.28571428571513</v>
      </c>
      <c r="AB48" s="268">
        <f t="shared" si="56"/>
        <v>0.94690476190476158</v>
      </c>
      <c r="AC48" s="457"/>
    </row>
    <row r="49" spans="1:29" ht="15.75" customHeight="1">
      <c r="A49" s="454" t="s">
        <v>1154</v>
      </c>
      <c r="B49" s="31" t="s">
        <v>79</v>
      </c>
      <c r="C49" s="444" t="s">
        <v>80</v>
      </c>
      <c r="D49" s="445"/>
      <c r="E49" s="31">
        <v>21.13</v>
      </c>
      <c r="F49" s="272">
        <v>2524</v>
      </c>
      <c r="G49" s="263">
        <f t="shared" si="58"/>
        <v>53332.119999999995</v>
      </c>
      <c r="H49" s="273" t="s">
        <v>103</v>
      </c>
      <c r="I49" s="270">
        <v>10</v>
      </c>
      <c r="J49" s="26">
        <v>3000</v>
      </c>
      <c r="K49" s="10">
        <f t="shared" si="53"/>
        <v>300</v>
      </c>
      <c r="L49" s="270">
        <v>10</v>
      </c>
      <c r="M49" s="11">
        <f t="shared" si="64"/>
        <v>2857.3584905660396</v>
      </c>
      <c r="N49" s="11">
        <f t="shared" si="60"/>
        <v>285.73584905660397</v>
      </c>
      <c r="O49" s="12">
        <f t="shared" si="61"/>
        <v>0</v>
      </c>
      <c r="P49" s="13">
        <f t="shared" si="50"/>
        <v>-14.264150943396032</v>
      </c>
      <c r="Q49" s="268">
        <f t="shared" si="65"/>
        <v>0.95245283018867988</v>
      </c>
      <c r="R49" s="457"/>
      <c r="S49" s="28">
        <v>0.62777777777777766</v>
      </c>
      <c r="T49" s="28">
        <v>0.66458333333333319</v>
      </c>
      <c r="U49" s="263">
        <f t="shared" si="63"/>
        <v>4.9999999999999822</v>
      </c>
      <c r="V49" s="271">
        <f t="shared" si="62"/>
        <v>52.999999999999972</v>
      </c>
      <c r="W49" s="16"/>
      <c r="X49" s="16"/>
      <c r="Y49" s="447"/>
      <c r="Z49" s="448"/>
      <c r="AA49" s="12">
        <f t="shared" si="2"/>
        <v>-142.64150943396044</v>
      </c>
      <c r="AB49" s="268">
        <f t="shared" si="56"/>
        <v>0.95245283018867988</v>
      </c>
      <c r="AC49" s="457"/>
    </row>
    <row r="50" spans="1:29" ht="15.75" customHeight="1">
      <c r="A50" s="455" t="s">
        <v>1154</v>
      </c>
      <c r="B50" s="31" t="s">
        <v>1148</v>
      </c>
      <c r="C50" s="459"/>
      <c r="D50" s="460"/>
      <c r="E50" s="269"/>
      <c r="F50" s="272"/>
      <c r="G50" s="263"/>
      <c r="H50" s="272"/>
      <c r="I50" s="19">
        <v>9.7777777777777786</v>
      </c>
      <c r="J50" s="26">
        <v>3000</v>
      </c>
      <c r="K50" s="10">
        <f>J50/I50</f>
        <v>306.81818181818181</v>
      </c>
      <c r="L50" s="19">
        <v>9.7777777777777786</v>
      </c>
      <c r="M50" s="11">
        <f>AVERAGE(M41:M49)</f>
        <v>2856.0679153131987</v>
      </c>
      <c r="N50" s="10">
        <f t="shared" si="60"/>
        <v>292.09785497521347</v>
      </c>
      <c r="O50" s="12">
        <f t="shared" si="61"/>
        <v>0</v>
      </c>
      <c r="P50" s="13">
        <f t="shared" si="50"/>
        <v>-14.720326842968348</v>
      </c>
      <c r="Q50" s="268">
        <f t="shared" si="65"/>
        <v>0.95202263843773283</v>
      </c>
      <c r="R50" s="458"/>
      <c r="S50" s="28"/>
      <c r="T50" s="28"/>
      <c r="U50" s="263"/>
      <c r="V50" s="271"/>
      <c r="W50" s="16"/>
      <c r="X50" s="16"/>
      <c r="Y50" s="447"/>
      <c r="Z50" s="448"/>
      <c r="AA50" s="12">
        <f t="shared" si="2"/>
        <v>-143.93208468680132</v>
      </c>
      <c r="AB50" s="268">
        <f t="shared" si="56"/>
        <v>0.95202263843773294</v>
      </c>
      <c r="AC50" s="458"/>
    </row>
    <row r="51" spans="1:29" ht="15.75" customHeight="1">
      <c r="A51" s="451" t="s">
        <v>1155</v>
      </c>
      <c r="B51" s="31" t="s">
        <v>53</v>
      </c>
      <c r="C51" s="441" t="s">
        <v>87</v>
      </c>
      <c r="D51" s="441"/>
      <c r="E51" s="31">
        <v>46</v>
      </c>
      <c r="F51" s="35">
        <v>3509</v>
      </c>
      <c r="G51" s="263">
        <f t="shared" ref="G51:G56" si="66">E51*F51</f>
        <v>161414</v>
      </c>
      <c r="H51" s="273" t="s">
        <v>103</v>
      </c>
      <c r="I51" s="270">
        <v>17</v>
      </c>
      <c r="J51" s="26">
        <v>2000</v>
      </c>
      <c r="K51" s="10">
        <f t="shared" ref="K51:K56" si="67">J51/I51</f>
        <v>117.64705882352941</v>
      </c>
      <c r="L51" s="270">
        <v>17</v>
      </c>
      <c r="M51" s="11">
        <f t="shared" ref="M51:M56" si="68">F51/V51*60</f>
        <v>1896.7567567567567</v>
      </c>
      <c r="N51" s="11">
        <f>M51/L51</f>
        <v>111.57392686804451</v>
      </c>
      <c r="O51" s="12">
        <f>L51-I51</f>
        <v>0</v>
      </c>
      <c r="P51" s="13">
        <f>N51-K51</f>
        <v>-6.0731319554848966</v>
      </c>
      <c r="Q51" s="268">
        <f>N51/K51</f>
        <v>0.94837837837837835</v>
      </c>
      <c r="R51" s="442">
        <f>Q57</f>
        <v>0.9477197172976336</v>
      </c>
      <c r="S51" s="28">
        <v>0.25</v>
      </c>
      <c r="T51" s="28">
        <v>0.32708333333333334</v>
      </c>
      <c r="U51" s="18"/>
      <c r="V51" s="271">
        <f t="shared" ref="V51:V56" si="69">(T51-S51)*24*60</f>
        <v>111</v>
      </c>
      <c r="W51" s="18"/>
      <c r="X51" s="18"/>
      <c r="Y51" s="443"/>
      <c r="Z51" s="443"/>
      <c r="AA51" s="12">
        <f t="shared" si="2"/>
        <v>-103.24324324324334</v>
      </c>
      <c r="AB51" s="268">
        <f t="shared" si="56"/>
        <v>0.94837837837837835</v>
      </c>
      <c r="AC51" s="442">
        <f>AB57</f>
        <v>0.94771971729763349</v>
      </c>
    </row>
    <row r="52" spans="1:29" ht="15.75" customHeight="1">
      <c r="A52" s="451" t="s">
        <v>1155</v>
      </c>
      <c r="B52" s="31" t="s">
        <v>53</v>
      </c>
      <c r="C52" s="441" t="s">
        <v>88</v>
      </c>
      <c r="D52" s="441"/>
      <c r="E52" s="31">
        <v>46</v>
      </c>
      <c r="F52" s="35">
        <v>3603</v>
      </c>
      <c r="G52" s="263">
        <f t="shared" si="66"/>
        <v>165738</v>
      </c>
      <c r="H52" s="273" t="s">
        <v>103</v>
      </c>
      <c r="I52" s="270">
        <v>17</v>
      </c>
      <c r="J52" s="26">
        <v>2000</v>
      </c>
      <c r="K52" s="10">
        <f t="shared" si="67"/>
        <v>117.64705882352941</v>
      </c>
      <c r="L52" s="270">
        <v>17</v>
      </c>
      <c r="M52" s="11">
        <f t="shared" si="68"/>
        <v>1896.3157894736842</v>
      </c>
      <c r="N52" s="11">
        <f t="shared" ref="N52:N56" si="70">M52/L52</f>
        <v>111.54798761609906</v>
      </c>
      <c r="O52" s="12">
        <f t="shared" ref="O52:O56" si="71">L52-I52</f>
        <v>0</v>
      </c>
      <c r="P52" s="13">
        <f t="shared" ref="P52:P56" si="72">N52-K52</f>
        <v>-6.0990712074303417</v>
      </c>
      <c r="Q52" s="268">
        <f t="shared" ref="Q52:Q56" si="73">N52/K52</f>
        <v>0.94815789473684209</v>
      </c>
      <c r="R52" s="442"/>
      <c r="S52" s="28">
        <v>0.33194444444444443</v>
      </c>
      <c r="T52" s="28">
        <v>0.41111111111111109</v>
      </c>
      <c r="U52" s="263">
        <f>IF(S52=TIME(17,0,0),"",(S52-T51)*24*60)</f>
        <v>6.9999999999999751</v>
      </c>
      <c r="V52" s="271">
        <f t="shared" si="69"/>
        <v>114</v>
      </c>
      <c r="W52" s="16"/>
      <c r="X52" s="16"/>
      <c r="Y52" s="443"/>
      <c r="Z52" s="443"/>
      <c r="AA52" s="12">
        <f t="shared" si="2"/>
        <v>-103.68421052631584</v>
      </c>
      <c r="AB52" s="268">
        <f t="shared" si="56"/>
        <v>0.94815789473684209</v>
      </c>
      <c r="AC52" s="442"/>
    </row>
    <row r="53" spans="1:29" ht="15.75" customHeight="1">
      <c r="A53" s="451" t="s">
        <v>1155</v>
      </c>
      <c r="B53" s="31" t="s">
        <v>58</v>
      </c>
      <c r="C53" s="444" t="s">
        <v>168</v>
      </c>
      <c r="D53" s="445"/>
      <c r="E53" s="31">
        <v>54.09</v>
      </c>
      <c r="F53" s="35">
        <v>2313</v>
      </c>
      <c r="G53" s="263">
        <f t="shared" si="66"/>
        <v>125110.17000000001</v>
      </c>
      <c r="H53" s="273" t="s">
        <v>103</v>
      </c>
      <c r="I53" s="270">
        <v>16</v>
      </c>
      <c r="J53" s="26">
        <v>2000</v>
      </c>
      <c r="K53" s="10">
        <f t="shared" si="67"/>
        <v>125</v>
      </c>
      <c r="L53" s="270">
        <v>16</v>
      </c>
      <c r="M53" s="11">
        <f t="shared" si="68"/>
        <v>1901.0958904109593</v>
      </c>
      <c r="N53" s="11">
        <f t="shared" si="70"/>
        <v>118.81849315068496</v>
      </c>
      <c r="O53" s="12">
        <f t="shared" si="71"/>
        <v>0</v>
      </c>
      <c r="P53" s="13">
        <f t="shared" si="72"/>
        <v>-6.181506849315042</v>
      </c>
      <c r="Q53" s="268">
        <f t="shared" si="73"/>
        <v>0.95054794520547969</v>
      </c>
      <c r="R53" s="442"/>
      <c r="S53" s="28">
        <v>0.4145833333333333</v>
      </c>
      <c r="T53" s="28">
        <v>0.46527777777777773</v>
      </c>
      <c r="U53" s="263">
        <f t="shared" ref="U53:U56" si="74">IF(S53=TIME(17,0,0),"",(S53-T52)*24*60)</f>
        <v>4.9999999999999822</v>
      </c>
      <c r="V53" s="271">
        <f t="shared" si="69"/>
        <v>72.999999999999986</v>
      </c>
      <c r="W53" s="16"/>
      <c r="X53" s="16"/>
      <c r="Y53" s="266"/>
      <c r="Z53" s="267"/>
      <c r="AA53" s="12">
        <f t="shared" si="2"/>
        <v>-98.904109589040672</v>
      </c>
      <c r="AB53" s="268">
        <f t="shared" si="56"/>
        <v>0.95054794520547969</v>
      </c>
      <c r="AC53" s="442"/>
    </row>
    <row r="54" spans="1:29" ht="15.75" customHeight="1">
      <c r="A54" s="451" t="s">
        <v>1155</v>
      </c>
      <c r="B54" s="31" t="s">
        <v>58</v>
      </c>
      <c r="C54" s="264" t="s">
        <v>89</v>
      </c>
      <c r="D54" s="265"/>
      <c r="E54" s="31">
        <v>55.56</v>
      </c>
      <c r="F54" s="35">
        <v>2614</v>
      </c>
      <c r="G54" s="263">
        <f t="shared" si="66"/>
        <v>145233.84</v>
      </c>
      <c r="H54" s="273" t="s">
        <v>103</v>
      </c>
      <c r="I54" s="270">
        <v>17</v>
      </c>
      <c r="J54" s="26">
        <v>2000</v>
      </c>
      <c r="K54" s="10">
        <f t="shared" si="67"/>
        <v>117.64705882352941</v>
      </c>
      <c r="L54" s="270">
        <v>17</v>
      </c>
      <c r="M54" s="11">
        <f t="shared" si="68"/>
        <v>1889.6385542168669</v>
      </c>
      <c r="N54" s="11">
        <f t="shared" si="70"/>
        <v>111.1552090715804</v>
      </c>
      <c r="O54" s="12">
        <f t="shared" si="71"/>
        <v>0</v>
      </c>
      <c r="P54" s="13">
        <f t="shared" si="72"/>
        <v>-6.4918497519490046</v>
      </c>
      <c r="Q54" s="268">
        <f t="shared" si="73"/>
        <v>0.9448192771084335</v>
      </c>
      <c r="R54" s="442"/>
      <c r="S54" s="28">
        <v>0.70833333333333337</v>
      </c>
      <c r="T54" s="28">
        <v>0.76597222222222228</v>
      </c>
      <c r="U54" s="263" t="str">
        <f t="shared" si="74"/>
        <v/>
      </c>
      <c r="V54" s="271">
        <f t="shared" si="69"/>
        <v>83.000000000000028</v>
      </c>
      <c r="W54" s="16"/>
      <c r="X54" s="16"/>
      <c r="Y54" s="266"/>
      <c r="Z54" s="267"/>
      <c r="AA54" s="12">
        <f t="shared" si="2"/>
        <v>-110.36144578313315</v>
      </c>
      <c r="AB54" s="268">
        <f t="shared" si="56"/>
        <v>0.94481927710843339</v>
      </c>
      <c r="AC54" s="442"/>
    </row>
    <row r="55" spans="1:29" ht="15.75" customHeight="1">
      <c r="A55" s="451" t="s">
        <v>1155</v>
      </c>
      <c r="B55" s="31" t="s">
        <v>58</v>
      </c>
      <c r="C55" s="264" t="s">
        <v>90</v>
      </c>
      <c r="D55" s="265"/>
      <c r="E55" s="31">
        <v>55.32</v>
      </c>
      <c r="F55" s="35">
        <v>1952</v>
      </c>
      <c r="G55" s="263">
        <f t="shared" si="66"/>
        <v>107984.64</v>
      </c>
      <c r="H55" s="273" t="s">
        <v>103</v>
      </c>
      <c r="I55" s="270">
        <v>15</v>
      </c>
      <c r="J55" s="26">
        <v>2000</v>
      </c>
      <c r="K55" s="10">
        <f t="shared" si="67"/>
        <v>133.33333333333334</v>
      </c>
      <c r="L55" s="270">
        <v>15</v>
      </c>
      <c r="M55" s="11">
        <f t="shared" si="68"/>
        <v>1889.0322580645179</v>
      </c>
      <c r="N55" s="11">
        <f t="shared" si="70"/>
        <v>125.93548387096786</v>
      </c>
      <c r="O55" s="12">
        <f t="shared" si="71"/>
        <v>0</v>
      </c>
      <c r="P55" s="13">
        <f t="shared" si="72"/>
        <v>-7.3978494623654854</v>
      </c>
      <c r="Q55" s="268">
        <f t="shared" si="73"/>
        <v>0.9445161290322589</v>
      </c>
      <c r="R55" s="442"/>
      <c r="S55" s="28">
        <v>0.77013888888888893</v>
      </c>
      <c r="T55" s="28">
        <v>0.81319444444444444</v>
      </c>
      <c r="U55" s="263">
        <f t="shared" si="74"/>
        <v>5.9999999999999787</v>
      </c>
      <c r="V55" s="271">
        <f t="shared" si="69"/>
        <v>61.999999999999943</v>
      </c>
      <c r="W55" s="16"/>
      <c r="X55" s="16"/>
      <c r="Y55" s="266"/>
      <c r="Z55" s="267"/>
      <c r="AA55" s="12">
        <f t="shared" si="2"/>
        <v>-110.96774193548208</v>
      </c>
      <c r="AB55" s="268">
        <f t="shared" si="56"/>
        <v>0.94451612903225901</v>
      </c>
      <c r="AC55" s="442"/>
    </row>
    <row r="56" spans="1:29" ht="15.75" customHeight="1">
      <c r="A56" s="451" t="s">
        <v>1155</v>
      </c>
      <c r="B56" s="31" t="s">
        <v>58</v>
      </c>
      <c r="C56" s="444" t="s">
        <v>91</v>
      </c>
      <c r="D56" s="445"/>
      <c r="E56" s="31">
        <v>57.73</v>
      </c>
      <c r="F56" s="35">
        <v>1521</v>
      </c>
      <c r="G56" s="263">
        <f t="shared" si="66"/>
        <v>87807.33</v>
      </c>
      <c r="H56" s="273" t="s">
        <v>103</v>
      </c>
      <c r="I56" s="270">
        <v>16</v>
      </c>
      <c r="J56" s="26">
        <v>1500</v>
      </c>
      <c r="K56" s="10">
        <f t="shared" si="67"/>
        <v>93.75</v>
      </c>
      <c r="L56" s="270">
        <v>16</v>
      </c>
      <c r="M56" s="11">
        <f t="shared" si="68"/>
        <v>1425.9375000000016</v>
      </c>
      <c r="N56" s="11">
        <f t="shared" si="70"/>
        <v>89.121093750000099</v>
      </c>
      <c r="O56" s="12">
        <f t="shared" si="71"/>
        <v>0</v>
      </c>
      <c r="P56" s="13">
        <f t="shared" si="72"/>
        <v>-4.6289062499999005</v>
      </c>
      <c r="Q56" s="268">
        <f t="shared" si="73"/>
        <v>0.95062500000000105</v>
      </c>
      <c r="R56" s="442"/>
      <c r="S56" s="28">
        <v>0.81666666666666665</v>
      </c>
      <c r="T56" s="28">
        <v>0.86111111111111105</v>
      </c>
      <c r="U56" s="263">
        <f t="shared" si="74"/>
        <v>4.9999999999999822</v>
      </c>
      <c r="V56" s="271">
        <f t="shared" si="69"/>
        <v>63.999999999999929</v>
      </c>
      <c r="W56" s="16"/>
      <c r="X56" s="16"/>
      <c r="Y56" s="447"/>
      <c r="Z56" s="448"/>
      <c r="AA56" s="12">
        <f t="shared" si="2"/>
        <v>-74.062499999998408</v>
      </c>
      <c r="AB56" s="268">
        <f t="shared" si="56"/>
        <v>0.95062500000000105</v>
      </c>
      <c r="AC56" s="442"/>
    </row>
    <row r="57" spans="1:29">
      <c r="A57" s="452" t="s">
        <v>1155</v>
      </c>
      <c r="B57" s="31" t="s">
        <v>1148</v>
      </c>
      <c r="C57" s="446"/>
      <c r="D57" s="446"/>
      <c r="E57" s="262"/>
      <c r="F57" s="33"/>
      <c r="G57" s="10"/>
      <c r="H57" s="272"/>
      <c r="I57" s="19">
        <v>16.333333333333332</v>
      </c>
      <c r="J57" s="26">
        <v>1916.6666666666667</v>
      </c>
      <c r="K57" s="10">
        <f>J57/I57</f>
        <v>117.34693877551021</v>
      </c>
      <c r="L57" s="19">
        <v>16.333333333333332</v>
      </c>
      <c r="M57" s="11">
        <f>AVERAGE(M51:M56)</f>
        <v>1816.462791487131</v>
      </c>
      <c r="N57" s="10">
        <f>M57/L57</f>
        <v>111.21200764206925</v>
      </c>
      <c r="O57" s="12">
        <f>L57-I57</f>
        <v>0</v>
      </c>
      <c r="P57" s="13">
        <f>N57-K57</f>
        <v>-6.1349311334409578</v>
      </c>
      <c r="Q57" s="268">
        <f>N57/K57</f>
        <v>0.9477197172976336</v>
      </c>
      <c r="R57" s="442"/>
      <c r="S57" s="29"/>
      <c r="T57" s="28"/>
      <c r="U57" s="10"/>
      <c r="V57" s="271"/>
      <c r="W57" s="10"/>
      <c r="X57" s="10"/>
      <c r="Y57" s="443"/>
      <c r="Z57" s="443"/>
      <c r="AA57" s="12">
        <f t="shared" si="2"/>
        <v>-100.20387517953577</v>
      </c>
      <c r="AB57" s="268">
        <f t="shared" si="56"/>
        <v>0.94771971729763349</v>
      </c>
      <c r="AC57" s="442"/>
    </row>
    <row r="58" spans="1:29" ht="15.75" customHeight="1">
      <c r="A58" s="449" t="s">
        <v>1156</v>
      </c>
      <c r="B58" s="272" t="s">
        <v>92</v>
      </c>
      <c r="C58" s="441" t="s">
        <v>93</v>
      </c>
      <c r="D58" s="441"/>
      <c r="E58" s="31">
        <v>84.51</v>
      </c>
      <c r="F58" s="35">
        <v>1094</v>
      </c>
      <c r="G58" s="263">
        <f t="shared" ref="G58:G63" si="75">E58*F58</f>
        <v>92453.94</v>
      </c>
      <c r="H58" s="273" t="s">
        <v>103</v>
      </c>
      <c r="I58" s="270">
        <v>17</v>
      </c>
      <c r="J58" s="26">
        <v>2400</v>
      </c>
      <c r="K58" s="10">
        <f t="shared" ref="K58:K63" si="76">J58/I58</f>
        <v>141.1764705882353</v>
      </c>
      <c r="L58" s="19">
        <v>17</v>
      </c>
      <c r="M58" s="11">
        <f t="shared" ref="M58:M63" si="77">F58/V58*60</f>
        <v>2263.4482758620679</v>
      </c>
      <c r="N58" s="10">
        <f>M58/L58</f>
        <v>133.14401622718046</v>
      </c>
      <c r="O58" s="12">
        <f t="shared" ref="O58:O63" si="78">L58-I58</f>
        <v>0</v>
      </c>
      <c r="P58" s="13">
        <f t="shared" ref="P58:P63" si="79">N58-K58</f>
        <v>-8.032454361054846</v>
      </c>
      <c r="Q58" s="268">
        <f>N58/K58</f>
        <v>0.94310344827586157</v>
      </c>
      <c r="R58" s="442">
        <f>Q64</f>
        <v>0.95420027565394594</v>
      </c>
      <c r="S58" s="28">
        <v>0.16666666666666666</v>
      </c>
      <c r="T58" s="28">
        <v>0.18680555555555556</v>
      </c>
      <c r="U58" s="263"/>
      <c r="V58" s="271">
        <f t="shared" ref="V58:V63" si="80">(T58-S58)*24*60</f>
        <v>29.000000000000018</v>
      </c>
      <c r="W58" s="16">
        <f>T58</f>
        <v>0.18680555555555556</v>
      </c>
      <c r="X58" s="16">
        <f>S59</f>
        <v>0.2076388888888889</v>
      </c>
      <c r="Y58" s="443"/>
      <c r="Z58" s="443"/>
      <c r="AA58" s="12">
        <f t="shared" si="2"/>
        <v>-136.55172413793207</v>
      </c>
      <c r="AB58" s="268">
        <f t="shared" si="56"/>
        <v>0.94310344827586168</v>
      </c>
      <c r="AC58" s="442">
        <f>AB64</f>
        <v>0.95420027565394594</v>
      </c>
    </row>
    <row r="59" spans="1:29" ht="15.75" customHeight="1">
      <c r="A59" s="449" t="s">
        <v>1156</v>
      </c>
      <c r="B59" s="272" t="s">
        <v>79</v>
      </c>
      <c r="C59" s="441" t="s">
        <v>94</v>
      </c>
      <c r="D59" s="441"/>
      <c r="E59" s="31">
        <v>26.78</v>
      </c>
      <c r="F59" s="35">
        <v>2911</v>
      </c>
      <c r="G59" s="263">
        <f t="shared" si="75"/>
        <v>77956.58</v>
      </c>
      <c r="H59" s="273" t="s">
        <v>103</v>
      </c>
      <c r="I59" s="270">
        <v>10</v>
      </c>
      <c r="J59" s="26">
        <v>3000</v>
      </c>
      <c r="K59" s="10">
        <f t="shared" si="76"/>
        <v>300</v>
      </c>
      <c r="L59" s="19">
        <v>10</v>
      </c>
      <c r="M59" s="11">
        <f t="shared" si="77"/>
        <v>2863.278688524591</v>
      </c>
      <c r="N59" s="10">
        <f t="shared" ref="N59:N63" si="81">M59/L59</f>
        <v>286.32786885245912</v>
      </c>
      <c r="O59" s="12">
        <f t="shared" si="78"/>
        <v>0</v>
      </c>
      <c r="P59" s="13">
        <f t="shared" si="79"/>
        <v>-13.672131147540881</v>
      </c>
      <c r="Q59" s="268">
        <f t="shared" ref="Q59:Q63" si="82">N59/K59</f>
        <v>0.95442622950819711</v>
      </c>
      <c r="R59" s="442"/>
      <c r="S59" s="28">
        <v>0.2076388888888889</v>
      </c>
      <c r="T59" s="28">
        <v>0.25</v>
      </c>
      <c r="U59" s="263">
        <f>(S59-T58)*24*60</f>
        <v>30.000000000000014</v>
      </c>
      <c r="V59" s="271">
        <f t="shared" si="80"/>
        <v>60.999999999999986</v>
      </c>
      <c r="W59" s="263"/>
      <c r="X59" s="263"/>
      <c r="Y59" s="443"/>
      <c r="Z59" s="443"/>
      <c r="AA59" s="12">
        <f t="shared" si="2"/>
        <v>-136.72131147540904</v>
      </c>
      <c r="AB59" s="268">
        <f t="shared" si="56"/>
        <v>0.954426229508197</v>
      </c>
      <c r="AC59" s="442"/>
    </row>
    <row r="60" spans="1:29" ht="15.75" customHeight="1">
      <c r="A60" s="449" t="s">
        <v>1156</v>
      </c>
      <c r="B60" s="272" t="s">
        <v>79</v>
      </c>
      <c r="C60" s="441" t="s">
        <v>95</v>
      </c>
      <c r="D60" s="441"/>
      <c r="E60" s="31">
        <v>35.369999999999997</v>
      </c>
      <c r="F60" s="35">
        <v>1688</v>
      </c>
      <c r="G60" s="263">
        <f t="shared" si="75"/>
        <v>59704.56</v>
      </c>
      <c r="H60" s="273" t="s">
        <v>103</v>
      </c>
      <c r="I60" s="270">
        <v>10</v>
      </c>
      <c r="J60" s="26">
        <v>3000</v>
      </c>
      <c r="K60" s="10">
        <f t="shared" si="76"/>
        <v>300</v>
      </c>
      <c r="L60" s="19">
        <v>10</v>
      </c>
      <c r="M60" s="11">
        <f t="shared" si="77"/>
        <v>2893.7142857142826</v>
      </c>
      <c r="N60" s="10">
        <f t="shared" si="81"/>
        <v>289.37142857142828</v>
      </c>
      <c r="O60" s="12">
        <f t="shared" si="78"/>
        <v>0</v>
      </c>
      <c r="P60" s="13">
        <f t="shared" si="79"/>
        <v>-10.628571428571718</v>
      </c>
      <c r="Q60" s="268">
        <f t="shared" si="82"/>
        <v>0.96457142857142764</v>
      </c>
      <c r="R60" s="442"/>
      <c r="S60" s="28">
        <v>0.25347222222222221</v>
      </c>
      <c r="T60" s="28">
        <v>0.27777777777777779</v>
      </c>
      <c r="U60" s="263">
        <f t="shared" ref="U60:U63" si="83">(S60-T59)*24*60</f>
        <v>4.9999999999999822</v>
      </c>
      <c r="V60" s="271">
        <f t="shared" si="80"/>
        <v>35.000000000000036</v>
      </c>
      <c r="W60" s="263"/>
      <c r="X60" s="263"/>
      <c r="Y60" s="443"/>
      <c r="Z60" s="443"/>
      <c r="AA60" s="12">
        <f t="shared" si="2"/>
        <v>-106.2857142857174</v>
      </c>
      <c r="AB60" s="268">
        <f t="shared" si="56"/>
        <v>0.96457142857142752</v>
      </c>
      <c r="AC60" s="442"/>
    </row>
    <row r="61" spans="1:29" ht="15.75" customHeight="1">
      <c r="A61" s="449" t="s">
        <v>1156</v>
      </c>
      <c r="B61" s="272" t="s">
        <v>53</v>
      </c>
      <c r="C61" s="441" t="s">
        <v>96</v>
      </c>
      <c r="D61" s="441"/>
      <c r="E61" s="31">
        <v>26.97</v>
      </c>
      <c r="F61" s="35">
        <v>3674</v>
      </c>
      <c r="G61" s="263">
        <f t="shared" si="75"/>
        <v>99087.78</v>
      </c>
      <c r="H61" s="273" t="s">
        <v>103</v>
      </c>
      <c r="I61" s="270">
        <v>8</v>
      </c>
      <c r="J61" s="26">
        <v>1500</v>
      </c>
      <c r="K61" s="10">
        <f t="shared" si="76"/>
        <v>187.5</v>
      </c>
      <c r="L61" s="19">
        <v>8</v>
      </c>
      <c r="M61" s="11">
        <f t="shared" si="77"/>
        <v>1413.0769230769231</v>
      </c>
      <c r="N61" s="10">
        <f t="shared" si="81"/>
        <v>176.63461538461539</v>
      </c>
      <c r="O61" s="12">
        <f t="shared" si="78"/>
        <v>0</v>
      </c>
      <c r="P61" s="13">
        <f t="shared" si="79"/>
        <v>-10.865384615384613</v>
      </c>
      <c r="Q61" s="268">
        <f t="shared" si="82"/>
        <v>0.94205128205128208</v>
      </c>
      <c r="R61" s="442"/>
      <c r="S61" s="28">
        <v>0.28125</v>
      </c>
      <c r="T61" s="28">
        <v>0.38958333333333334</v>
      </c>
      <c r="U61" s="263">
        <f t="shared" si="83"/>
        <v>4.9999999999999822</v>
      </c>
      <c r="V61" s="271">
        <f t="shared" si="80"/>
        <v>156</v>
      </c>
      <c r="W61" s="263"/>
      <c r="X61" s="263"/>
      <c r="Y61" s="443"/>
      <c r="Z61" s="443"/>
      <c r="AA61" s="12">
        <f t="shared" si="2"/>
        <v>-86.923076923076906</v>
      </c>
      <c r="AB61" s="268">
        <f t="shared" si="56"/>
        <v>0.94205128205128208</v>
      </c>
      <c r="AC61" s="442"/>
    </row>
    <row r="62" spans="1:29">
      <c r="A62" s="450" t="s">
        <v>1156</v>
      </c>
      <c r="B62" s="272" t="s">
        <v>79</v>
      </c>
      <c r="C62" s="441" t="s">
        <v>97</v>
      </c>
      <c r="D62" s="441"/>
      <c r="E62" s="31">
        <v>35.119999999999997</v>
      </c>
      <c r="F62" s="35">
        <v>1246</v>
      </c>
      <c r="G62" s="263">
        <f t="shared" si="75"/>
        <v>43759.519999999997</v>
      </c>
      <c r="H62" s="273" t="s">
        <v>103</v>
      </c>
      <c r="I62" s="270">
        <v>13</v>
      </c>
      <c r="J62" s="26">
        <v>2000</v>
      </c>
      <c r="K62" s="10">
        <f t="shared" si="76"/>
        <v>153.84615384615384</v>
      </c>
      <c r="L62" s="19">
        <v>13</v>
      </c>
      <c r="M62" s="11">
        <f t="shared" si="77"/>
        <v>1916.9230769230758</v>
      </c>
      <c r="N62" s="10">
        <f t="shared" si="81"/>
        <v>147.45562130177507</v>
      </c>
      <c r="O62" s="12">
        <f t="shared" si="78"/>
        <v>0</v>
      </c>
      <c r="P62" s="13">
        <f t="shared" si="79"/>
        <v>-6.3905325443787717</v>
      </c>
      <c r="Q62" s="268">
        <f t="shared" si="82"/>
        <v>0.95846153846153803</v>
      </c>
      <c r="R62" s="442"/>
      <c r="S62" s="28">
        <v>0.39374999999999999</v>
      </c>
      <c r="T62" s="28">
        <v>0.42083333333333334</v>
      </c>
      <c r="U62" s="263">
        <f t="shared" si="83"/>
        <v>5.9999999999999787</v>
      </c>
      <c r="V62" s="271">
        <f t="shared" si="80"/>
        <v>39.000000000000021</v>
      </c>
      <c r="W62" s="16"/>
      <c r="X62" s="16"/>
      <c r="Y62" s="443"/>
      <c r="Z62" s="443"/>
      <c r="AA62" s="12">
        <f t="shared" si="2"/>
        <v>-83.076923076924231</v>
      </c>
      <c r="AB62" s="268">
        <f t="shared" si="56"/>
        <v>0.95846153846153792</v>
      </c>
      <c r="AC62" s="442"/>
    </row>
    <row r="63" spans="1:29" ht="15" customHeight="1">
      <c r="A63" s="450" t="s">
        <v>1156</v>
      </c>
      <c r="B63" s="272" t="s">
        <v>79</v>
      </c>
      <c r="C63" s="444" t="s">
        <v>98</v>
      </c>
      <c r="D63" s="445"/>
      <c r="E63" s="31">
        <v>35.869999999999997</v>
      </c>
      <c r="F63" s="35">
        <v>2676</v>
      </c>
      <c r="G63" s="263">
        <f t="shared" si="75"/>
        <v>95988.12</v>
      </c>
      <c r="H63" s="273" t="s">
        <v>103</v>
      </c>
      <c r="I63" s="270">
        <v>10</v>
      </c>
      <c r="J63" s="26">
        <v>3000</v>
      </c>
      <c r="K63" s="10">
        <f t="shared" si="76"/>
        <v>300</v>
      </c>
      <c r="L63" s="19">
        <v>10</v>
      </c>
      <c r="M63" s="11">
        <f t="shared" si="77"/>
        <v>2867.1428571428551</v>
      </c>
      <c r="N63" s="10">
        <f t="shared" si="81"/>
        <v>286.7142857142855</v>
      </c>
      <c r="O63" s="12">
        <f t="shared" si="78"/>
        <v>0</v>
      </c>
      <c r="P63" s="13">
        <f t="shared" si="79"/>
        <v>-13.285714285714505</v>
      </c>
      <c r="Q63" s="268">
        <f t="shared" si="82"/>
        <v>0.95571428571428496</v>
      </c>
      <c r="R63" s="442"/>
      <c r="S63" s="28">
        <v>0.42499999999999999</v>
      </c>
      <c r="T63" s="28">
        <v>0.46388888888888891</v>
      </c>
      <c r="U63" s="263">
        <f t="shared" si="83"/>
        <v>5.9999999999999787</v>
      </c>
      <c r="V63" s="271">
        <f t="shared" si="80"/>
        <v>56.000000000000043</v>
      </c>
      <c r="W63" s="263"/>
      <c r="X63" s="263"/>
      <c r="Y63" s="447"/>
      <c r="Z63" s="448"/>
      <c r="AA63" s="12">
        <f t="shared" si="2"/>
        <v>-132.85714285714494</v>
      </c>
      <c r="AB63" s="268">
        <f t="shared" si="56"/>
        <v>0.95571428571428507</v>
      </c>
      <c r="AC63" s="442"/>
    </row>
    <row r="64" spans="1:29">
      <c r="A64" s="450" t="s">
        <v>49</v>
      </c>
      <c r="B64" s="31" t="s">
        <v>1148</v>
      </c>
      <c r="C64" s="446"/>
      <c r="D64" s="446"/>
      <c r="E64" s="262"/>
      <c r="F64" s="33"/>
      <c r="G64" s="10"/>
      <c r="H64" s="272"/>
      <c r="I64" s="19">
        <v>11.333333333333334</v>
      </c>
      <c r="J64" s="26">
        <v>2483.3333333333335</v>
      </c>
      <c r="K64" s="10">
        <f>J64/I64</f>
        <v>219.11764705882354</v>
      </c>
      <c r="L64" s="19">
        <v>11.333333333333334</v>
      </c>
      <c r="M64" s="11">
        <f>AVERAGE(M58:M63)</f>
        <v>2369.5973512072992</v>
      </c>
      <c r="N64" s="10">
        <f>M64/L64</f>
        <v>209.08211922417345</v>
      </c>
      <c r="O64" s="12">
        <f>L64-I64</f>
        <v>0</v>
      </c>
      <c r="P64" s="13">
        <f>N64-K64</f>
        <v>-10.035527834650082</v>
      </c>
      <c r="Q64" s="268">
        <f>N64/K64</f>
        <v>0.95420027565394594</v>
      </c>
      <c r="R64" s="442"/>
      <c r="S64" s="28"/>
      <c r="T64" s="28"/>
      <c r="U64" s="10"/>
      <c r="V64" s="271"/>
      <c r="W64" s="10"/>
      <c r="X64" s="10"/>
      <c r="Y64" s="443"/>
      <c r="Z64" s="443"/>
      <c r="AA64" s="12">
        <f t="shared" si="2"/>
        <v>-113.73598212603429</v>
      </c>
      <c r="AB64" s="268">
        <f t="shared" si="56"/>
        <v>0.95420027565394594</v>
      </c>
      <c r="AC64" s="442"/>
    </row>
    <row r="65" spans="1:29" ht="15.75" customHeight="1">
      <c r="A65" s="439" t="s">
        <v>1157</v>
      </c>
      <c r="B65" s="272" t="s">
        <v>67</v>
      </c>
      <c r="C65" s="441" t="s">
        <v>99</v>
      </c>
      <c r="D65" s="441"/>
      <c r="E65" s="31">
        <v>20.2</v>
      </c>
      <c r="F65" s="272">
        <v>3104</v>
      </c>
      <c r="G65" s="263">
        <f t="shared" ref="G65:G71" si="84">E65*F65</f>
        <v>62700.799999999996</v>
      </c>
      <c r="H65" s="273" t="s">
        <v>103</v>
      </c>
      <c r="I65" s="270">
        <v>19</v>
      </c>
      <c r="J65" s="26">
        <v>2400</v>
      </c>
      <c r="K65" s="10">
        <f t="shared" ref="K65:K67" si="85">J65/I65</f>
        <v>126.31578947368421</v>
      </c>
      <c r="L65" s="19">
        <v>19</v>
      </c>
      <c r="M65" s="11">
        <f>F65/V65*60</f>
        <v>2271.2195121951222</v>
      </c>
      <c r="N65" s="10">
        <f t="shared" ref="N65:N71" si="86">M65/L65</f>
        <v>119.53786906290117</v>
      </c>
      <c r="O65" s="12">
        <f t="shared" ref="O65:O71" si="87">L65-I65</f>
        <v>0</v>
      </c>
      <c r="P65" s="13">
        <f t="shared" ref="P65:P71" si="88">N65-K65</f>
        <v>-6.7779204107830395</v>
      </c>
      <c r="Q65" s="268">
        <f>N65/K65</f>
        <v>0.94634146341463432</v>
      </c>
      <c r="R65" s="442">
        <f>Q72</f>
        <v>0.94657944005257966</v>
      </c>
      <c r="S65" s="28">
        <v>0.125</v>
      </c>
      <c r="T65" s="28">
        <v>0.18194444444444444</v>
      </c>
      <c r="U65" s="18"/>
      <c r="V65" s="271">
        <f t="shared" ref="V65:V71" si="89">(T65-S65)*24*60</f>
        <v>81.999999999999986</v>
      </c>
      <c r="W65" s="16">
        <f>T65</f>
        <v>0.18194444444444444</v>
      </c>
      <c r="X65" s="16">
        <f>S66</f>
        <v>0.20208333333333334</v>
      </c>
      <c r="Y65" s="443"/>
      <c r="Z65" s="443"/>
      <c r="AA65" s="12">
        <f t="shared" si="2"/>
        <v>-128.78048780487779</v>
      </c>
      <c r="AB65" s="268">
        <f>M65/J65</f>
        <v>0.94634146341463421</v>
      </c>
      <c r="AC65" s="442">
        <f>AB72</f>
        <v>0.94657944005257966</v>
      </c>
    </row>
    <row r="66" spans="1:29" ht="15.75" customHeight="1">
      <c r="A66" s="439" t="s">
        <v>1157</v>
      </c>
      <c r="B66" s="272" t="s">
        <v>67</v>
      </c>
      <c r="C66" s="441" t="s">
        <v>100</v>
      </c>
      <c r="D66" s="441"/>
      <c r="E66" s="31">
        <v>19.02</v>
      </c>
      <c r="F66" s="272">
        <v>5000</v>
      </c>
      <c r="G66" s="263">
        <f t="shared" si="84"/>
        <v>95100</v>
      </c>
      <c r="H66" s="273">
        <v>2</v>
      </c>
      <c r="I66" s="270">
        <v>15</v>
      </c>
      <c r="J66" s="26">
        <v>2400</v>
      </c>
      <c r="K66" s="10">
        <f t="shared" si="85"/>
        <v>160</v>
      </c>
      <c r="L66" s="19">
        <v>15</v>
      </c>
      <c r="M66" s="11">
        <f t="shared" ref="M66:M71" si="90">F66/V66*60</f>
        <v>2272.7272727272725</v>
      </c>
      <c r="N66" s="10">
        <f t="shared" si="86"/>
        <v>151.5151515151515</v>
      </c>
      <c r="O66" s="12">
        <f t="shared" si="87"/>
        <v>0</v>
      </c>
      <c r="P66" s="13">
        <f t="shared" si="88"/>
        <v>-8.4848484848484986</v>
      </c>
      <c r="Q66" s="268">
        <f t="shared" ref="Q66:Q72" si="91">N66/K66</f>
        <v>0.94696969696969691</v>
      </c>
      <c r="R66" s="442"/>
      <c r="S66" s="28">
        <v>0.20208333333333334</v>
      </c>
      <c r="T66" s="28">
        <v>0.29375000000000001</v>
      </c>
      <c r="U66" s="263">
        <f>(S66-T65)*24*60</f>
        <v>29.000000000000018</v>
      </c>
      <c r="V66" s="271">
        <f t="shared" si="89"/>
        <v>132</v>
      </c>
      <c r="W66" s="16"/>
      <c r="X66" s="16"/>
      <c r="Y66" s="443"/>
      <c r="Z66" s="443"/>
      <c r="AA66" s="12">
        <f t="shared" si="2"/>
        <v>-127.27272727272748</v>
      </c>
      <c r="AB66" s="268">
        <f t="shared" ref="AB66:AB72" si="92">M66/J66</f>
        <v>0.94696969696969691</v>
      </c>
      <c r="AC66" s="442"/>
    </row>
    <row r="67" spans="1:29" ht="15.75" customHeight="1">
      <c r="A67" s="439" t="s">
        <v>1157</v>
      </c>
      <c r="B67" s="272" t="s">
        <v>67</v>
      </c>
      <c r="C67" s="441" t="s">
        <v>101</v>
      </c>
      <c r="D67" s="441"/>
      <c r="E67" s="31">
        <v>25</v>
      </c>
      <c r="F67" s="272">
        <v>4923</v>
      </c>
      <c r="G67" s="263">
        <f t="shared" si="84"/>
        <v>123075</v>
      </c>
      <c r="H67" s="273" t="s">
        <v>103</v>
      </c>
      <c r="I67" s="270">
        <v>15</v>
      </c>
      <c r="J67" s="26">
        <v>2400</v>
      </c>
      <c r="K67" s="10">
        <f t="shared" si="85"/>
        <v>160</v>
      </c>
      <c r="L67" s="19">
        <v>15</v>
      </c>
      <c r="M67" s="11">
        <f t="shared" si="90"/>
        <v>2272.1538461538457</v>
      </c>
      <c r="N67" s="10">
        <f t="shared" si="86"/>
        <v>151.47692307692304</v>
      </c>
      <c r="O67" s="12">
        <f t="shared" si="87"/>
        <v>0</v>
      </c>
      <c r="P67" s="13">
        <f t="shared" si="88"/>
        <v>-8.5230769230769567</v>
      </c>
      <c r="Q67" s="268">
        <f t="shared" si="91"/>
        <v>0.94673076923076904</v>
      </c>
      <c r="R67" s="442"/>
      <c r="S67" s="28">
        <v>0.2986111111111111</v>
      </c>
      <c r="T67" s="28">
        <v>0.3888888888888889</v>
      </c>
      <c r="U67" s="263">
        <f t="shared" ref="U67:U71" si="93">(S67-T66)*24*60</f>
        <v>6.9999999999999751</v>
      </c>
      <c r="V67" s="271">
        <f t="shared" si="89"/>
        <v>130.00000000000003</v>
      </c>
      <c r="W67" s="16"/>
      <c r="X67" s="16"/>
      <c r="Y67" s="443"/>
      <c r="Z67" s="443"/>
      <c r="AA67" s="12">
        <f t="shared" si="2"/>
        <v>-127.84615384615427</v>
      </c>
      <c r="AB67" s="268">
        <f t="shared" si="92"/>
        <v>0.94673076923076904</v>
      </c>
      <c r="AC67" s="442"/>
    </row>
    <row r="68" spans="1:29" ht="15.75" customHeight="1">
      <c r="A68" s="439" t="s">
        <v>1157</v>
      </c>
      <c r="B68" s="272" t="s">
        <v>67</v>
      </c>
      <c r="C68" s="441" t="s">
        <v>102</v>
      </c>
      <c r="D68" s="441"/>
      <c r="E68" s="31">
        <v>20.52</v>
      </c>
      <c r="F68" s="272">
        <v>3200</v>
      </c>
      <c r="G68" s="263">
        <f t="shared" si="84"/>
        <v>65664</v>
      </c>
      <c r="H68" s="273">
        <v>2</v>
      </c>
      <c r="I68" s="270">
        <v>18</v>
      </c>
      <c r="J68" s="26">
        <v>2400</v>
      </c>
      <c r="K68" s="10">
        <f>J68/I68</f>
        <v>133.33333333333334</v>
      </c>
      <c r="L68" s="19">
        <v>18</v>
      </c>
      <c r="M68" s="11">
        <f t="shared" si="90"/>
        <v>2258.8235294117644</v>
      </c>
      <c r="N68" s="10">
        <f t="shared" si="86"/>
        <v>125.49019607843135</v>
      </c>
      <c r="O68" s="12">
        <f t="shared" si="87"/>
        <v>0</v>
      </c>
      <c r="P68" s="13">
        <f t="shared" si="88"/>
        <v>-7.8431372549019898</v>
      </c>
      <c r="Q68" s="268">
        <f t="shared" si="91"/>
        <v>0.94117647058823506</v>
      </c>
      <c r="R68" s="442"/>
      <c r="S68" s="28">
        <v>0.3923611111111111</v>
      </c>
      <c r="T68" s="28">
        <v>0.4513888888888889</v>
      </c>
      <c r="U68" s="263">
        <f t="shared" si="93"/>
        <v>4.9999999999999822</v>
      </c>
      <c r="V68" s="271">
        <f t="shared" si="89"/>
        <v>85.000000000000014</v>
      </c>
      <c r="W68" s="16"/>
      <c r="X68" s="16"/>
      <c r="Y68" s="443"/>
      <c r="Z68" s="443"/>
      <c r="AA68" s="12">
        <f t="shared" si="2"/>
        <v>-141.17647058823559</v>
      </c>
      <c r="AB68" s="268">
        <f t="shared" si="92"/>
        <v>0.94117647058823517</v>
      </c>
      <c r="AC68" s="442"/>
    </row>
    <row r="69" spans="1:29" ht="15.75" customHeight="1">
      <c r="A69" s="439" t="s">
        <v>1157</v>
      </c>
      <c r="B69" s="272" t="s">
        <v>67</v>
      </c>
      <c r="C69" s="441" t="s">
        <v>72</v>
      </c>
      <c r="D69" s="441"/>
      <c r="E69" s="31">
        <v>25.98</v>
      </c>
      <c r="F69" s="272">
        <v>3777</v>
      </c>
      <c r="G69" s="263">
        <f t="shared" si="84"/>
        <v>98126.46</v>
      </c>
      <c r="H69" s="273" t="s">
        <v>103</v>
      </c>
      <c r="I69" s="270">
        <v>17</v>
      </c>
      <c r="J69" s="26">
        <v>2400</v>
      </c>
      <c r="K69" s="10">
        <f t="shared" ref="K69:K72" si="94">J69/I69</f>
        <v>141.1764705882353</v>
      </c>
      <c r="L69" s="19">
        <v>17</v>
      </c>
      <c r="M69" s="11">
        <f t="shared" si="90"/>
        <v>2266.1999999999989</v>
      </c>
      <c r="N69" s="10">
        <f t="shared" si="86"/>
        <v>133.30588235294113</v>
      </c>
      <c r="O69" s="12">
        <f t="shared" si="87"/>
        <v>0</v>
      </c>
      <c r="P69" s="13">
        <f t="shared" si="88"/>
        <v>-7.8705882352941785</v>
      </c>
      <c r="Q69" s="268">
        <f t="shared" si="91"/>
        <v>0.94424999999999959</v>
      </c>
      <c r="R69" s="442"/>
      <c r="S69" s="28">
        <v>0.45555555555555555</v>
      </c>
      <c r="T69" s="28">
        <v>0.52500000000000002</v>
      </c>
      <c r="U69" s="263">
        <f t="shared" si="93"/>
        <v>5.9999999999999787</v>
      </c>
      <c r="V69" s="271">
        <f t="shared" si="89"/>
        <v>100.00000000000004</v>
      </c>
      <c r="W69" s="16">
        <f>T69</f>
        <v>0.52500000000000002</v>
      </c>
      <c r="X69" s="16">
        <f>S70</f>
        <v>0.56458333333333333</v>
      </c>
      <c r="Y69" s="443"/>
      <c r="Z69" s="443"/>
      <c r="AA69" s="12">
        <f t="shared" ref="AA69:AA72" si="95">M69-J69</f>
        <v>-133.80000000000109</v>
      </c>
      <c r="AB69" s="268">
        <f t="shared" si="92"/>
        <v>0.94424999999999959</v>
      </c>
      <c r="AC69" s="442"/>
    </row>
    <row r="70" spans="1:29" ht="15.75" customHeight="1">
      <c r="A70" s="439" t="s">
        <v>1157</v>
      </c>
      <c r="B70" s="272" t="s">
        <v>67</v>
      </c>
      <c r="C70" s="441" t="s">
        <v>100</v>
      </c>
      <c r="D70" s="441"/>
      <c r="E70" s="31">
        <v>19.02</v>
      </c>
      <c r="F70" s="272">
        <v>7109</v>
      </c>
      <c r="G70" s="263">
        <f t="shared" si="84"/>
        <v>135213.18</v>
      </c>
      <c r="H70" s="273" t="s">
        <v>103</v>
      </c>
      <c r="I70" s="270">
        <v>15</v>
      </c>
      <c r="J70" s="26">
        <v>2400</v>
      </c>
      <c r="K70" s="10">
        <f t="shared" si="94"/>
        <v>160</v>
      </c>
      <c r="L70" s="19">
        <v>15</v>
      </c>
      <c r="M70" s="11">
        <f t="shared" si="90"/>
        <v>2268.8297872340431</v>
      </c>
      <c r="N70" s="10">
        <f t="shared" si="86"/>
        <v>151.2553191489362</v>
      </c>
      <c r="O70" s="12">
        <f t="shared" si="87"/>
        <v>0</v>
      </c>
      <c r="P70" s="13">
        <f t="shared" si="88"/>
        <v>-8.744680851063805</v>
      </c>
      <c r="Q70" s="268">
        <f t="shared" si="91"/>
        <v>0.9453457446808512</v>
      </c>
      <c r="R70" s="442"/>
      <c r="S70" s="28">
        <v>0.56458333333333333</v>
      </c>
      <c r="T70" s="28">
        <v>0.69513888888888886</v>
      </c>
      <c r="U70" s="263">
        <f t="shared" si="93"/>
        <v>56.999999999999957</v>
      </c>
      <c r="V70" s="271">
        <f t="shared" si="89"/>
        <v>187.99999999999997</v>
      </c>
      <c r="W70" s="16"/>
      <c r="X70" s="16"/>
      <c r="Y70" s="443"/>
      <c r="Z70" s="443"/>
      <c r="AA70" s="12">
        <f t="shared" si="95"/>
        <v>-131.17021276595688</v>
      </c>
      <c r="AB70" s="268">
        <f t="shared" si="92"/>
        <v>0.94534574468085131</v>
      </c>
      <c r="AC70" s="442"/>
    </row>
    <row r="71" spans="1:29" ht="15.75" customHeight="1">
      <c r="A71" s="439" t="s">
        <v>1157</v>
      </c>
      <c r="B71" s="272" t="s">
        <v>67</v>
      </c>
      <c r="C71" s="444" t="s">
        <v>102</v>
      </c>
      <c r="D71" s="445"/>
      <c r="E71" s="31">
        <v>20.52</v>
      </c>
      <c r="F71" s="272">
        <v>2369</v>
      </c>
      <c r="G71" s="263">
        <f t="shared" si="84"/>
        <v>48611.88</v>
      </c>
      <c r="H71" s="273" t="s">
        <v>103</v>
      </c>
      <c r="I71" s="270">
        <v>18</v>
      </c>
      <c r="J71" s="26">
        <v>2400</v>
      </c>
      <c r="K71" s="10">
        <f t="shared" si="94"/>
        <v>133.33333333333334</v>
      </c>
      <c r="L71" s="19">
        <v>18</v>
      </c>
      <c r="M71" s="11">
        <f t="shared" si="90"/>
        <v>2292.5806451612925</v>
      </c>
      <c r="N71" s="10">
        <f t="shared" si="86"/>
        <v>127.36559139784958</v>
      </c>
      <c r="O71" s="12">
        <f t="shared" si="87"/>
        <v>0</v>
      </c>
      <c r="P71" s="13">
        <f t="shared" si="88"/>
        <v>-5.9677419354837582</v>
      </c>
      <c r="Q71" s="268">
        <f t="shared" si="91"/>
        <v>0.95524193548387182</v>
      </c>
      <c r="R71" s="442"/>
      <c r="S71" s="28">
        <v>0.69861111111111107</v>
      </c>
      <c r="T71" s="28">
        <v>0.74166666666666659</v>
      </c>
      <c r="U71" s="263">
        <f t="shared" si="93"/>
        <v>4.9999999999999822</v>
      </c>
      <c r="V71" s="271">
        <f t="shared" si="89"/>
        <v>61.999999999999943</v>
      </c>
      <c r="W71" s="16"/>
      <c r="X71" s="16"/>
      <c r="Y71" s="447"/>
      <c r="Z71" s="448"/>
      <c r="AA71" s="12">
        <f t="shared" si="95"/>
        <v>-107.41935483870748</v>
      </c>
      <c r="AB71" s="268">
        <f t="shared" si="92"/>
        <v>0.95524193548387193</v>
      </c>
      <c r="AC71" s="442"/>
    </row>
    <row r="72" spans="1:29" ht="16.5" customHeight="1">
      <c r="A72" s="440" t="s">
        <v>1157</v>
      </c>
      <c r="B72" s="31" t="s">
        <v>1148</v>
      </c>
      <c r="C72" s="446"/>
      <c r="D72" s="446"/>
      <c r="E72" s="262"/>
      <c r="F72" s="33"/>
      <c r="G72" s="10"/>
      <c r="H72" s="272"/>
      <c r="I72" s="19">
        <v>16.714285714285715</v>
      </c>
      <c r="J72" s="26">
        <v>2400</v>
      </c>
      <c r="K72" s="10">
        <f t="shared" si="94"/>
        <v>143.58974358974359</v>
      </c>
      <c r="L72" s="19">
        <v>16.714285714285715</v>
      </c>
      <c r="M72" s="11">
        <f>AVERAGE(M65:M71)</f>
        <v>2271.7906561261912</v>
      </c>
      <c r="N72" s="10">
        <f>M72/L72</f>
        <v>135.91909908447298</v>
      </c>
      <c r="O72" s="12">
        <f>L72-I72</f>
        <v>0</v>
      </c>
      <c r="P72" s="13">
        <f>N72-K72</f>
        <v>-7.6706445052706158</v>
      </c>
      <c r="Q72" s="268">
        <f t="shared" si="91"/>
        <v>0.94657944005257966</v>
      </c>
      <c r="R72" s="442"/>
      <c r="S72" s="28"/>
      <c r="T72" s="28"/>
      <c r="U72" s="10"/>
      <c r="V72" s="271"/>
      <c r="W72" s="10"/>
      <c r="X72" s="10"/>
      <c r="Y72" s="443"/>
      <c r="Z72" s="443"/>
      <c r="AA72" s="12">
        <f t="shared" si="95"/>
        <v>-128.20934387380885</v>
      </c>
      <c r="AB72" s="268">
        <f t="shared" si="92"/>
        <v>0.94657944005257966</v>
      </c>
      <c r="AC72" s="442"/>
    </row>
    <row r="73" spans="1:29">
      <c r="D73" s="22"/>
      <c r="E73" s="22"/>
    </row>
  </sheetData>
  <mergeCells count="192">
    <mergeCell ref="A65:A72"/>
    <mergeCell ref="C65:D65"/>
    <mergeCell ref="R65:R72"/>
    <mergeCell ref="Y65:Z65"/>
    <mergeCell ref="AC65:AC72"/>
    <mergeCell ref="C66:D66"/>
    <mergeCell ref="Y66:Z66"/>
    <mergeCell ref="C67:D67"/>
    <mergeCell ref="Y67:Z67"/>
    <mergeCell ref="C68:D68"/>
    <mergeCell ref="C72:D72"/>
    <mergeCell ref="Y72:Z72"/>
    <mergeCell ref="Y68:Z68"/>
    <mergeCell ref="C69:D69"/>
    <mergeCell ref="Y69:Z69"/>
    <mergeCell ref="C70:D70"/>
    <mergeCell ref="Y70:Z70"/>
    <mergeCell ref="C71:D71"/>
    <mergeCell ref="Y71:Z71"/>
    <mergeCell ref="AC58:AC64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A58:A64"/>
    <mergeCell ref="C58:D58"/>
    <mergeCell ref="R58:R64"/>
    <mergeCell ref="Y58:Z58"/>
    <mergeCell ref="Y63:Z63"/>
    <mergeCell ref="C64:D64"/>
    <mergeCell ref="Y64:Z64"/>
    <mergeCell ref="A51:A57"/>
    <mergeCell ref="C51:D51"/>
    <mergeCell ref="R51:R57"/>
    <mergeCell ref="Y51:Z51"/>
    <mergeCell ref="AC51:AC57"/>
    <mergeCell ref="C52:D52"/>
    <mergeCell ref="Y52:Z52"/>
    <mergeCell ref="C53:D53"/>
    <mergeCell ref="C56:D56"/>
    <mergeCell ref="Y56:Z56"/>
    <mergeCell ref="C48:D48"/>
    <mergeCell ref="Y48:Z48"/>
    <mergeCell ref="C49:D49"/>
    <mergeCell ref="Y49:Z49"/>
    <mergeCell ref="C50:D50"/>
    <mergeCell ref="Y50:Z50"/>
    <mergeCell ref="AC41:AC50"/>
    <mergeCell ref="C57:D57"/>
    <mergeCell ref="Y57:Z57"/>
    <mergeCell ref="Y44:Z44"/>
    <mergeCell ref="C45:D45"/>
    <mergeCell ref="Y45:Z45"/>
    <mergeCell ref="C46:D46"/>
    <mergeCell ref="Y46:Z46"/>
    <mergeCell ref="C47:D47"/>
    <mergeCell ref="Y47:Z47"/>
    <mergeCell ref="A41:A50"/>
    <mergeCell ref="C41:D41"/>
    <mergeCell ref="R41:R50"/>
    <mergeCell ref="Y41:Z41"/>
    <mergeCell ref="C42:D42"/>
    <mergeCell ref="Y42:Z42"/>
    <mergeCell ref="C43:D43"/>
    <mergeCell ref="Y43:Z43"/>
    <mergeCell ref="C44:D44"/>
    <mergeCell ref="AC31:AC40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A22:A30"/>
    <mergeCell ref="C22:D22"/>
    <mergeCell ref="R22:R30"/>
    <mergeCell ref="Y22:Z22"/>
    <mergeCell ref="C29:D29"/>
    <mergeCell ref="Y29:Z29"/>
    <mergeCell ref="C30:D30"/>
    <mergeCell ref="Y30:Z30"/>
    <mergeCell ref="A31:A40"/>
    <mergeCell ref="C31:D31"/>
    <mergeCell ref="R31:R40"/>
    <mergeCell ref="Y31:Z31"/>
    <mergeCell ref="Y36:Z36"/>
    <mergeCell ref="C37:D37"/>
    <mergeCell ref="Y37:Z37"/>
    <mergeCell ref="C38:D38"/>
    <mergeCell ref="Y38:Z38"/>
    <mergeCell ref="C39:D39"/>
    <mergeCell ref="Y39:Z39"/>
    <mergeCell ref="C40:D40"/>
    <mergeCell ref="Y40:Z40"/>
    <mergeCell ref="AC22:AC30"/>
    <mergeCell ref="C23:D23"/>
    <mergeCell ref="Y23:Z23"/>
    <mergeCell ref="C24:D24"/>
    <mergeCell ref="Y24:Z24"/>
    <mergeCell ref="C25:D25"/>
    <mergeCell ref="AC17:AC21"/>
    <mergeCell ref="C18:D18"/>
    <mergeCell ref="Y18:Z18"/>
    <mergeCell ref="C19:D19"/>
    <mergeCell ref="Y19:Z19"/>
    <mergeCell ref="C20:D20"/>
    <mergeCell ref="Y20:Z20"/>
    <mergeCell ref="C21:D21"/>
    <mergeCell ref="Y21:Z21"/>
    <mergeCell ref="Y25:Z25"/>
    <mergeCell ref="C26:D26"/>
    <mergeCell ref="Y26:Z26"/>
    <mergeCell ref="C27:D27"/>
    <mergeCell ref="Y27:Z27"/>
    <mergeCell ref="C28:D28"/>
    <mergeCell ref="Y28:Z28"/>
    <mergeCell ref="A17:A21"/>
    <mergeCell ref="C17:D17"/>
    <mergeCell ref="R17:R21"/>
    <mergeCell ref="Y17:Z17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1:O70 O72 O5:O9 O11:O13 O50:O58 O16:O46">
    <cfRule type="cellIs" dxfId="840" priority="56" operator="greaterThan">
      <formula>0</formula>
    </cfRule>
  </conditionalFormatting>
  <conditionalFormatting sqref="P5:P7 P61:P63 AA61:AA63 P65:P70 P22:P29 P58 P9 P11:P13 P17:P20 P51:P56 P31:P46 AA65:AA72 AA5:AA58">
    <cfRule type="cellIs" dxfId="839" priority="60" operator="lessThan">
      <formula>0</formula>
    </cfRule>
  </conditionalFormatting>
  <conditionalFormatting sqref="AB61:AB63 Q61:Q70 Q72 Q5:Q9 Q11:Q13 Q50:Q58 Q16:Q46 AB65:AB72 AB5:AB58">
    <cfRule type="cellIs" dxfId="838" priority="57" operator="greaterThan">
      <formula>1</formula>
    </cfRule>
    <cfRule type="cellIs" dxfId="837" priority="58" operator="lessThan">
      <formula>0.8</formula>
    </cfRule>
  </conditionalFormatting>
  <conditionalFormatting sqref="AC12:AC13 R12:R13 AC61 R61:R70 R16:R38 AC16:AC38 R72 AC5:AC9 R5:R9 R40:R46 AC40:AC46 AC50:AC58 R50:R58">
    <cfRule type="cellIs" dxfId="836" priority="62" operator="lessThan">
      <formula>0.8</formula>
    </cfRule>
  </conditionalFormatting>
  <conditionalFormatting sqref="AC41">
    <cfRule type="cellIs" dxfId="835" priority="64" operator="lessThan">
      <formula>0.8</formula>
    </cfRule>
  </conditionalFormatting>
  <conditionalFormatting sqref="AC17:AC20">
    <cfRule type="cellIs" dxfId="834" priority="61" operator="lessThan">
      <formula>0.8</formula>
    </cfRule>
  </conditionalFormatting>
  <conditionalFormatting sqref="AC22">
    <cfRule type="cellIs" dxfId="833" priority="63" operator="lessThan">
      <formula>0.8</formula>
    </cfRule>
  </conditionalFormatting>
  <conditionalFormatting sqref="AC31:AC38">
    <cfRule type="cellIs" dxfId="832" priority="59" operator="lessThan">
      <formula>0.8</formula>
    </cfRule>
  </conditionalFormatting>
  <conditionalFormatting sqref="AA64">
    <cfRule type="cellIs" dxfId="831" priority="55" operator="lessThan">
      <formula>0</formula>
    </cfRule>
  </conditionalFormatting>
  <conditionalFormatting sqref="AB64">
    <cfRule type="cellIs" dxfId="830" priority="53" operator="greaterThan">
      <formula>1</formula>
    </cfRule>
    <cfRule type="cellIs" dxfId="829" priority="54" operator="lessThan">
      <formula>0.8</formula>
    </cfRule>
  </conditionalFormatting>
  <conditionalFormatting sqref="O14:O15">
    <cfRule type="cellIs" dxfId="828" priority="48" operator="greaterThan">
      <formula>0</formula>
    </cfRule>
  </conditionalFormatting>
  <conditionalFormatting sqref="P14:P15">
    <cfRule type="cellIs" dxfId="827" priority="51" operator="lessThan">
      <formula>0</formula>
    </cfRule>
  </conditionalFormatting>
  <conditionalFormatting sqref="Q14:Q15">
    <cfRule type="cellIs" dxfId="826" priority="49" operator="greaterThan">
      <formula>1</formula>
    </cfRule>
    <cfRule type="cellIs" dxfId="825" priority="50" operator="lessThan">
      <formula>0.8</formula>
    </cfRule>
  </conditionalFormatting>
  <conditionalFormatting sqref="R14:R15 AC14:AC15">
    <cfRule type="cellIs" dxfId="824" priority="52" operator="lessThan">
      <formula>0.8</formula>
    </cfRule>
  </conditionalFormatting>
  <conditionalFormatting sqref="O10">
    <cfRule type="cellIs" dxfId="823" priority="44" operator="greaterThan">
      <formula>0</formula>
    </cfRule>
  </conditionalFormatting>
  <conditionalFormatting sqref="P10">
    <cfRule type="cellIs" dxfId="822" priority="47" operator="lessThan">
      <formula>0</formula>
    </cfRule>
  </conditionalFormatting>
  <conditionalFormatting sqref="Q10">
    <cfRule type="cellIs" dxfId="821" priority="45" operator="greaterThan">
      <formula>1</formula>
    </cfRule>
    <cfRule type="cellIs" dxfId="820" priority="46" operator="lessThan">
      <formula>0.8</formula>
    </cfRule>
  </conditionalFormatting>
  <conditionalFormatting sqref="R39 AC39">
    <cfRule type="cellIs" dxfId="819" priority="43" operator="lessThan">
      <formula>0.8</formula>
    </cfRule>
  </conditionalFormatting>
  <conditionalFormatting sqref="AC39">
    <cfRule type="cellIs" dxfId="818" priority="42" operator="lessThan">
      <formula>0.8</formula>
    </cfRule>
  </conditionalFormatting>
  <conditionalFormatting sqref="O60">
    <cfRule type="cellIs" dxfId="817" priority="37" operator="greaterThan">
      <formula>0</formula>
    </cfRule>
  </conditionalFormatting>
  <conditionalFormatting sqref="P60 AA60">
    <cfRule type="cellIs" dxfId="816" priority="40" operator="lessThan">
      <formula>0</formula>
    </cfRule>
  </conditionalFormatting>
  <conditionalFormatting sqref="Q60 AB60">
    <cfRule type="cellIs" dxfId="815" priority="38" operator="greaterThan">
      <formula>1</formula>
    </cfRule>
    <cfRule type="cellIs" dxfId="814" priority="39" operator="lessThan">
      <formula>0.8</formula>
    </cfRule>
  </conditionalFormatting>
  <conditionalFormatting sqref="R60 AC60">
    <cfRule type="cellIs" dxfId="813" priority="41" operator="lessThan">
      <formula>0.8</formula>
    </cfRule>
  </conditionalFormatting>
  <conditionalFormatting sqref="O71">
    <cfRule type="cellIs" dxfId="812" priority="32" operator="greaterThan">
      <formula>0</formula>
    </cfRule>
  </conditionalFormatting>
  <conditionalFormatting sqref="P71">
    <cfRule type="cellIs" dxfId="811" priority="35" operator="lessThan">
      <formula>0</formula>
    </cfRule>
  </conditionalFormatting>
  <conditionalFormatting sqref="Q71">
    <cfRule type="cellIs" dxfId="810" priority="33" operator="greaterThan">
      <formula>1</formula>
    </cfRule>
    <cfRule type="cellIs" dxfId="809" priority="34" operator="lessThan">
      <formula>0.8</formula>
    </cfRule>
  </conditionalFormatting>
  <conditionalFormatting sqref="R71">
    <cfRule type="cellIs" dxfId="808" priority="36" operator="lessThan">
      <formula>0.8</formula>
    </cfRule>
  </conditionalFormatting>
  <conditionalFormatting sqref="O47">
    <cfRule type="cellIs" dxfId="807" priority="26" operator="greaterThan">
      <formula>0</formula>
    </cfRule>
  </conditionalFormatting>
  <conditionalFormatting sqref="P47">
    <cfRule type="cellIs" dxfId="806" priority="30" operator="lessThan">
      <formula>0</formula>
    </cfRule>
  </conditionalFormatting>
  <conditionalFormatting sqref="Q47">
    <cfRule type="cellIs" dxfId="805" priority="27" operator="greaterThan">
      <formula>1</formula>
    </cfRule>
    <cfRule type="cellIs" dxfId="804" priority="28" operator="lessThan">
      <formula>0.8</formula>
    </cfRule>
  </conditionalFormatting>
  <conditionalFormatting sqref="R47 AC47">
    <cfRule type="cellIs" dxfId="803" priority="31" operator="lessThan">
      <formula>0.8</formula>
    </cfRule>
  </conditionalFormatting>
  <conditionalFormatting sqref="AC47">
    <cfRule type="cellIs" dxfId="802" priority="29" operator="lessThan">
      <formula>0.8</formula>
    </cfRule>
  </conditionalFormatting>
  <conditionalFormatting sqref="O48">
    <cfRule type="cellIs" dxfId="801" priority="20" operator="greaterThan">
      <formula>0</formula>
    </cfRule>
  </conditionalFormatting>
  <conditionalFormatting sqref="P48">
    <cfRule type="cellIs" dxfId="800" priority="24" operator="lessThan">
      <formula>0</formula>
    </cfRule>
  </conditionalFormatting>
  <conditionalFormatting sqref="Q48">
    <cfRule type="cellIs" dxfId="799" priority="21" operator="greaterThan">
      <formula>1</formula>
    </cfRule>
    <cfRule type="cellIs" dxfId="798" priority="22" operator="lessThan">
      <formula>0.8</formula>
    </cfRule>
  </conditionalFormatting>
  <conditionalFormatting sqref="R48 AC48">
    <cfRule type="cellIs" dxfId="797" priority="25" operator="lessThan">
      <formula>0.8</formula>
    </cfRule>
  </conditionalFormatting>
  <conditionalFormatting sqref="AC48">
    <cfRule type="cellIs" dxfId="796" priority="23" operator="lessThan">
      <formula>0.8</formula>
    </cfRule>
  </conditionalFormatting>
  <conditionalFormatting sqref="O49">
    <cfRule type="cellIs" dxfId="795" priority="14" operator="greaterThan">
      <formula>0</formula>
    </cfRule>
  </conditionalFormatting>
  <conditionalFormatting sqref="P49">
    <cfRule type="cellIs" dxfId="794" priority="18" operator="lessThan">
      <formula>0</formula>
    </cfRule>
  </conditionalFormatting>
  <conditionalFormatting sqref="Q49">
    <cfRule type="cellIs" dxfId="793" priority="15" operator="greaterThan">
      <formula>1</formula>
    </cfRule>
    <cfRule type="cellIs" dxfId="792" priority="16" operator="lessThan">
      <formula>0.8</formula>
    </cfRule>
  </conditionalFormatting>
  <conditionalFormatting sqref="R49 AC49">
    <cfRule type="cellIs" dxfId="791" priority="19" operator="lessThan">
      <formula>0.8</formula>
    </cfRule>
  </conditionalFormatting>
  <conditionalFormatting sqref="AC49">
    <cfRule type="cellIs" dxfId="790" priority="17" operator="lessThan">
      <formula>0.8</formula>
    </cfRule>
  </conditionalFormatting>
  <conditionalFormatting sqref="O59">
    <cfRule type="cellIs" dxfId="789" priority="9" operator="greaterThan">
      <formula>0</formula>
    </cfRule>
  </conditionalFormatting>
  <conditionalFormatting sqref="P59 AA59">
    <cfRule type="cellIs" dxfId="788" priority="12" operator="lessThan">
      <formula>0</formula>
    </cfRule>
  </conditionalFormatting>
  <conditionalFormatting sqref="Q59 AB59">
    <cfRule type="cellIs" dxfId="787" priority="10" operator="greaterThan">
      <formula>1</formula>
    </cfRule>
    <cfRule type="cellIs" dxfId="786" priority="11" operator="lessThan">
      <formula>0.8</formula>
    </cfRule>
  </conditionalFormatting>
  <conditionalFormatting sqref="R59 AC59">
    <cfRule type="cellIs" dxfId="785" priority="13" operator="lessThan">
      <formula>0.8</formula>
    </cfRule>
  </conditionalFormatting>
  <conditionalFormatting sqref="P8">
    <cfRule type="cellIs" dxfId="784" priority="8" operator="lessThan">
      <formula>0</formula>
    </cfRule>
  </conditionalFormatting>
  <conditionalFormatting sqref="P16">
    <cfRule type="cellIs" dxfId="783" priority="7" operator="lessThan">
      <formula>0</formula>
    </cfRule>
  </conditionalFormatting>
  <conditionalFormatting sqref="P21">
    <cfRule type="cellIs" dxfId="782" priority="6" operator="lessThan">
      <formula>0</formula>
    </cfRule>
  </conditionalFormatting>
  <conditionalFormatting sqref="P30">
    <cfRule type="cellIs" dxfId="781" priority="5" operator="lessThan">
      <formula>0</formula>
    </cfRule>
  </conditionalFormatting>
  <conditionalFormatting sqref="P50">
    <cfRule type="cellIs" dxfId="780" priority="4" operator="lessThan">
      <formula>0</formula>
    </cfRule>
  </conditionalFormatting>
  <conditionalFormatting sqref="P57">
    <cfRule type="cellIs" dxfId="779" priority="3" operator="lessThan">
      <formula>0</formula>
    </cfRule>
  </conditionalFormatting>
  <conditionalFormatting sqref="P64">
    <cfRule type="cellIs" dxfId="778" priority="2" operator="lessThan">
      <formula>0</formula>
    </cfRule>
  </conditionalFormatting>
  <conditionalFormatting sqref="P72">
    <cfRule type="cellIs" dxfId="777" priority="1" operator="lessThan">
      <formula>0</formula>
    </cfRule>
  </conditionalFormatting>
  <dataValidations count="1">
    <dataValidation type="list" allowBlank="1" showInputMessage="1" showErrorMessage="1" sqref="Z8 Z62:Z63 Y5:Z7 Y64:Z72 Y8:Y63 Z10:Z5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1010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246" t="s">
        <v>1011</v>
      </c>
      <c r="C3" s="493" t="str">
        <f>TEXT('0914 4度C'!A2,"yyyy.mm.ddaaaa")</f>
        <v>2025.09.14星期日</v>
      </c>
      <c r="D3" s="493"/>
      <c r="E3" s="246" t="s">
        <v>1012</v>
      </c>
      <c r="F3" s="494">
        <f>'0914 4度C'!D1</f>
        <v>186761</v>
      </c>
      <c r="G3" s="494"/>
      <c r="H3" s="246" t="s">
        <v>1013</v>
      </c>
      <c r="I3" s="495">
        <f>'0914 4度C'!F1</f>
        <v>6253868.8200000003</v>
      </c>
      <c r="J3" s="495"/>
      <c r="K3" s="45"/>
      <c r="L3" s="46"/>
      <c r="M3" s="47"/>
      <c r="N3" s="47"/>
    </row>
    <row r="4" spans="2:17" ht="28.5" customHeight="1">
      <c r="B4" s="496" t="s">
        <v>1014</v>
      </c>
      <c r="C4" s="496" t="s">
        <v>113</v>
      </c>
      <c r="D4" s="496"/>
      <c r="E4" s="497" t="s">
        <v>1015</v>
      </c>
      <c r="F4" s="497"/>
      <c r="G4" s="497" t="s">
        <v>1016</v>
      </c>
      <c r="H4" s="497"/>
      <c r="I4" s="497" t="s">
        <v>1017</v>
      </c>
      <c r="J4" s="497"/>
      <c r="L4" s="47"/>
      <c r="M4" s="47"/>
      <c r="N4" s="47"/>
    </row>
    <row r="5" spans="2:17" ht="28.5" customHeight="1">
      <c r="B5" s="496"/>
      <c r="C5" s="496" t="s">
        <v>1018</v>
      </c>
      <c r="D5" s="496"/>
      <c r="E5" s="496" t="s">
        <v>1019</v>
      </c>
      <c r="F5" s="496"/>
      <c r="G5" s="498" t="s">
        <v>1020</v>
      </c>
      <c r="H5" s="498"/>
      <c r="I5" s="499" t="s">
        <v>1021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146.92735244394399</v>
      </c>
      <c r="F6" s="496">
        <f>AVERAGE(D27:O27,D13:J13)</f>
        <v>151.45317867406703</v>
      </c>
      <c r="G6" s="501">
        <f>AVERAGE(D13:J13)</f>
        <v>151.45317867406703</v>
      </c>
      <c r="H6" s="501"/>
      <c r="I6" s="501">
        <f>AVERAGE(K13:M13)</f>
        <v>136.3670912403235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139.30886421659909</v>
      </c>
      <c r="F7" s="506">
        <f>AVERAGE(D28:O28,D14:J14)</f>
        <v>143.68436859855566</v>
      </c>
      <c r="G7" s="507">
        <f>AVERAGE(D14:J14)</f>
        <v>143.68436859855566</v>
      </c>
      <c r="H7" s="507"/>
      <c r="I7" s="507">
        <f>AVERAGE(K14:M14)</f>
        <v>129.09935399203368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0.94787987768303561</v>
      </c>
      <c r="F8" s="504">
        <f>AVERAGE(D15:J15,D29:O29)</f>
        <v>0.94838297588112896</v>
      </c>
      <c r="G8" s="509">
        <f>AVERAGE(D15:J15)</f>
        <v>0.94838297588112896</v>
      </c>
      <c r="H8" s="509"/>
      <c r="I8" s="509">
        <f>AVERAGE(K15:M15)</f>
        <v>0.94670598188748489</v>
      </c>
      <c r="J8" s="509"/>
      <c r="K8" s="48" t="s">
        <v>1022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1023</v>
      </c>
      <c r="C10" s="414"/>
      <c r="D10" s="415" t="s">
        <v>1024</v>
      </c>
      <c r="E10" s="416"/>
      <c r="F10" s="416"/>
      <c r="G10" s="416"/>
      <c r="H10" s="416"/>
      <c r="I10" s="416"/>
      <c r="J10" s="417"/>
      <c r="K10" s="389" t="s">
        <v>1025</v>
      </c>
      <c r="L10" s="390"/>
      <c r="M10" s="391"/>
      <c r="P10" s="51"/>
      <c r="Q10" s="51"/>
    </row>
    <row r="11" spans="2:17" ht="17.25" customHeight="1">
      <c r="B11" s="503" t="s">
        <v>1026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1027</v>
      </c>
      <c r="C13" s="58" t="s">
        <v>1028</v>
      </c>
      <c r="D13" s="59">
        <f>SUMIFS('0914 4度C'!$K:$K,'0914 4度C'!$A:$A,"新豐6線",'0914 4度C'!$B:$B,"平均")</f>
        <v>125</v>
      </c>
      <c r="E13" s="60">
        <f>SUMIFS('0914 4度C'!$K:$K,'0914 4度C'!$A:$A,"新豐2線",'0914 4度C'!$B:$B,"平均")</f>
        <v>83.333333333333329</v>
      </c>
      <c r="F13" s="61">
        <f>SUMIFS('0914 4度C'!$K:$K,'0914 4度C'!$A:$A,"新豐5線",'0914 4度C'!$B:$B,"平均")</f>
        <v>90.909090909090907</v>
      </c>
      <c r="G13" s="61">
        <f>SUMIFS('0914 4度C'!$K:$K,'0914 4度C'!$A:$A,"新豐7線",'0914 4度C'!$B:$B,"平均")</f>
        <v>117.64705882352941</v>
      </c>
      <c r="H13" s="61">
        <f>SUMIFS('0914 4度C'!$K:$K,'0914 4度C'!$A:$A,"新豐3線",'0914 4度C'!$B:$B,"平均")</f>
        <v>306.81818181818181</v>
      </c>
      <c r="I13" s="61">
        <f>SUMIFS('0914 4度C'!$K:$K,'0914 4度C'!$A:$A,"新豐1線",'0914 4度C'!$B:$B,"平均")</f>
        <v>117.34693877551021</v>
      </c>
      <c r="J13" s="62">
        <f>SUMIFS('0914 4度C'!$K:$K,'0914 4度C'!$A:$A,"新豐10線",'0914 4度C'!$B:$B,"平均")</f>
        <v>219.11764705882354</v>
      </c>
      <c r="K13" s="63">
        <f>SUMIFS('0914 4度C'!$K:$K,'0914 4度C'!$A:$A,"新豐8線",'0914 4度C'!$B:$B,"平均")</f>
        <v>136.17021276595744</v>
      </c>
      <c r="L13" s="64">
        <f>SUMIFS('0914 4度C'!$K:$K,'0914 4度C'!$A:$A,"新豐9線",'0914 4度C'!$B:$B,"平均")</f>
        <v>129.34131736526945</v>
      </c>
      <c r="M13" s="62">
        <f>SUMIFS('0914 4度C'!$K:$K,'0914 4度C'!$A:$A,"新豐4線",'0914 4度C'!$B:$B,"平均")</f>
        <v>143.58974358974359</v>
      </c>
    </row>
    <row r="14" spans="2:17" ht="39.6" customHeight="1">
      <c r="B14" s="515"/>
      <c r="C14" s="65" t="s">
        <v>1029</v>
      </c>
      <c r="D14" s="66">
        <f>SUMIFS('0914 4度C'!$N:$N,'0914 4度C'!$A:$A,"新豐6線",'0914 4度C'!$B:$B,"平均")</f>
        <v>118.61504732810401</v>
      </c>
      <c r="E14" s="67">
        <f>SUMIFS('0914 4度C'!$N:$N,'0914 4度C'!$A:$A,"新豐2線",'0914 4度C'!$B:$B,"平均")</f>
        <v>78.689780005569503</v>
      </c>
      <c r="F14" s="67">
        <f>SUMIFS('0914 4度C'!$N:$N,'0914 4度C'!$A:$A,"新豐5線",'0914 4度C'!$B:$B,"平均")</f>
        <v>86.230523065946144</v>
      </c>
      <c r="G14" s="67">
        <f>SUMIFS('0914 4度C'!$N:$N,'0914 4度C'!$A:$A,"新豐7線",'0914 4度C'!$B:$B,"平均")</f>
        <v>111.74347147950088</v>
      </c>
      <c r="H14" s="67">
        <f>SUMIFS('0914 4度C'!$N:$N,'0914 4度C'!$A:$A,"新豐3線",'0914 4度C'!$B:$B,"平均")</f>
        <v>291.37615041060457</v>
      </c>
      <c r="I14" s="67">
        <f>SUMIFS('0914 4度C'!$N:$N,'0914 4度C'!$A:$A,"新豐1線",'0914 4度C'!$B:$B,"平均")</f>
        <v>111.42035194056223</v>
      </c>
      <c r="J14" s="68">
        <f>SUMIFS('0914 4度C'!$N:$N,'0914 4度C'!$A:$A,"新豐10線",'0914 4度C'!$B:$B,"平均")</f>
        <v>207.71525595960227</v>
      </c>
      <c r="K14" s="69">
        <f>SUMIFS('0914 4度C'!$N:$N,'0914 4度C'!$A:$A,"新豐8線",'0914 4度C'!$B:$B,"平均")</f>
        <v>129.08531980039783</v>
      </c>
      <c r="L14" s="70">
        <f>SUMIFS('0914 4度C'!$N:$N,'0914 4度C'!$A:$A,"新豐9線",'0914 4度C'!$B:$B,"平均")</f>
        <v>122.36813706707625</v>
      </c>
      <c r="M14" s="68">
        <f>SUMIFS('0914 4度C'!$N:$N,'0914 4度C'!$A:$A,"新豐4線",'0914 4度C'!$B:$B,"平均")</f>
        <v>135.84460510862701</v>
      </c>
    </row>
    <row r="15" spans="2:17" ht="40.15" customHeight="1">
      <c r="B15" s="515"/>
      <c r="C15" s="71" t="s">
        <v>1030</v>
      </c>
      <c r="D15" s="72">
        <f t="shared" ref="D15:M15" si="0">D14/D13</f>
        <v>0.94892037862483214</v>
      </c>
      <c r="E15" s="73">
        <f t="shared" si="0"/>
        <v>0.94427736006683405</v>
      </c>
      <c r="F15" s="73">
        <f t="shared" si="0"/>
        <v>0.94853575372540766</v>
      </c>
      <c r="G15" s="73">
        <f t="shared" si="0"/>
        <v>0.9498195075757575</v>
      </c>
      <c r="H15" s="73">
        <f t="shared" si="0"/>
        <v>0.94967041615308156</v>
      </c>
      <c r="I15" s="73">
        <f t="shared" si="0"/>
        <v>0.94949517305870412</v>
      </c>
      <c r="J15" s="74">
        <f t="shared" si="0"/>
        <v>0.94796224196328549</v>
      </c>
      <c r="K15" s="72">
        <f t="shared" si="0"/>
        <v>0.94797031728417158</v>
      </c>
      <c r="L15" s="73">
        <f t="shared" si="0"/>
        <v>0.94608698565748772</v>
      </c>
      <c r="M15" s="74">
        <f t="shared" si="0"/>
        <v>0.94606064272079526</v>
      </c>
    </row>
    <row r="16" spans="2:17" ht="17.25" customHeight="1">
      <c r="B16" s="502" t="s">
        <v>1031</v>
      </c>
      <c r="C16" s="245" t="s">
        <v>1032</v>
      </c>
      <c r="D16" s="76">
        <f>VLOOKUP("新豐6線",'0914 4度C'!$A:$T,19,0)</f>
        <v>0.70833333333333337</v>
      </c>
      <c r="E16" s="28">
        <f>VLOOKUP("新豐2線",'0914 4度C'!$A:$T,19,0)</f>
        <v>0.125</v>
      </c>
      <c r="F16" s="28">
        <f>VLOOKUP("新豐5線",'0914 4度C'!$A:$T,19,0)</f>
        <v>0.20833333333333334</v>
      </c>
      <c r="G16" s="28">
        <f>VLOOKUP("新豐7線",'0914 4度C'!$A:$T,19,0)</f>
        <v>0.20833333333333334</v>
      </c>
      <c r="H16" s="28">
        <f>VLOOKUP("新豐3線",'0914 4度C'!$A:$T,19,0)</f>
        <v>0.20833333333333334</v>
      </c>
      <c r="I16" s="28">
        <f>VLOOKUP("新豐1線",'0914 4度C'!$A:$T,19,0)</f>
        <v>0.25</v>
      </c>
      <c r="J16" s="77">
        <f>VLOOKUP("新豐10線",'0914 4度C'!$A:$T,19,0)</f>
        <v>0.16666666666666666</v>
      </c>
      <c r="K16" s="78">
        <f>VLOOKUP("新豐8線",'0914 4度C'!$A:$T,19,0)</f>
        <v>0.125</v>
      </c>
      <c r="L16" s="79">
        <f>VLOOKUP("新豐9線",'0914 4度C'!$A:$T,19,0)</f>
        <v>0.125</v>
      </c>
      <c r="M16" s="80">
        <f>VLOOKUP("新豐4線",'0914 4度C'!$A:$T,19,0)</f>
        <v>0.125</v>
      </c>
    </row>
    <row r="17" spans="2:13" ht="17.25" customHeight="1">
      <c r="B17" s="503"/>
      <c r="C17" s="245" t="s">
        <v>1033</v>
      </c>
      <c r="D17" s="78">
        <f>LOOKUP(2,1/(('0914 4度C'!$A:$A="新豐6線")*('0914 4度C'!$T:$T&lt;&gt;"")),'0914 4度C'!$T:$T)</f>
        <v>0.84583333333333344</v>
      </c>
      <c r="E17" s="28">
        <f>LOOKUP(2,1/(('0914 4度C'!$A:$A="新豐2線")*('0914 4度C'!$T:$T&lt;&gt;"")),'0914 4度C'!$T:$T)</f>
        <v>0.52083333333333326</v>
      </c>
      <c r="F17" s="28">
        <f>LOOKUP(2,1/(('0914 4度C'!$A:$A="新豐5線")*('0914 4度C'!$T:$T&lt;&gt;"")),'0914 4度C'!$T:$T)</f>
        <v>0.86250000000000004</v>
      </c>
      <c r="G17" s="28">
        <f>LOOKUP(2,1/(('0914 4度C'!$A:$A="新豐7線")*('0914 4度C'!$T:$T&lt;&gt;"")),'0914 4度C'!$T:$T)</f>
        <v>0.78958333333333341</v>
      </c>
      <c r="H17" s="28">
        <f>LOOKUP(2,1/(('0914 4度C'!$A:$A="新豐3線")*('0914 4度C'!$T:$T&lt;&gt;"")),'0914 4度C'!$T:$T)</f>
        <v>0.6597222222222221</v>
      </c>
      <c r="I17" s="28">
        <f>LOOKUP(2,1/(('0914 4度C'!$A:$A="新豐1線")*('0914 4度C'!$T:$T&lt;&gt;"")),'0914 4度C'!$T:$T)</f>
        <v>0.86249999999999993</v>
      </c>
      <c r="J17" s="77">
        <f>LOOKUP(2,1/(('0914 4度C'!$A:$A="新豐10線")*('0914 4度C'!$T:$T&lt;&gt;"")),'0914 4度C'!$T:$T)</f>
        <v>0.46874999999999994</v>
      </c>
      <c r="K17" s="76">
        <f>LOOKUP(2,1/(('0914 4度C'!$A:$A="新豐8線")*('0914 4度C'!$T:$T&lt;&gt;"")),'0914 4度C'!$T:$T)</f>
        <v>0.75694444444444431</v>
      </c>
      <c r="L17" s="28">
        <f>LOOKUP(2,1/(('0914 4度C'!$A:$A="新豐9線")*('0914 4度C'!$T:$T&lt;&gt;"")),'0914 4度C'!$T:$T)</f>
        <v>0.74236111111111103</v>
      </c>
      <c r="M17" s="77">
        <f>LOOKUP(2,1/(('0914 4度C'!$A:$A="新豐4線")*('0914 4度C'!$T:$T&lt;&gt;"")),'0914 4度C'!$T:$T)</f>
        <v>0.7451388888888888</v>
      </c>
    </row>
    <row r="18" spans="2:13" ht="17.25" customHeight="1">
      <c r="B18" s="503" t="s">
        <v>1034</v>
      </c>
      <c r="C18" s="514"/>
      <c r="D18" s="81">
        <f>SUMIFS('0914 4度C'!$I:$I,'0914 4度C'!$A:$A,"新豐6線",'0914 4度C'!$B:$B,"平均")</f>
        <v>16</v>
      </c>
      <c r="E18" s="82">
        <f>SUMIFS('0914 4度C'!$I:$I,'0914 4度C'!$A:$A,"新豐2線",'0914 4度C'!$B:$B,"平均")</f>
        <v>18</v>
      </c>
      <c r="F18" s="82">
        <f>SUMIFS('0914 4度C'!$I:$I,'0914 4度C'!$A:$A,"新豐5線",'0914 4度C'!$B:$B,"平均")</f>
        <v>19.25</v>
      </c>
      <c r="G18" s="82">
        <f>SUMIFS('0914 4度C'!$I:$I,'0914 4度C'!$A:$A,"新豐7線",'0914 4度C'!$B:$B,"平均")</f>
        <v>17</v>
      </c>
      <c r="H18" s="82">
        <f>SUMIFS('0914 4度C'!$I:$I,'0914 4度C'!$A:$A,"新豐3線",'0914 4度C'!$B:$B,"平均")</f>
        <v>9.7777777777777786</v>
      </c>
      <c r="I18" s="82">
        <f>SUMIFS('0914 4度C'!$I:$I,'0914 4度C'!$A:$A,"新豐1線",'0914 4度C'!$B:$B,"平均")</f>
        <v>16.333333333333332</v>
      </c>
      <c r="J18" s="83">
        <f>SUMIFS('0914 4度C'!$I:$I,'0914 4度C'!$A:$A,"新豐10線",'0914 4度C'!$B:$B,"平均")</f>
        <v>11.333333333333334</v>
      </c>
      <c r="K18" s="81">
        <f>SUMIFS('0914 4度C'!$I:$I,'0914 4度C'!$A:$A,"新豐8線",'0914 4度C'!$B:$B,"平均")</f>
        <v>17.625</v>
      </c>
      <c r="L18" s="82">
        <f>SUMIFS('0914 4度C'!$I:$I,'0914 4度C'!$A:$A,"新豐9線",'0914 4度C'!$B:$B,"平均")</f>
        <v>18.555555555555557</v>
      </c>
      <c r="M18" s="83">
        <f>SUMIFS('0914 4度C'!$I:$I,'0914 4度C'!$A:$A,"新豐4線",'0914 4度C'!$B:$B,"平均")</f>
        <v>16.714285714285715</v>
      </c>
    </row>
    <row r="19" spans="2:13" ht="17.25" customHeight="1">
      <c r="B19" s="510" t="s">
        <v>1035</v>
      </c>
      <c r="C19" s="511"/>
      <c r="D19" s="84" t="s">
        <v>148</v>
      </c>
      <c r="E19" s="85" t="s">
        <v>149</v>
      </c>
      <c r="F19" s="85" t="s">
        <v>1036</v>
      </c>
      <c r="G19" s="85" t="s">
        <v>1036</v>
      </c>
      <c r="H19" s="85" t="s">
        <v>151</v>
      </c>
      <c r="I19" s="85" t="s">
        <v>148</v>
      </c>
      <c r="J19" s="86" t="s">
        <v>151</v>
      </c>
      <c r="K19" s="84" t="s">
        <v>1037</v>
      </c>
      <c r="L19" s="85" t="s">
        <v>1038</v>
      </c>
      <c r="M19" s="86" t="s">
        <v>1038</v>
      </c>
    </row>
    <row r="20" spans="2:13" ht="17.25" customHeight="1">
      <c r="B20" s="510" t="s">
        <v>1039</v>
      </c>
      <c r="C20" s="511"/>
      <c r="D20" s="84"/>
      <c r="E20" s="85"/>
      <c r="F20" s="85" t="s">
        <v>1040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1041</v>
      </c>
      <c r="C21" s="513"/>
      <c r="D21" s="87"/>
      <c r="E21" s="88" t="s">
        <v>1042</v>
      </c>
      <c r="F21" s="387" t="s">
        <v>1043</v>
      </c>
      <c r="G21" s="388"/>
      <c r="H21" s="88" t="s">
        <v>1044</v>
      </c>
      <c r="I21" s="88" t="s">
        <v>1045</v>
      </c>
      <c r="J21" s="89" t="s">
        <v>1044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7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pageSetUpPr fitToPage="1"/>
  </sheetPr>
  <dimension ref="A1:AC73"/>
  <sheetViews>
    <sheetView zoomScale="80" zoomScaleNormal="80" workbookViewId="0">
      <pane ySplit="4" topLeftCell="A50" activePane="bottomLeft" state="frozen"/>
      <selection activeCell="M25" sqref="M2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752</v>
      </c>
      <c r="B1" s="1"/>
      <c r="C1" s="2" t="s">
        <v>1046</v>
      </c>
      <c r="D1" s="3">
        <f>SUM(F5:F72)</f>
        <v>186761</v>
      </c>
      <c r="E1" s="247" t="s">
        <v>1047</v>
      </c>
      <c r="F1" s="1">
        <f>SUM(G5:G72)</f>
        <v>6253868.8200000003</v>
      </c>
      <c r="G1" s="1" t="s">
        <v>1048</v>
      </c>
      <c r="H1" s="106">
        <f>L8+L11+L50+L57+L16+L64+L30+L40+L21+L72</f>
        <v>160.58928571428572</v>
      </c>
      <c r="I1" s="482" t="s">
        <v>1049</v>
      </c>
      <c r="J1" s="482"/>
      <c r="K1" s="482"/>
      <c r="L1" s="482" t="s">
        <v>1050</v>
      </c>
      <c r="M1" s="482"/>
      <c r="N1" s="482"/>
      <c r="O1" s="482" t="s">
        <v>1051</v>
      </c>
      <c r="P1" s="482"/>
      <c r="Q1" s="482"/>
      <c r="R1" s="482"/>
      <c r="S1" s="482" t="s">
        <v>1052</v>
      </c>
      <c r="T1" s="482"/>
      <c r="U1" s="482"/>
      <c r="V1" s="482"/>
      <c r="W1" s="482"/>
      <c r="X1" s="482"/>
      <c r="Y1" s="482" t="s">
        <v>1053</v>
      </c>
      <c r="Z1" s="482"/>
      <c r="AA1" s="482" t="s">
        <v>1054</v>
      </c>
      <c r="AB1" s="483"/>
      <c r="AC1" s="483"/>
    </row>
    <row r="2" spans="1:29" ht="26.25" customHeight="1">
      <c r="A2" s="24">
        <v>45914</v>
      </c>
      <c r="B2" s="25" t="s">
        <v>541</v>
      </c>
      <c r="C2" s="2" t="s">
        <v>786</v>
      </c>
      <c r="D2" s="6">
        <f>AVERAGE(N8,N11,N50,N57,N16,N64,N21,N30,N40,N72)</f>
        <v>139.30886421659906</v>
      </c>
      <c r="E2" s="7" t="s">
        <v>11</v>
      </c>
      <c r="F2" s="8">
        <f>F1/D1</f>
        <v>33.485946316415102</v>
      </c>
      <c r="G2" s="1" t="s">
        <v>1055</v>
      </c>
      <c r="H2" s="257">
        <f>COUNT(H5:H72)</f>
        <v>10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1056</v>
      </c>
      <c r="B3" s="443" t="s">
        <v>1057</v>
      </c>
      <c r="C3" s="443" t="s">
        <v>1058</v>
      </c>
      <c r="D3" s="443"/>
      <c r="E3" s="484" t="s">
        <v>907</v>
      </c>
      <c r="F3" s="443" t="s">
        <v>1059</v>
      </c>
      <c r="G3" s="484" t="s">
        <v>1060</v>
      </c>
      <c r="H3" s="476" t="s">
        <v>1061</v>
      </c>
      <c r="I3" s="474" t="s">
        <v>1062</v>
      </c>
      <c r="J3" s="479" t="s">
        <v>1063</v>
      </c>
      <c r="K3" s="481" t="s">
        <v>786</v>
      </c>
      <c r="L3" s="474" t="s">
        <v>1062</v>
      </c>
      <c r="M3" s="479" t="s">
        <v>1063</v>
      </c>
      <c r="N3" s="481" t="s">
        <v>786</v>
      </c>
      <c r="O3" s="474" t="s">
        <v>1062</v>
      </c>
      <c r="P3" s="481" t="s">
        <v>786</v>
      </c>
      <c r="Q3" s="480" t="s">
        <v>1064</v>
      </c>
      <c r="R3" s="451" t="s">
        <v>275</v>
      </c>
      <c r="S3" s="486" t="s">
        <v>25</v>
      </c>
      <c r="T3" s="486"/>
      <c r="U3" s="476" t="s">
        <v>26</v>
      </c>
      <c r="V3" s="476" t="s">
        <v>1065</v>
      </c>
      <c r="W3" s="443" t="s">
        <v>1066</v>
      </c>
      <c r="X3" s="443"/>
      <c r="Y3" s="477" t="s">
        <v>1067</v>
      </c>
      <c r="Z3" s="478"/>
      <c r="AA3" s="479" t="s">
        <v>1068</v>
      </c>
      <c r="AB3" s="480" t="s">
        <v>1064</v>
      </c>
      <c r="AC3" s="451" t="s">
        <v>1069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58" t="s">
        <v>31</v>
      </c>
      <c r="T4" s="258" t="s">
        <v>32</v>
      </c>
      <c r="U4" s="476"/>
      <c r="V4" s="476"/>
      <c r="W4" s="247" t="s">
        <v>1070</v>
      </c>
      <c r="X4" s="247" t="s">
        <v>1071</v>
      </c>
      <c r="Y4" s="478"/>
      <c r="Z4" s="478"/>
      <c r="AA4" s="479"/>
      <c r="AB4" s="480"/>
      <c r="AC4" s="451"/>
    </row>
    <row r="5" spans="1:29">
      <c r="A5" s="473" t="s">
        <v>1072</v>
      </c>
      <c r="B5" s="31" t="s">
        <v>58</v>
      </c>
      <c r="C5" s="475" t="s">
        <v>104</v>
      </c>
      <c r="D5" s="475"/>
      <c r="E5" s="31">
        <v>46.93</v>
      </c>
      <c r="F5" s="258">
        <v>1087</v>
      </c>
      <c r="G5" s="247">
        <f>E5*F5</f>
        <v>51012.909999999996</v>
      </c>
      <c r="H5" s="259" t="s">
        <v>103</v>
      </c>
      <c r="I5" s="255">
        <v>16</v>
      </c>
      <c r="J5" s="26">
        <v>2000</v>
      </c>
      <c r="K5" s="10">
        <f>J5/I5</f>
        <v>125</v>
      </c>
      <c r="L5" s="255">
        <v>16</v>
      </c>
      <c r="M5" s="11">
        <f>F5/V5*60</f>
        <v>1918.2352941176446</v>
      </c>
      <c r="N5" s="10">
        <f>M5/L5</f>
        <v>119.88970588235279</v>
      </c>
      <c r="O5" s="12">
        <f t="shared" ref="O5:O7" si="0">L5-I5</f>
        <v>0</v>
      </c>
      <c r="P5" s="13">
        <f t="shared" ref="P5:P7" si="1">N5-K5</f>
        <v>-5.1102941176472143</v>
      </c>
      <c r="Q5" s="249">
        <f>N5/K5</f>
        <v>0.9591176470588223</v>
      </c>
      <c r="R5" s="442">
        <f>Q8</f>
        <v>0.94892037862483214</v>
      </c>
      <c r="S5" s="28">
        <v>0.70833333333333337</v>
      </c>
      <c r="T5" s="28">
        <v>0.73194444444444451</v>
      </c>
      <c r="U5" s="247"/>
      <c r="V5" s="256">
        <f>(T5-S5)*24*60</f>
        <v>34.000000000000043</v>
      </c>
      <c r="W5" s="16"/>
      <c r="X5" s="17"/>
      <c r="Y5" s="443"/>
      <c r="Z5" s="443"/>
      <c r="AA5" s="12">
        <f t="shared" ref="AA5:AA68" si="2">M5-J5</f>
        <v>-81.764705882355429</v>
      </c>
      <c r="AB5" s="249">
        <f t="shared" ref="AB5:AB7" si="3">M5/J5</f>
        <v>0.9591176470588223</v>
      </c>
      <c r="AC5" s="442">
        <f>AB8</f>
        <v>0.94892037862483214</v>
      </c>
    </row>
    <row r="6" spans="1:29">
      <c r="A6" s="474" t="s">
        <v>1073</v>
      </c>
      <c r="B6" s="31" t="s">
        <v>58</v>
      </c>
      <c r="C6" s="475" t="s">
        <v>105</v>
      </c>
      <c r="D6" s="475"/>
      <c r="E6" s="31">
        <v>50.49</v>
      </c>
      <c r="F6" s="258">
        <v>2485</v>
      </c>
      <c r="G6" s="247">
        <f t="shared" ref="G6:G7" si="4">E6*F6</f>
        <v>125467.65000000001</v>
      </c>
      <c r="H6" s="259" t="s">
        <v>103</v>
      </c>
      <c r="I6" s="255">
        <v>15</v>
      </c>
      <c r="J6" s="26">
        <v>2000</v>
      </c>
      <c r="K6" s="10">
        <f t="shared" ref="K6:K7" si="5">J6/I6</f>
        <v>133.33333333333334</v>
      </c>
      <c r="L6" s="255">
        <v>15</v>
      </c>
      <c r="M6" s="11">
        <f>F6/V6*60</f>
        <v>1887.3417721518979</v>
      </c>
      <c r="N6" s="10">
        <f t="shared" ref="N6:N7" si="6">M6/L6</f>
        <v>125.82278481012652</v>
      </c>
      <c r="O6" s="12">
        <f t="shared" si="0"/>
        <v>0</v>
      </c>
      <c r="P6" s="13">
        <f t="shared" si="1"/>
        <v>-7.5105485232068219</v>
      </c>
      <c r="Q6" s="249">
        <f t="shared" ref="Q6:Q7" si="7">N6/K6</f>
        <v>0.94367088607594884</v>
      </c>
      <c r="R6" s="442"/>
      <c r="S6" s="28">
        <v>0.73541666666666672</v>
      </c>
      <c r="T6" s="28">
        <v>0.79027777777777786</v>
      </c>
      <c r="U6" s="247">
        <f>(S6-T5)*24*60</f>
        <v>4.9999999999999822</v>
      </c>
      <c r="V6" s="256">
        <f>(T6-S6)*24*60</f>
        <v>79.000000000000043</v>
      </c>
      <c r="W6" s="16"/>
      <c r="X6" s="16"/>
      <c r="Y6" s="443"/>
      <c r="Z6" s="443"/>
      <c r="AA6" s="12">
        <f t="shared" si="2"/>
        <v>-112.65822784810211</v>
      </c>
      <c r="AB6" s="249">
        <f t="shared" si="3"/>
        <v>0.94367088607594896</v>
      </c>
      <c r="AC6" s="442"/>
    </row>
    <row r="7" spans="1:29">
      <c r="A7" s="474" t="s">
        <v>1073</v>
      </c>
      <c r="B7" s="31" t="s">
        <v>58</v>
      </c>
      <c r="C7" s="471" t="s">
        <v>106</v>
      </c>
      <c r="D7" s="472"/>
      <c r="E7" s="31">
        <v>50.67</v>
      </c>
      <c r="F7" s="258">
        <v>2297</v>
      </c>
      <c r="G7" s="247">
        <f t="shared" si="4"/>
        <v>116388.99</v>
      </c>
      <c r="H7" s="259" t="s">
        <v>103</v>
      </c>
      <c r="I7" s="255">
        <v>17</v>
      </c>
      <c r="J7" s="26">
        <v>2000</v>
      </c>
      <c r="K7" s="10">
        <f t="shared" si="5"/>
        <v>117.64705882352941</v>
      </c>
      <c r="L7" s="255">
        <v>17</v>
      </c>
      <c r="M7" s="11">
        <f t="shared" ref="M7" si="8">F7/V7*60</f>
        <v>1887.9452054794506</v>
      </c>
      <c r="N7" s="10">
        <f t="shared" si="6"/>
        <v>111.05560032232063</v>
      </c>
      <c r="O7" s="12">
        <f t="shared" si="0"/>
        <v>0</v>
      </c>
      <c r="P7" s="13">
        <f t="shared" si="1"/>
        <v>-6.591458501208777</v>
      </c>
      <c r="Q7" s="249">
        <f t="shared" si="7"/>
        <v>0.94397260273972539</v>
      </c>
      <c r="R7" s="442"/>
      <c r="S7" s="28">
        <v>0.79513888888888895</v>
      </c>
      <c r="T7" s="28">
        <v>0.84583333333333344</v>
      </c>
      <c r="U7" s="247">
        <f t="shared" ref="U7" si="9">(S7-T6)*24*60</f>
        <v>6.9999999999999751</v>
      </c>
      <c r="V7" s="256">
        <f t="shared" ref="V7" si="10">(T7-S7)*24*60</f>
        <v>73.000000000000057</v>
      </c>
      <c r="W7" s="16"/>
      <c r="X7" s="16"/>
      <c r="Y7" s="447"/>
      <c r="Z7" s="448"/>
      <c r="AA7" s="12">
        <f t="shared" si="2"/>
        <v>-112.05479452054942</v>
      </c>
      <c r="AB7" s="249">
        <f t="shared" si="3"/>
        <v>0.94397260273972528</v>
      </c>
      <c r="AC7" s="442"/>
    </row>
    <row r="8" spans="1:29">
      <c r="A8" s="474" t="s">
        <v>1073</v>
      </c>
      <c r="B8" s="31" t="s">
        <v>1074</v>
      </c>
      <c r="C8" s="446"/>
      <c r="D8" s="446"/>
      <c r="E8" s="248"/>
      <c r="F8" s="33"/>
      <c r="G8" s="10"/>
      <c r="H8" s="258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1897.8407572496642</v>
      </c>
      <c r="N8" s="10">
        <f>M8/L8</f>
        <v>118.61504732810401</v>
      </c>
      <c r="O8" s="12">
        <f>L8-I8</f>
        <v>0</v>
      </c>
      <c r="P8" s="13">
        <f>N8-K8</f>
        <v>-6.3849526718959879</v>
      </c>
      <c r="Q8" s="249">
        <f>N8/K8</f>
        <v>0.94892037862483214</v>
      </c>
      <c r="R8" s="442"/>
      <c r="S8" s="28"/>
      <c r="T8" s="28"/>
      <c r="U8" s="247"/>
      <c r="V8" s="256"/>
      <c r="W8" s="10"/>
      <c r="X8" s="10"/>
      <c r="Y8" s="443"/>
      <c r="Z8" s="443"/>
      <c r="AA8" s="12">
        <f t="shared" si="2"/>
        <v>-102.15924275033581</v>
      </c>
      <c r="AB8" s="249">
        <f>M8/J8</f>
        <v>0.94892037862483214</v>
      </c>
      <c r="AC8" s="442"/>
    </row>
    <row r="9" spans="1:29" ht="15.75" customHeight="1">
      <c r="A9" s="439" t="s">
        <v>1075</v>
      </c>
      <c r="B9" s="31" t="s">
        <v>53</v>
      </c>
      <c r="C9" s="471" t="s">
        <v>107</v>
      </c>
      <c r="D9" s="472"/>
      <c r="E9" s="31">
        <v>39.619999999999997</v>
      </c>
      <c r="F9" s="258">
        <v>5376</v>
      </c>
      <c r="G9" s="247">
        <f t="shared" ref="G9:G10" si="11">E9*F9</f>
        <v>212997.12</v>
      </c>
      <c r="H9" s="259" t="s">
        <v>103</v>
      </c>
      <c r="I9" s="255">
        <v>19</v>
      </c>
      <c r="J9" s="26">
        <v>1500</v>
      </c>
      <c r="K9" s="10">
        <f t="shared" ref="K9:K10" si="12">J9/I9</f>
        <v>78.94736842105263</v>
      </c>
      <c r="L9" s="255">
        <v>19</v>
      </c>
      <c r="M9" s="11">
        <f t="shared" ref="M9:M10" si="13">F9/V9*60</f>
        <v>1414.7368421052631</v>
      </c>
      <c r="N9" s="10">
        <f t="shared" ref="N9:N10" si="14">M9/L9</f>
        <v>74.45983379501385</v>
      </c>
      <c r="O9" s="12">
        <f t="shared" ref="O9:O10" si="15">L9-I9</f>
        <v>0</v>
      </c>
      <c r="P9" s="13">
        <f>N9-K9</f>
        <v>-4.4875346260387801</v>
      </c>
      <c r="Q9" s="249">
        <f>N9/K9</f>
        <v>0.94315789473684208</v>
      </c>
      <c r="R9" s="442">
        <f>Q11</f>
        <v>0.94427736006683405</v>
      </c>
      <c r="S9" s="28">
        <v>0.125</v>
      </c>
      <c r="T9" s="28">
        <v>0.28333333333333333</v>
      </c>
      <c r="U9" s="247"/>
      <c r="V9" s="256">
        <f t="shared" ref="V9:V10" si="16">(T9-S9)*24*60</f>
        <v>228</v>
      </c>
      <c r="W9" s="16">
        <f>T9</f>
        <v>0.28333333333333333</v>
      </c>
      <c r="X9" s="16">
        <f>S10</f>
        <v>0.30208333333333331</v>
      </c>
      <c r="Y9" s="443"/>
      <c r="Z9" s="443"/>
      <c r="AA9" s="12">
        <f t="shared" si="2"/>
        <v>-85.263157894736878</v>
      </c>
      <c r="AB9" s="249">
        <f>M9/J9</f>
        <v>0.94315789473684208</v>
      </c>
      <c r="AC9" s="442">
        <f>AB11</f>
        <v>0.94427736006683394</v>
      </c>
    </row>
    <row r="10" spans="1:29" ht="15.75" customHeight="1">
      <c r="A10" s="439" t="s">
        <v>1075</v>
      </c>
      <c r="B10" s="31" t="s">
        <v>53</v>
      </c>
      <c r="C10" s="471" t="s">
        <v>54</v>
      </c>
      <c r="D10" s="472"/>
      <c r="E10" s="31">
        <v>39.799999999999997</v>
      </c>
      <c r="F10" s="258">
        <v>7445</v>
      </c>
      <c r="G10" s="247">
        <f t="shared" si="11"/>
        <v>296311</v>
      </c>
      <c r="H10" s="259" t="s">
        <v>103</v>
      </c>
      <c r="I10" s="255">
        <v>17</v>
      </c>
      <c r="J10" s="26">
        <v>1500</v>
      </c>
      <c r="K10" s="10">
        <f t="shared" si="12"/>
        <v>88.235294117647058</v>
      </c>
      <c r="L10" s="255">
        <v>17</v>
      </c>
      <c r="M10" s="11">
        <f t="shared" si="13"/>
        <v>1418.0952380952385</v>
      </c>
      <c r="N10" s="10">
        <f t="shared" si="14"/>
        <v>83.417366946778742</v>
      </c>
      <c r="O10" s="12">
        <f t="shared" si="15"/>
        <v>0</v>
      </c>
      <c r="P10" s="13">
        <f t="shared" ref="P10" si="17">N10-K10</f>
        <v>-4.817927170868316</v>
      </c>
      <c r="Q10" s="249">
        <f t="shared" ref="Q10" si="18">N10/K10</f>
        <v>0.94539682539682579</v>
      </c>
      <c r="R10" s="442"/>
      <c r="S10" s="28">
        <v>0.30208333333333331</v>
      </c>
      <c r="T10" s="28">
        <v>0.52083333333333326</v>
      </c>
      <c r="U10" s="247">
        <f>(S10-T9)*24*60</f>
        <v>26.999999999999986</v>
      </c>
      <c r="V10" s="256">
        <f t="shared" si="16"/>
        <v>314.99999999999989</v>
      </c>
      <c r="W10" s="16"/>
      <c r="X10" s="16"/>
      <c r="Y10" s="443"/>
      <c r="Z10" s="443"/>
      <c r="AA10" s="12">
        <f t="shared" si="2"/>
        <v>-81.904761904761472</v>
      </c>
      <c r="AB10" s="249">
        <f t="shared" ref="AB10:AB21" si="19">M10/J10</f>
        <v>0.94539682539682568</v>
      </c>
      <c r="AC10" s="442"/>
    </row>
    <row r="11" spans="1:29" ht="16.5" customHeight="1">
      <c r="A11" s="439" t="s">
        <v>1075</v>
      </c>
      <c r="B11" s="31" t="s">
        <v>1074</v>
      </c>
      <c r="C11" s="446"/>
      <c r="D11" s="446"/>
      <c r="E11" s="248"/>
      <c r="F11" s="26"/>
      <c r="G11" s="11"/>
      <c r="H11" s="258"/>
      <c r="I11" s="19">
        <v>18</v>
      </c>
      <c r="J11" s="26">
        <v>1500</v>
      </c>
      <c r="K11" s="10">
        <f>J11/I11</f>
        <v>83.333333333333329</v>
      </c>
      <c r="L11" s="19">
        <v>18</v>
      </c>
      <c r="M11" s="11">
        <f>AVERAGE(M9:M10)</f>
        <v>1416.4160401002509</v>
      </c>
      <c r="N11" s="10">
        <f>M11/L11</f>
        <v>78.689780005569503</v>
      </c>
      <c r="O11" s="12">
        <f>L11-I11</f>
        <v>0</v>
      </c>
      <c r="P11" s="13">
        <f>N11-K11</f>
        <v>-4.6435533277638257</v>
      </c>
      <c r="Q11" s="249">
        <f>N11/K11</f>
        <v>0.94427736006683405</v>
      </c>
      <c r="R11" s="442"/>
      <c r="S11" s="28"/>
      <c r="T11" s="28"/>
      <c r="U11" s="10"/>
      <c r="V11" s="256"/>
      <c r="W11" s="10"/>
      <c r="X11" s="10"/>
      <c r="Y11" s="443"/>
      <c r="Z11" s="443"/>
      <c r="AA11" s="12">
        <f t="shared" si="2"/>
        <v>-83.583959899749061</v>
      </c>
      <c r="AB11" s="249">
        <f t="shared" si="19"/>
        <v>0.94427736006683394</v>
      </c>
      <c r="AC11" s="442"/>
    </row>
    <row r="12" spans="1:29" ht="16.5" customHeight="1">
      <c r="A12" s="469" t="s">
        <v>1076</v>
      </c>
      <c r="B12" s="258" t="s">
        <v>56</v>
      </c>
      <c r="C12" s="464" t="s">
        <v>57</v>
      </c>
      <c r="D12" s="464"/>
      <c r="E12" s="31">
        <v>41</v>
      </c>
      <c r="F12" s="258">
        <v>2023</v>
      </c>
      <c r="G12" s="247">
        <f t="shared" ref="G12:G15" si="20">E12*F12</f>
        <v>82943</v>
      </c>
      <c r="H12" s="259" t="s">
        <v>103</v>
      </c>
      <c r="I12" s="255">
        <v>26</v>
      </c>
      <c r="J12" s="26">
        <v>1500</v>
      </c>
      <c r="K12" s="10">
        <f>J12/I12</f>
        <v>57.692307692307693</v>
      </c>
      <c r="L12" s="255">
        <v>26</v>
      </c>
      <c r="M12" s="11">
        <f>F12/V12*60</f>
        <v>1428.0000000000005</v>
      </c>
      <c r="N12" s="10">
        <f t="shared" ref="N12:N20" si="21">M12/L12</f>
        <v>54.923076923076941</v>
      </c>
      <c r="O12" s="12">
        <f t="shared" ref="O12" si="22">L12-I12</f>
        <v>0</v>
      </c>
      <c r="P12" s="13">
        <f t="shared" ref="P12" si="23">N12-K12</f>
        <v>-2.7692307692307523</v>
      </c>
      <c r="Q12" s="249">
        <f>N12/K12</f>
        <v>0.95200000000000029</v>
      </c>
      <c r="R12" s="442">
        <f>Q16</f>
        <v>0.94853575372540766</v>
      </c>
      <c r="S12" s="28">
        <v>0.20833333333333334</v>
      </c>
      <c r="T12" s="28">
        <v>0.2673611111111111</v>
      </c>
      <c r="U12" s="247"/>
      <c r="V12" s="256">
        <f>(T12-S12)*24*60</f>
        <v>84.999999999999972</v>
      </c>
      <c r="W12" s="18"/>
      <c r="X12" s="18"/>
      <c r="Y12" s="443"/>
      <c r="Z12" s="443"/>
      <c r="AA12" s="12">
        <f t="shared" si="2"/>
        <v>-71.999999999999545</v>
      </c>
      <c r="AB12" s="249">
        <f t="shared" si="19"/>
        <v>0.95200000000000029</v>
      </c>
      <c r="AC12" s="442">
        <f>AB16</f>
        <v>0.94853575372540766</v>
      </c>
    </row>
    <row r="13" spans="1:29" ht="16.5" customHeight="1">
      <c r="A13" s="470" t="s">
        <v>1076</v>
      </c>
      <c r="B13" s="258" t="s">
        <v>53</v>
      </c>
      <c r="C13" s="464" t="s">
        <v>163</v>
      </c>
      <c r="D13" s="464"/>
      <c r="E13" s="31">
        <v>39.36</v>
      </c>
      <c r="F13" s="258">
        <v>4988</v>
      </c>
      <c r="G13" s="247">
        <f t="shared" si="20"/>
        <v>196327.67999999999</v>
      </c>
      <c r="H13" s="259" t="s">
        <v>103</v>
      </c>
      <c r="I13" s="255">
        <v>20</v>
      </c>
      <c r="J13" s="26">
        <v>1500</v>
      </c>
      <c r="K13" s="10">
        <f>J13/I13</f>
        <v>75</v>
      </c>
      <c r="L13" s="255">
        <v>20</v>
      </c>
      <c r="M13" s="11">
        <f>F13/V13*60</f>
        <v>1418.3886255924172</v>
      </c>
      <c r="N13" s="10">
        <f t="shared" si="21"/>
        <v>70.919431279620852</v>
      </c>
      <c r="O13" s="12">
        <f>L13-I13</f>
        <v>0</v>
      </c>
      <c r="P13" s="13">
        <f>N13-K13</f>
        <v>-4.0805687203791479</v>
      </c>
      <c r="Q13" s="249">
        <f>N13/K13</f>
        <v>0.94559241706161135</v>
      </c>
      <c r="R13" s="442"/>
      <c r="S13" s="28">
        <v>0.27083333333333331</v>
      </c>
      <c r="T13" s="28">
        <v>0.41736111111111107</v>
      </c>
      <c r="U13" s="247">
        <f>IF(S13=TIME(17,0,0),"",(S13-T12)*24*60)</f>
        <v>4.9999999999999822</v>
      </c>
      <c r="V13" s="256">
        <f>(T13-S13)*24*60</f>
        <v>210.99999999999997</v>
      </c>
      <c r="W13" s="16"/>
      <c r="X13" s="16"/>
      <c r="Y13" s="443"/>
      <c r="Z13" s="443"/>
      <c r="AA13" s="12">
        <f t="shared" si="2"/>
        <v>-81.611374407582844</v>
      </c>
      <c r="AB13" s="249">
        <f t="shared" si="19"/>
        <v>0.94559241706161146</v>
      </c>
      <c r="AC13" s="442"/>
    </row>
    <row r="14" spans="1:29" ht="16.5" customHeight="1">
      <c r="A14" s="470" t="s">
        <v>1076</v>
      </c>
      <c r="B14" s="258" t="s">
        <v>58</v>
      </c>
      <c r="C14" s="464" t="s">
        <v>59</v>
      </c>
      <c r="D14" s="464"/>
      <c r="E14" s="31">
        <v>50.98</v>
      </c>
      <c r="F14" s="258">
        <v>3261</v>
      </c>
      <c r="G14" s="247">
        <f t="shared" si="20"/>
        <v>166245.78</v>
      </c>
      <c r="H14" s="259" t="s">
        <v>103</v>
      </c>
      <c r="I14" s="255">
        <v>16</v>
      </c>
      <c r="J14" s="26">
        <v>2000</v>
      </c>
      <c r="K14" s="10">
        <f t="shared" ref="K14:K15" si="24">J14/I14</f>
        <v>125</v>
      </c>
      <c r="L14" s="255">
        <v>16</v>
      </c>
      <c r="M14" s="11">
        <f t="shared" ref="M14:M15" si="25">F14/V14*60</f>
        <v>1899.6116504854376</v>
      </c>
      <c r="N14" s="10">
        <f t="shared" si="21"/>
        <v>118.72572815533985</v>
      </c>
      <c r="O14" s="12">
        <f t="shared" ref="O14:O15" si="26">L14-I14</f>
        <v>0</v>
      </c>
      <c r="P14" s="13">
        <f t="shared" ref="P14:P15" si="27">N14-K14</f>
        <v>-6.2742718446601486</v>
      </c>
      <c r="Q14" s="249">
        <f t="shared" ref="Q14:Q20" si="28">N14/K14</f>
        <v>0.94980582524271884</v>
      </c>
      <c r="R14" s="442"/>
      <c r="S14" s="28">
        <v>0.70833333333333337</v>
      </c>
      <c r="T14" s="28">
        <v>0.77986111111111112</v>
      </c>
      <c r="U14" s="247" t="str">
        <f t="shared" ref="U14:U15" si="29">IF(S14=TIME(17,0,0),"",(S14-T13)*24*60)</f>
        <v/>
      </c>
      <c r="V14" s="256">
        <f t="shared" ref="V14:V15" si="30">(T14-S14)*24*60</f>
        <v>102.99999999999996</v>
      </c>
      <c r="W14" s="16"/>
      <c r="X14" s="16"/>
      <c r="Y14" s="443"/>
      <c r="Z14" s="443"/>
      <c r="AA14" s="12">
        <f t="shared" si="2"/>
        <v>-100.38834951456238</v>
      </c>
      <c r="AB14" s="249">
        <f t="shared" si="19"/>
        <v>0.94980582524271884</v>
      </c>
      <c r="AC14" s="442"/>
    </row>
    <row r="15" spans="1:29" ht="16.5" customHeight="1">
      <c r="A15" s="470" t="s">
        <v>1076</v>
      </c>
      <c r="B15" s="258" t="s">
        <v>58</v>
      </c>
      <c r="C15" s="464" t="s">
        <v>60</v>
      </c>
      <c r="D15" s="464"/>
      <c r="E15" s="31">
        <v>50.92</v>
      </c>
      <c r="F15" s="258">
        <v>3535</v>
      </c>
      <c r="G15" s="247">
        <f t="shared" si="20"/>
        <v>180002.2</v>
      </c>
      <c r="H15" s="259" t="s">
        <v>103</v>
      </c>
      <c r="I15" s="255">
        <v>15</v>
      </c>
      <c r="J15" s="26">
        <v>2000</v>
      </c>
      <c r="K15" s="10">
        <f t="shared" si="24"/>
        <v>133.33333333333334</v>
      </c>
      <c r="L15" s="255">
        <v>15</v>
      </c>
      <c r="M15" s="11">
        <f t="shared" si="25"/>
        <v>1893.7499999999984</v>
      </c>
      <c r="N15" s="10">
        <f t="shared" si="21"/>
        <v>126.2499999999999</v>
      </c>
      <c r="O15" s="12">
        <f t="shared" si="26"/>
        <v>0</v>
      </c>
      <c r="P15" s="13">
        <f t="shared" si="27"/>
        <v>-7.0833333333334423</v>
      </c>
      <c r="Q15" s="249">
        <f t="shared" si="28"/>
        <v>0.94687499999999913</v>
      </c>
      <c r="R15" s="442"/>
      <c r="S15" s="28">
        <v>0.78472222222222221</v>
      </c>
      <c r="T15" s="28">
        <v>0.86250000000000004</v>
      </c>
      <c r="U15" s="247">
        <f t="shared" si="29"/>
        <v>6.9999999999999751</v>
      </c>
      <c r="V15" s="256">
        <f t="shared" si="30"/>
        <v>112.00000000000009</v>
      </c>
      <c r="W15" s="16"/>
      <c r="X15" s="16"/>
      <c r="Y15" s="443"/>
      <c r="Z15" s="443"/>
      <c r="AA15" s="12">
        <f t="shared" si="2"/>
        <v>-106.25000000000159</v>
      </c>
      <c r="AB15" s="249">
        <f t="shared" si="19"/>
        <v>0.94687499999999925</v>
      </c>
      <c r="AC15" s="442"/>
    </row>
    <row r="16" spans="1:29" ht="16.5" customHeight="1">
      <c r="A16" s="470" t="s">
        <v>1076</v>
      </c>
      <c r="B16" s="31" t="s">
        <v>1074</v>
      </c>
      <c r="C16" s="446"/>
      <c r="D16" s="446"/>
      <c r="E16" s="248"/>
      <c r="F16" s="33"/>
      <c r="G16" s="10"/>
      <c r="H16" s="258"/>
      <c r="I16" s="19">
        <v>19.25</v>
      </c>
      <c r="J16" s="26">
        <v>1750</v>
      </c>
      <c r="K16" s="10">
        <f>J16/I16</f>
        <v>90.909090909090907</v>
      </c>
      <c r="L16" s="19">
        <v>19.25</v>
      </c>
      <c r="M16" s="11">
        <f>AVERAGE(M12:M15)</f>
        <v>1659.9375690194634</v>
      </c>
      <c r="N16" s="10">
        <f t="shared" si="21"/>
        <v>86.230523065946144</v>
      </c>
      <c r="O16" s="12">
        <f>L16-I16</f>
        <v>0</v>
      </c>
      <c r="P16" s="13">
        <f>N16-K16</f>
        <v>-4.6785678431447622</v>
      </c>
      <c r="Q16" s="249">
        <f t="shared" si="28"/>
        <v>0.94853575372540766</v>
      </c>
      <c r="R16" s="442"/>
      <c r="S16" s="28"/>
      <c r="T16" s="28"/>
      <c r="U16" s="247"/>
      <c r="V16" s="256"/>
      <c r="W16" s="10"/>
      <c r="X16" s="10"/>
      <c r="Y16" s="443"/>
      <c r="Z16" s="443"/>
      <c r="AA16" s="12">
        <f t="shared" si="2"/>
        <v>-90.062430980536647</v>
      </c>
      <c r="AB16" s="249">
        <f t="shared" si="19"/>
        <v>0.94853575372540766</v>
      </c>
      <c r="AC16" s="442"/>
    </row>
    <row r="17" spans="1:29" ht="15.75" customHeight="1">
      <c r="A17" s="467" t="s">
        <v>492</v>
      </c>
      <c r="B17" s="31" t="s">
        <v>56</v>
      </c>
      <c r="C17" s="464" t="s">
        <v>61</v>
      </c>
      <c r="D17" s="464"/>
      <c r="E17" s="31">
        <v>43.14</v>
      </c>
      <c r="F17" s="258">
        <v>1523</v>
      </c>
      <c r="G17" s="247">
        <f t="shared" ref="G17:G20" si="31">E17*F17</f>
        <v>65702.22</v>
      </c>
      <c r="H17" s="259" t="s">
        <v>103</v>
      </c>
      <c r="I17" s="255">
        <v>17</v>
      </c>
      <c r="J17" s="26">
        <v>2000</v>
      </c>
      <c r="K17" s="10">
        <f t="shared" ref="K17:K21" si="32">J17/I17</f>
        <v>117.64705882352941</v>
      </c>
      <c r="L17" s="255">
        <v>17</v>
      </c>
      <c r="M17" s="11">
        <f t="shared" ref="M17:M20" si="33">F17/V17*60</f>
        <v>1903.7500000000005</v>
      </c>
      <c r="N17" s="10">
        <f t="shared" si="21"/>
        <v>111.98529411764709</v>
      </c>
      <c r="O17" s="12">
        <f t="shared" ref="O17:O20" si="34">L17-I17</f>
        <v>0</v>
      </c>
      <c r="P17" s="13">
        <f t="shared" ref="P17:P20" si="35">N17-K17</f>
        <v>-5.6617647058823195</v>
      </c>
      <c r="Q17" s="249">
        <f t="shared" si="28"/>
        <v>0.95187500000000025</v>
      </c>
      <c r="R17" s="442">
        <f>Q21</f>
        <v>0.9498195075757575</v>
      </c>
      <c r="S17" s="28">
        <v>0.20833333333333334</v>
      </c>
      <c r="T17" s="28">
        <v>0.24166666666666667</v>
      </c>
      <c r="U17" s="247"/>
      <c r="V17" s="256">
        <f>(T17-S17)*24*60</f>
        <v>47.999999999999986</v>
      </c>
      <c r="W17" s="18"/>
      <c r="X17" s="18"/>
      <c r="Y17" s="443"/>
      <c r="Z17" s="443"/>
      <c r="AA17" s="12">
        <f t="shared" si="2"/>
        <v>-96.249999999999545</v>
      </c>
      <c r="AB17" s="249">
        <f t="shared" si="19"/>
        <v>0.95187500000000025</v>
      </c>
      <c r="AC17" s="442">
        <f>AB21</f>
        <v>0.9498195075757575</v>
      </c>
    </row>
    <row r="18" spans="1:29" ht="15.75" customHeight="1">
      <c r="A18" s="468" t="s">
        <v>492</v>
      </c>
      <c r="B18" s="31" t="s">
        <v>58</v>
      </c>
      <c r="C18" s="464" t="s">
        <v>62</v>
      </c>
      <c r="D18" s="464"/>
      <c r="E18" s="31">
        <v>57.73</v>
      </c>
      <c r="F18" s="258">
        <v>3157</v>
      </c>
      <c r="G18" s="247">
        <f t="shared" si="31"/>
        <v>182253.61</v>
      </c>
      <c r="H18" s="259" t="s">
        <v>103</v>
      </c>
      <c r="I18" s="255">
        <v>15</v>
      </c>
      <c r="J18" s="26">
        <v>2000</v>
      </c>
      <c r="K18" s="10">
        <f t="shared" si="32"/>
        <v>133.33333333333334</v>
      </c>
      <c r="L18" s="255">
        <v>15</v>
      </c>
      <c r="M18" s="11">
        <f t="shared" si="33"/>
        <v>1894.2000000000005</v>
      </c>
      <c r="N18" s="10">
        <f t="shared" si="21"/>
        <v>126.28000000000003</v>
      </c>
      <c r="O18" s="12">
        <f t="shared" si="34"/>
        <v>0</v>
      </c>
      <c r="P18" s="13">
        <f t="shared" si="35"/>
        <v>-7.0533333333333132</v>
      </c>
      <c r="Q18" s="249">
        <f t="shared" si="28"/>
        <v>0.94710000000000016</v>
      </c>
      <c r="R18" s="442"/>
      <c r="S18" s="28">
        <v>0.24652777777777779</v>
      </c>
      <c r="T18" s="28">
        <v>0.31597222222222221</v>
      </c>
      <c r="U18" s="247">
        <f>IF(S18=TIME(17,0,0),"",(S18-T17)*24*60)</f>
        <v>7.0000000000000151</v>
      </c>
      <c r="V18" s="256">
        <f t="shared" ref="V18:V20" si="36">(T18-S18)*24*60</f>
        <v>99.999999999999972</v>
      </c>
      <c r="W18" s="16"/>
      <c r="X18" s="247"/>
      <c r="Y18" s="443"/>
      <c r="Z18" s="443"/>
      <c r="AA18" s="12">
        <f t="shared" si="2"/>
        <v>-105.7999999999995</v>
      </c>
      <c r="AB18" s="249">
        <f t="shared" si="19"/>
        <v>0.94710000000000027</v>
      </c>
      <c r="AC18" s="442"/>
    </row>
    <row r="19" spans="1:29" ht="15.75" customHeight="1">
      <c r="A19" s="468" t="s">
        <v>492</v>
      </c>
      <c r="B19" s="31" t="s">
        <v>58</v>
      </c>
      <c r="C19" s="464" t="s">
        <v>63</v>
      </c>
      <c r="D19" s="464"/>
      <c r="E19" s="31">
        <v>53.68</v>
      </c>
      <c r="F19" s="258">
        <v>2098</v>
      </c>
      <c r="G19" s="247">
        <f t="shared" si="31"/>
        <v>112620.64</v>
      </c>
      <c r="H19" s="259" t="s">
        <v>103</v>
      </c>
      <c r="I19" s="255">
        <v>16</v>
      </c>
      <c r="J19" s="26">
        <v>2000</v>
      </c>
      <c r="K19" s="10">
        <f t="shared" si="32"/>
        <v>125</v>
      </c>
      <c r="L19" s="255">
        <v>16</v>
      </c>
      <c r="M19" s="11">
        <f t="shared" si="33"/>
        <v>1907.2727272727273</v>
      </c>
      <c r="N19" s="10">
        <f t="shared" si="21"/>
        <v>119.20454545454545</v>
      </c>
      <c r="O19" s="12">
        <f t="shared" si="34"/>
        <v>0</v>
      </c>
      <c r="P19" s="13">
        <f t="shared" si="35"/>
        <v>-5.7954545454545467</v>
      </c>
      <c r="Q19" s="249">
        <f t="shared" si="28"/>
        <v>0.95363636363636362</v>
      </c>
      <c r="R19" s="442"/>
      <c r="S19" s="28">
        <v>0.31944444444444442</v>
      </c>
      <c r="T19" s="28">
        <v>0.36527777777777776</v>
      </c>
      <c r="U19" s="247">
        <f t="shared" ref="U19:U20" si="37">IF(S19=TIME(17,0,0),"",(S19-T18)*24*60)</f>
        <v>4.9999999999999822</v>
      </c>
      <c r="V19" s="256">
        <f t="shared" si="36"/>
        <v>66</v>
      </c>
      <c r="W19" s="16"/>
      <c r="X19" s="247"/>
      <c r="Y19" s="443"/>
      <c r="Z19" s="443"/>
      <c r="AA19" s="12">
        <f t="shared" si="2"/>
        <v>-92.727272727272748</v>
      </c>
      <c r="AB19" s="249">
        <f t="shared" si="19"/>
        <v>0.95363636363636362</v>
      </c>
      <c r="AC19" s="442"/>
    </row>
    <row r="20" spans="1:29" ht="15.75" customHeight="1">
      <c r="A20" s="468" t="s">
        <v>492</v>
      </c>
      <c r="B20" s="31" t="s">
        <v>58</v>
      </c>
      <c r="C20" s="464" t="s">
        <v>65</v>
      </c>
      <c r="D20" s="464"/>
      <c r="E20" s="31">
        <v>54.09</v>
      </c>
      <c r="F20" s="258">
        <v>3692</v>
      </c>
      <c r="G20" s="247">
        <f t="shared" si="31"/>
        <v>199700.28</v>
      </c>
      <c r="H20" s="259" t="s">
        <v>103</v>
      </c>
      <c r="I20" s="255">
        <v>19</v>
      </c>
      <c r="J20" s="26">
        <v>2000</v>
      </c>
      <c r="K20" s="10">
        <f t="shared" si="32"/>
        <v>105.26315789473684</v>
      </c>
      <c r="L20" s="255">
        <v>19</v>
      </c>
      <c r="M20" s="11">
        <f t="shared" si="33"/>
        <v>1893.3333333333323</v>
      </c>
      <c r="N20" s="10">
        <f t="shared" si="21"/>
        <v>99.649122807017491</v>
      </c>
      <c r="O20" s="12">
        <f t="shared" si="34"/>
        <v>0</v>
      </c>
      <c r="P20" s="13">
        <f t="shared" si="35"/>
        <v>-5.6140350877193441</v>
      </c>
      <c r="Q20" s="249">
        <f t="shared" si="28"/>
        <v>0.94666666666666621</v>
      </c>
      <c r="R20" s="442"/>
      <c r="S20" s="28">
        <v>0.70833333333333337</v>
      </c>
      <c r="T20" s="28">
        <v>0.78958333333333341</v>
      </c>
      <c r="U20" s="247" t="str">
        <f t="shared" si="37"/>
        <v/>
      </c>
      <c r="V20" s="256">
        <f t="shared" si="36"/>
        <v>117.00000000000006</v>
      </c>
      <c r="W20" s="16"/>
      <c r="X20" s="247"/>
      <c r="Y20" s="443"/>
      <c r="Z20" s="443"/>
      <c r="AA20" s="12">
        <f t="shared" si="2"/>
        <v>-106.66666666666765</v>
      </c>
      <c r="AB20" s="249">
        <f t="shared" si="19"/>
        <v>0.94666666666666621</v>
      </c>
      <c r="AC20" s="442"/>
    </row>
    <row r="21" spans="1:29" ht="15.75" customHeight="1">
      <c r="A21" s="468" t="s">
        <v>492</v>
      </c>
      <c r="B21" s="31" t="s">
        <v>1074</v>
      </c>
      <c r="C21" s="446"/>
      <c r="D21" s="446"/>
      <c r="E21" s="248"/>
      <c r="F21" s="258"/>
      <c r="G21" s="247"/>
      <c r="H21" s="258"/>
      <c r="I21" s="19">
        <v>17</v>
      </c>
      <c r="J21" s="26">
        <v>2000</v>
      </c>
      <c r="K21" s="10">
        <f t="shared" si="32"/>
        <v>117.64705882352941</v>
      </c>
      <c r="L21" s="19">
        <v>17</v>
      </c>
      <c r="M21" s="11">
        <f>AVERAGE(M17:M20)</f>
        <v>1899.639015151515</v>
      </c>
      <c r="N21" s="10">
        <f>M21/L21</f>
        <v>111.74347147950088</v>
      </c>
      <c r="O21" s="12">
        <f>L21-I21</f>
        <v>0</v>
      </c>
      <c r="P21" s="13">
        <f>N21-K21</f>
        <v>-5.9035873440285229</v>
      </c>
      <c r="Q21" s="249">
        <f>N21/K21</f>
        <v>0.9498195075757575</v>
      </c>
      <c r="R21" s="442"/>
      <c r="S21" s="28"/>
      <c r="T21" s="28"/>
      <c r="U21" s="10"/>
      <c r="V21" s="256"/>
      <c r="W21" s="10"/>
      <c r="X21" s="10"/>
      <c r="Y21" s="443"/>
      <c r="Z21" s="443"/>
      <c r="AA21" s="12">
        <f t="shared" si="2"/>
        <v>-100.36098484848503</v>
      </c>
      <c r="AB21" s="249">
        <f t="shared" si="19"/>
        <v>0.9498195075757575</v>
      </c>
      <c r="AC21" s="442"/>
    </row>
    <row r="22" spans="1:29" ht="15.75" customHeight="1">
      <c r="A22" s="463" t="s">
        <v>1077</v>
      </c>
      <c r="B22" s="31" t="s">
        <v>67</v>
      </c>
      <c r="C22" s="464" t="s">
        <v>68</v>
      </c>
      <c r="D22" s="464"/>
      <c r="E22" s="31">
        <v>26.2</v>
      </c>
      <c r="F22" s="258">
        <v>5527</v>
      </c>
      <c r="G22" s="247">
        <f t="shared" ref="G22:G29" si="38">E22*F22</f>
        <v>144807.4</v>
      </c>
      <c r="H22" s="259" t="s">
        <v>103</v>
      </c>
      <c r="I22" s="255">
        <v>20</v>
      </c>
      <c r="J22" s="26">
        <v>2400</v>
      </c>
      <c r="K22" s="10">
        <f>J22/I22</f>
        <v>120</v>
      </c>
      <c r="L22" s="255">
        <v>20</v>
      </c>
      <c r="M22" s="11">
        <f t="shared" ref="M22:M29" si="39">F22/V22*60</f>
        <v>2271.3698630136987</v>
      </c>
      <c r="N22" s="10">
        <f t="shared" ref="N22:N29" si="40">M22/L22</f>
        <v>113.56849315068493</v>
      </c>
      <c r="O22" s="12">
        <f t="shared" ref="O22:O29" si="41">L22-I22</f>
        <v>0</v>
      </c>
      <c r="P22" s="13">
        <f t="shared" ref="P22:P29" si="42">N22-K22</f>
        <v>-6.4315068493150704</v>
      </c>
      <c r="Q22" s="249">
        <f t="shared" ref="Q22:Q29" si="43">N22/K22</f>
        <v>0.94640410958904109</v>
      </c>
      <c r="R22" s="442">
        <f>Q30</f>
        <v>0.94797031728417158</v>
      </c>
      <c r="S22" s="28">
        <v>0.125</v>
      </c>
      <c r="T22" s="28">
        <v>0.22638888888888886</v>
      </c>
      <c r="U22" s="247"/>
      <c r="V22" s="256">
        <f t="shared" ref="V22:V29" si="44">(T22-S22)*24*60</f>
        <v>145.99999999999997</v>
      </c>
      <c r="W22" s="16">
        <f>T22</f>
        <v>0.22638888888888886</v>
      </c>
      <c r="X22" s="16">
        <f>S23</f>
        <v>0.2472222222222222</v>
      </c>
      <c r="Y22" s="443"/>
      <c r="Z22" s="443"/>
      <c r="AA22" s="12">
        <f t="shared" si="2"/>
        <v>-128.6301369863013</v>
      </c>
      <c r="AB22" s="249">
        <f>M22/J22</f>
        <v>0.94640410958904109</v>
      </c>
      <c r="AC22" s="442">
        <f>AB30</f>
        <v>0.94797031728417158</v>
      </c>
    </row>
    <row r="23" spans="1:29" ht="15.75" customHeight="1">
      <c r="A23" s="463" t="s">
        <v>1077</v>
      </c>
      <c r="B23" s="31" t="s">
        <v>67</v>
      </c>
      <c r="C23" s="464" t="s">
        <v>69</v>
      </c>
      <c r="D23" s="464"/>
      <c r="E23" s="31">
        <v>31.29</v>
      </c>
      <c r="F23" s="258">
        <v>4500</v>
      </c>
      <c r="G23" s="247">
        <f t="shared" si="38"/>
        <v>140805</v>
      </c>
      <c r="H23" s="259">
        <v>2</v>
      </c>
      <c r="I23" s="255">
        <v>16</v>
      </c>
      <c r="J23" s="26">
        <v>2400</v>
      </c>
      <c r="K23" s="10">
        <f t="shared" ref="K23:K30" si="45">J23/I23</f>
        <v>150</v>
      </c>
      <c r="L23" s="255">
        <v>16</v>
      </c>
      <c r="M23" s="11">
        <f t="shared" si="39"/>
        <v>2268.9075630252096</v>
      </c>
      <c r="N23" s="10">
        <f t="shared" si="40"/>
        <v>141.8067226890756</v>
      </c>
      <c r="O23" s="12">
        <f t="shared" si="41"/>
        <v>0</v>
      </c>
      <c r="P23" s="13">
        <f t="shared" si="42"/>
        <v>-8.193277310924401</v>
      </c>
      <c r="Q23" s="249">
        <f t="shared" si="43"/>
        <v>0.94537815126050395</v>
      </c>
      <c r="R23" s="442"/>
      <c r="S23" s="28">
        <v>0.2472222222222222</v>
      </c>
      <c r="T23" s="28">
        <v>0.3298611111111111</v>
      </c>
      <c r="U23" s="247">
        <f>(S23-T22)*24*60</f>
        <v>30.000000000000014</v>
      </c>
      <c r="V23" s="256">
        <f t="shared" si="44"/>
        <v>119.00000000000001</v>
      </c>
      <c r="W23" s="16"/>
      <c r="X23" s="16"/>
      <c r="Y23" s="443"/>
      <c r="Z23" s="443"/>
      <c r="AA23" s="12">
        <f t="shared" si="2"/>
        <v>-131.09243697479042</v>
      </c>
      <c r="AB23" s="249">
        <f t="shared" ref="AB23:AB29" si="46">M23/J23</f>
        <v>0.94537815126050395</v>
      </c>
      <c r="AC23" s="442"/>
    </row>
    <row r="24" spans="1:29" ht="15.75" customHeight="1">
      <c r="A24" s="463" t="s">
        <v>1077</v>
      </c>
      <c r="B24" s="31" t="s">
        <v>67</v>
      </c>
      <c r="C24" s="464" t="s">
        <v>70</v>
      </c>
      <c r="D24" s="464"/>
      <c r="E24" s="31">
        <v>24.25</v>
      </c>
      <c r="F24" s="258">
        <v>4216</v>
      </c>
      <c r="G24" s="247">
        <f t="shared" si="38"/>
        <v>102238</v>
      </c>
      <c r="H24" s="259" t="s">
        <v>103</v>
      </c>
      <c r="I24" s="255">
        <v>18</v>
      </c>
      <c r="J24" s="26">
        <v>2400</v>
      </c>
      <c r="K24" s="10">
        <f t="shared" si="45"/>
        <v>133.33333333333334</v>
      </c>
      <c r="L24" s="255">
        <v>18</v>
      </c>
      <c r="M24" s="11">
        <f t="shared" si="39"/>
        <v>2278.9189189189187</v>
      </c>
      <c r="N24" s="10">
        <f t="shared" si="40"/>
        <v>126.60660660660659</v>
      </c>
      <c r="O24" s="12">
        <f t="shared" si="41"/>
        <v>0</v>
      </c>
      <c r="P24" s="13">
        <f t="shared" si="42"/>
        <v>-6.7267267267267528</v>
      </c>
      <c r="Q24" s="249">
        <f t="shared" si="43"/>
        <v>0.9495495495495494</v>
      </c>
      <c r="R24" s="442"/>
      <c r="S24" s="28">
        <v>0.33402777777777776</v>
      </c>
      <c r="T24" s="28">
        <v>0.41111111111111109</v>
      </c>
      <c r="U24" s="247">
        <f t="shared" ref="U24:U29" si="47">(S24-T23)*24*60</f>
        <v>5.9999999999999787</v>
      </c>
      <c r="V24" s="256">
        <f t="shared" si="44"/>
        <v>111</v>
      </c>
      <c r="W24" s="16"/>
      <c r="X24" s="16"/>
      <c r="Y24" s="443"/>
      <c r="Z24" s="443"/>
      <c r="AA24" s="12">
        <f t="shared" si="2"/>
        <v>-121.08108108108127</v>
      </c>
      <c r="AB24" s="249">
        <f t="shared" si="46"/>
        <v>0.94954954954954951</v>
      </c>
      <c r="AC24" s="442"/>
    </row>
    <row r="25" spans="1:29" ht="15.75" customHeight="1">
      <c r="A25" s="463" t="s">
        <v>1077</v>
      </c>
      <c r="B25" s="31" t="s">
        <v>67</v>
      </c>
      <c r="C25" s="464" t="s">
        <v>165</v>
      </c>
      <c r="D25" s="464"/>
      <c r="E25" s="31">
        <v>26.18</v>
      </c>
      <c r="F25" s="258">
        <v>3500</v>
      </c>
      <c r="G25" s="247">
        <f t="shared" si="38"/>
        <v>91630</v>
      </c>
      <c r="H25" s="259">
        <v>2</v>
      </c>
      <c r="I25" s="255">
        <v>19</v>
      </c>
      <c r="J25" s="26">
        <v>2400</v>
      </c>
      <c r="K25" s="10">
        <f t="shared" si="45"/>
        <v>126.31578947368421</v>
      </c>
      <c r="L25" s="255">
        <v>19</v>
      </c>
      <c r="M25" s="11">
        <f t="shared" si="39"/>
        <v>2258.0645161290327</v>
      </c>
      <c r="N25" s="10">
        <f t="shared" si="40"/>
        <v>118.84550084889645</v>
      </c>
      <c r="O25" s="12">
        <f t="shared" si="41"/>
        <v>0</v>
      </c>
      <c r="P25" s="13">
        <f t="shared" si="42"/>
        <v>-7.4702886247877558</v>
      </c>
      <c r="Q25" s="249">
        <f t="shared" si="43"/>
        <v>0.9408602150537636</v>
      </c>
      <c r="R25" s="442"/>
      <c r="S25" s="28">
        <v>0.41527777777777775</v>
      </c>
      <c r="T25" s="28">
        <v>0.47986111111111107</v>
      </c>
      <c r="U25" s="247">
        <f t="shared" si="47"/>
        <v>5.9999999999999787</v>
      </c>
      <c r="V25" s="256">
        <f t="shared" si="44"/>
        <v>92.999999999999986</v>
      </c>
      <c r="W25" s="16"/>
      <c r="X25" s="16"/>
      <c r="Y25" s="443"/>
      <c r="Z25" s="443"/>
      <c r="AA25" s="12">
        <f t="shared" si="2"/>
        <v>-141.93548387096735</v>
      </c>
      <c r="AB25" s="249">
        <f t="shared" si="46"/>
        <v>0.9408602150537636</v>
      </c>
      <c r="AC25" s="442"/>
    </row>
    <row r="26" spans="1:29" ht="15.75" customHeight="1">
      <c r="A26" s="463" t="s">
        <v>1077</v>
      </c>
      <c r="B26" s="31" t="s">
        <v>67</v>
      </c>
      <c r="C26" s="464" t="s">
        <v>71</v>
      </c>
      <c r="D26" s="464"/>
      <c r="E26" s="31">
        <v>22.35</v>
      </c>
      <c r="F26" s="258">
        <v>2270</v>
      </c>
      <c r="G26" s="247">
        <f t="shared" si="38"/>
        <v>50734.5</v>
      </c>
      <c r="H26" s="259" t="s">
        <v>103</v>
      </c>
      <c r="I26" s="255">
        <v>16</v>
      </c>
      <c r="J26" s="26">
        <v>2400</v>
      </c>
      <c r="K26" s="10">
        <f t="shared" si="45"/>
        <v>150</v>
      </c>
      <c r="L26" s="255">
        <v>16</v>
      </c>
      <c r="M26" s="11">
        <f t="shared" si="39"/>
        <v>2270.0000000000023</v>
      </c>
      <c r="N26" s="10">
        <f t="shared" si="40"/>
        <v>141.87500000000014</v>
      </c>
      <c r="O26" s="12">
        <f t="shared" si="41"/>
        <v>0</v>
      </c>
      <c r="P26" s="13">
        <f t="shared" si="42"/>
        <v>-8.1249999999998579</v>
      </c>
      <c r="Q26" s="249">
        <f t="shared" si="43"/>
        <v>0.9458333333333343</v>
      </c>
      <c r="R26" s="442"/>
      <c r="S26" s="28">
        <v>0.48541666666666661</v>
      </c>
      <c r="T26" s="28">
        <v>0.52708333333333324</v>
      </c>
      <c r="U26" s="247">
        <f t="shared" si="47"/>
        <v>7.9999999999999716</v>
      </c>
      <c r="V26" s="256">
        <f t="shared" si="44"/>
        <v>59.999999999999943</v>
      </c>
      <c r="W26" s="16">
        <f>T26</f>
        <v>0.52708333333333324</v>
      </c>
      <c r="X26" s="16">
        <f>S27</f>
        <v>0.56874999999999987</v>
      </c>
      <c r="Y26" s="443"/>
      <c r="Z26" s="443"/>
      <c r="AA26" s="12">
        <f t="shared" si="2"/>
        <v>-129.99999999999773</v>
      </c>
      <c r="AB26" s="249">
        <f t="shared" si="46"/>
        <v>0.9458333333333343</v>
      </c>
      <c r="AC26" s="442"/>
    </row>
    <row r="27" spans="1:29" ht="15.75" customHeight="1">
      <c r="A27" s="463" t="s">
        <v>1077</v>
      </c>
      <c r="B27" s="31" t="s">
        <v>67</v>
      </c>
      <c r="C27" s="464" t="s">
        <v>69</v>
      </c>
      <c r="D27" s="464"/>
      <c r="E27" s="31">
        <v>31.29</v>
      </c>
      <c r="F27" s="258">
        <v>5887</v>
      </c>
      <c r="G27" s="247">
        <f t="shared" si="38"/>
        <v>184204.22999999998</v>
      </c>
      <c r="H27" s="259" t="s">
        <v>103</v>
      </c>
      <c r="I27" s="255">
        <v>16</v>
      </c>
      <c r="J27" s="26">
        <v>2400</v>
      </c>
      <c r="K27" s="10">
        <f t="shared" si="45"/>
        <v>150</v>
      </c>
      <c r="L27" s="255">
        <v>16</v>
      </c>
      <c r="M27" s="11">
        <f t="shared" si="39"/>
        <v>2264.2307692307681</v>
      </c>
      <c r="N27" s="10">
        <f t="shared" si="40"/>
        <v>141.51442307692301</v>
      </c>
      <c r="O27" s="12">
        <f t="shared" si="41"/>
        <v>0</v>
      </c>
      <c r="P27" s="13">
        <f t="shared" si="42"/>
        <v>-8.4855769230769909</v>
      </c>
      <c r="Q27" s="249">
        <f t="shared" si="43"/>
        <v>0.94342948717948671</v>
      </c>
      <c r="R27" s="442"/>
      <c r="S27" s="28">
        <v>0.56874999999999987</v>
      </c>
      <c r="T27" s="28">
        <v>0.67708333333333326</v>
      </c>
      <c r="U27" s="247">
        <f t="shared" si="47"/>
        <v>59.999999999999943</v>
      </c>
      <c r="V27" s="256">
        <f t="shared" si="44"/>
        <v>156.00000000000009</v>
      </c>
      <c r="W27" s="16"/>
      <c r="X27" s="16"/>
      <c r="Y27" s="443"/>
      <c r="Z27" s="443"/>
      <c r="AA27" s="12">
        <f t="shared" si="2"/>
        <v>-135.76923076923185</v>
      </c>
      <c r="AB27" s="249">
        <f t="shared" si="46"/>
        <v>0.94342948717948671</v>
      </c>
      <c r="AC27" s="442"/>
    </row>
    <row r="28" spans="1:29" ht="15.75" customHeight="1">
      <c r="A28" s="463" t="s">
        <v>164</v>
      </c>
      <c r="B28" s="31" t="s">
        <v>67</v>
      </c>
      <c r="C28" s="464" t="s">
        <v>78</v>
      </c>
      <c r="D28" s="464"/>
      <c r="E28" s="31">
        <v>25.98</v>
      </c>
      <c r="F28" s="258">
        <v>1500</v>
      </c>
      <c r="G28" s="247">
        <f t="shared" si="38"/>
        <v>38970</v>
      </c>
      <c r="H28" s="259" t="s">
        <v>103</v>
      </c>
      <c r="I28" s="255">
        <v>17</v>
      </c>
      <c r="J28" s="26">
        <v>2400</v>
      </c>
      <c r="K28" s="10">
        <f t="shared" si="45"/>
        <v>141.1764705882353</v>
      </c>
      <c r="L28" s="255">
        <v>17</v>
      </c>
      <c r="M28" s="11">
        <f t="shared" si="39"/>
        <v>2307.6923076923063</v>
      </c>
      <c r="N28" s="10">
        <f t="shared" si="40"/>
        <v>135.74660633484154</v>
      </c>
      <c r="O28" s="12">
        <f t="shared" si="41"/>
        <v>0</v>
      </c>
      <c r="P28" s="13">
        <f t="shared" si="42"/>
        <v>-5.4298642533937596</v>
      </c>
      <c r="Q28" s="249">
        <f t="shared" si="43"/>
        <v>0.9615384615384609</v>
      </c>
      <c r="R28" s="442"/>
      <c r="S28" s="28">
        <v>0.68055555555555547</v>
      </c>
      <c r="T28" s="28">
        <v>0.70763888888888882</v>
      </c>
      <c r="U28" s="247">
        <f t="shared" si="47"/>
        <v>4.9999999999999822</v>
      </c>
      <c r="V28" s="256">
        <f t="shared" si="44"/>
        <v>39.000000000000021</v>
      </c>
      <c r="W28" s="16"/>
      <c r="X28" s="16"/>
      <c r="Y28" s="443"/>
      <c r="Z28" s="443"/>
      <c r="AA28" s="12">
        <f t="shared" si="2"/>
        <v>-92.307692307693742</v>
      </c>
      <c r="AB28" s="249">
        <f t="shared" si="46"/>
        <v>0.9615384615384609</v>
      </c>
      <c r="AC28" s="442"/>
    </row>
    <row r="29" spans="1:29" ht="15.75" customHeight="1">
      <c r="A29" s="463" t="s">
        <v>1077</v>
      </c>
      <c r="B29" s="31" t="s">
        <v>67</v>
      </c>
      <c r="C29" s="464" t="s">
        <v>165</v>
      </c>
      <c r="D29" s="464"/>
      <c r="E29" s="31">
        <v>26.18</v>
      </c>
      <c r="F29" s="258">
        <v>2472</v>
      </c>
      <c r="G29" s="247">
        <f t="shared" si="38"/>
        <v>64716.959999999999</v>
      </c>
      <c r="H29" s="259" t="s">
        <v>103</v>
      </c>
      <c r="I29" s="255">
        <v>19</v>
      </c>
      <c r="J29" s="26">
        <v>2400</v>
      </c>
      <c r="K29" s="10">
        <f t="shared" si="45"/>
        <v>126.31578947368421</v>
      </c>
      <c r="L29" s="255">
        <v>19</v>
      </c>
      <c r="M29" s="11">
        <f t="shared" si="39"/>
        <v>2281.8461538461565</v>
      </c>
      <c r="N29" s="10">
        <f t="shared" si="40"/>
        <v>120.09716599190297</v>
      </c>
      <c r="O29" s="12">
        <f t="shared" si="41"/>
        <v>0</v>
      </c>
      <c r="P29" s="13">
        <f t="shared" si="42"/>
        <v>-6.2186234817812363</v>
      </c>
      <c r="Q29" s="249">
        <f t="shared" si="43"/>
        <v>0.95076923076923192</v>
      </c>
      <c r="R29" s="442"/>
      <c r="S29" s="28">
        <v>0.71180555555555547</v>
      </c>
      <c r="T29" s="28">
        <v>0.75694444444444431</v>
      </c>
      <c r="U29" s="247">
        <f t="shared" si="47"/>
        <v>5.9999999999999787</v>
      </c>
      <c r="V29" s="256">
        <f t="shared" si="44"/>
        <v>64.999999999999929</v>
      </c>
      <c r="W29" s="16"/>
      <c r="X29" s="16"/>
      <c r="Y29" s="443"/>
      <c r="Z29" s="443"/>
      <c r="AA29" s="12">
        <f t="shared" si="2"/>
        <v>-118.15384615384346</v>
      </c>
      <c r="AB29" s="249">
        <f t="shared" si="46"/>
        <v>0.95076923076923192</v>
      </c>
      <c r="AC29" s="442"/>
    </row>
    <row r="30" spans="1:29" ht="15.75" customHeight="1">
      <c r="A30" s="463" t="s">
        <v>1077</v>
      </c>
      <c r="B30" s="31" t="s">
        <v>1074</v>
      </c>
      <c r="C30" s="446"/>
      <c r="D30" s="446"/>
      <c r="E30" s="248"/>
      <c r="F30" s="258"/>
      <c r="G30" s="247"/>
      <c r="H30" s="258"/>
      <c r="I30" s="19">
        <v>17.625</v>
      </c>
      <c r="J30" s="26">
        <v>2400</v>
      </c>
      <c r="K30" s="10">
        <f t="shared" si="45"/>
        <v>136.17021276595744</v>
      </c>
      <c r="L30" s="19">
        <v>17.625</v>
      </c>
      <c r="M30" s="11">
        <f>AVERAGE(M22:M29)</f>
        <v>2275.1287614820117</v>
      </c>
      <c r="N30" s="10">
        <f>M30/L30</f>
        <v>129.08531980039783</v>
      </c>
      <c r="O30" s="12">
        <f>L30-I30</f>
        <v>0</v>
      </c>
      <c r="P30" s="13">
        <f>N30-K30</f>
        <v>-7.084892965559618</v>
      </c>
      <c r="Q30" s="249">
        <f>N30/K30</f>
        <v>0.94797031728417158</v>
      </c>
      <c r="R30" s="442"/>
      <c r="S30" s="28"/>
      <c r="T30" s="28"/>
      <c r="U30" s="247"/>
      <c r="V30" s="256"/>
      <c r="W30" s="247"/>
      <c r="X30" s="247"/>
      <c r="Y30" s="443"/>
      <c r="Z30" s="443"/>
      <c r="AA30" s="12">
        <f t="shared" si="2"/>
        <v>-124.87123851798833</v>
      </c>
      <c r="AB30" s="249">
        <f>M30/J30</f>
        <v>0.94797031728417158</v>
      </c>
      <c r="AC30" s="442"/>
    </row>
    <row r="31" spans="1:29" ht="15.75" customHeight="1">
      <c r="A31" s="461" t="s">
        <v>245</v>
      </c>
      <c r="B31" s="31" t="s">
        <v>67</v>
      </c>
      <c r="C31" s="441" t="s">
        <v>73</v>
      </c>
      <c r="D31" s="441"/>
      <c r="E31" s="31">
        <v>26.2</v>
      </c>
      <c r="F31" s="258">
        <v>3000</v>
      </c>
      <c r="G31" s="247">
        <f t="shared" ref="G31:G39" si="48">E31*F31</f>
        <v>78600</v>
      </c>
      <c r="H31" s="259">
        <v>2</v>
      </c>
      <c r="I31" s="255">
        <v>18</v>
      </c>
      <c r="J31" s="26">
        <v>2400</v>
      </c>
      <c r="K31" s="10">
        <f>J31/I31</f>
        <v>133.33333333333334</v>
      </c>
      <c r="L31" s="255">
        <v>18</v>
      </c>
      <c r="M31" s="11">
        <f>F31/V31*60</f>
        <v>2278.4810126582279</v>
      </c>
      <c r="N31" s="10">
        <f>M31/L31</f>
        <v>126.58227848101266</v>
      </c>
      <c r="O31" s="12">
        <f t="shared" ref="O31:O39" si="49">L31-I31</f>
        <v>0</v>
      </c>
      <c r="P31" s="13">
        <f t="shared" ref="P31:P50" si="50">N31-K31</f>
        <v>-6.7510548523206779</v>
      </c>
      <c r="Q31" s="249">
        <f t="shared" ref="Q31:Q44" si="51">N31/K31</f>
        <v>0.94936708860759489</v>
      </c>
      <c r="R31" s="442">
        <f>Q40</f>
        <v>0.94608698565748772</v>
      </c>
      <c r="S31" s="28">
        <v>0.125</v>
      </c>
      <c r="T31" s="28">
        <v>0.17986111111111111</v>
      </c>
      <c r="U31" s="247"/>
      <c r="V31" s="256">
        <f t="shared" ref="V31:V39" si="52">(T31-S31)*24*60</f>
        <v>79</v>
      </c>
      <c r="W31" s="18">
        <f>T31</f>
        <v>0.17986111111111111</v>
      </c>
      <c r="X31" s="18">
        <f>S32</f>
        <v>0.19930555555555557</v>
      </c>
      <c r="Y31" s="443"/>
      <c r="Z31" s="443"/>
      <c r="AA31" s="12">
        <f t="shared" si="2"/>
        <v>-121.51898734177212</v>
      </c>
      <c r="AB31" s="249">
        <f>M31/J31</f>
        <v>0.949367088607595</v>
      </c>
      <c r="AC31" s="442">
        <f>AB40</f>
        <v>0.94608698565748772</v>
      </c>
    </row>
    <row r="32" spans="1:29" ht="15.75" customHeight="1">
      <c r="A32" s="461" t="s">
        <v>245</v>
      </c>
      <c r="B32" s="31" t="s">
        <v>67</v>
      </c>
      <c r="C32" s="441" t="s">
        <v>74</v>
      </c>
      <c r="D32" s="441"/>
      <c r="E32" s="31">
        <v>24.45</v>
      </c>
      <c r="F32" s="258">
        <v>2832</v>
      </c>
      <c r="G32" s="247">
        <f t="shared" si="48"/>
        <v>69242.399999999994</v>
      </c>
      <c r="H32" s="259" t="s">
        <v>103</v>
      </c>
      <c r="I32" s="255">
        <v>20</v>
      </c>
      <c r="J32" s="26">
        <v>2400</v>
      </c>
      <c r="K32" s="10">
        <f t="shared" ref="K32:K49" si="53">J32/I32</f>
        <v>120</v>
      </c>
      <c r="L32" s="255">
        <v>20</v>
      </c>
      <c r="M32" s="11">
        <f t="shared" ref="M32:M39" si="54">F32/V32*60</f>
        <v>2265.6000000000008</v>
      </c>
      <c r="N32" s="10">
        <f t="shared" ref="N32:N39" si="55">M32/L32</f>
        <v>113.28000000000004</v>
      </c>
      <c r="O32" s="12">
        <f t="shared" si="49"/>
        <v>0</v>
      </c>
      <c r="P32" s="13">
        <f t="shared" si="50"/>
        <v>-6.7199999999999562</v>
      </c>
      <c r="Q32" s="249">
        <f t="shared" si="51"/>
        <v>0.94400000000000039</v>
      </c>
      <c r="R32" s="442"/>
      <c r="S32" s="28">
        <v>0.19930555555555557</v>
      </c>
      <c r="T32" s="28">
        <v>0.25138888888888888</v>
      </c>
      <c r="U32" s="247">
        <f>(S32-T31)*24*60</f>
        <v>28.000000000000021</v>
      </c>
      <c r="V32" s="256">
        <f t="shared" si="52"/>
        <v>74.999999999999972</v>
      </c>
      <c r="W32" s="247"/>
      <c r="X32" s="247"/>
      <c r="Y32" s="443"/>
      <c r="Z32" s="443"/>
      <c r="AA32" s="12">
        <f t="shared" si="2"/>
        <v>-134.39999999999918</v>
      </c>
      <c r="AB32" s="249">
        <f t="shared" ref="AB32:AB64" si="56">M32/J32</f>
        <v>0.94400000000000039</v>
      </c>
      <c r="AC32" s="442"/>
    </row>
    <row r="33" spans="1:29">
      <c r="A33" s="462" t="s">
        <v>245</v>
      </c>
      <c r="B33" s="31" t="s">
        <v>67</v>
      </c>
      <c r="C33" s="441" t="s">
        <v>75</v>
      </c>
      <c r="D33" s="441"/>
      <c r="E33" s="31">
        <v>26.39</v>
      </c>
      <c r="F33" s="258">
        <v>4300</v>
      </c>
      <c r="G33" s="247">
        <f t="shared" si="48"/>
        <v>113477</v>
      </c>
      <c r="H33" s="259">
        <v>2</v>
      </c>
      <c r="I33" s="255">
        <v>19</v>
      </c>
      <c r="J33" s="26">
        <v>2400</v>
      </c>
      <c r="K33" s="10">
        <f t="shared" si="53"/>
        <v>126.31578947368421</v>
      </c>
      <c r="L33" s="255">
        <v>19</v>
      </c>
      <c r="M33" s="11">
        <f t="shared" si="54"/>
        <v>2263.1578947368421</v>
      </c>
      <c r="N33" s="10">
        <f t="shared" si="55"/>
        <v>119.11357340720221</v>
      </c>
      <c r="O33" s="12">
        <f t="shared" si="49"/>
        <v>0</v>
      </c>
      <c r="P33" s="13">
        <f t="shared" si="50"/>
        <v>-7.202216066481995</v>
      </c>
      <c r="Q33" s="249">
        <f t="shared" si="51"/>
        <v>0.94298245614035092</v>
      </c>
      <c r="R33" s="442"/>
      <c r="S33" s="28">
        <v>0.25624999999999998</v>
      </c>
      <c r="T33" s="28">
        <v>0.33541666666666664</v>
      </c>
      <c r="U33" s="247">
        <f t="shared" ref="U33:U39" si="57">(S33-T32)*24*60</f>
        <v>6.9999999999999751</v>
      </c>
      <c r="V33" s="256">
        <f t="shared" si="52"/>
        <v>114</v>
      </c>
      <c r="W33" s="247"/>
      <c r="X33" s="247"/>
      <c r="Y33" s="443"/>
      <c r="Z33" s="443"/>
      <c r="AA33" s="12">
        <f t="shared" si="2"/>
        <v>-136.84210526315792</v>
      </c>
      <c r="AB33" s="249">
        <f t="shared" si="56"/>
        <v>0.94298245614035092</v>
      </c>
      <c r="AC33" s="442"/>
    </row>
    <row r="34" spans="1:29">
      <c r="A34" s="462" t="s">
        <v>245</v>
      </c>
      <c r="B34" s="31" t="s">
        <v>67</v>
      </c>
      <c r="C34" s="441" t="s">
        <v>76</v>
      </c>
      <c r="D34" s="441"/>
      <c r="E34" s="31">
        <v>20.52</v>
      </c>
      <c r="F34" s="258">
        <v>3996</v>
      </c>
      <c r="G34" s="247">
        <f t="shared" si="48"/>
        <v>81997.919999999998</v>
      </c>
      <c r="H34" s="259" t="s">
        <v>103</v>
      </c>
      <c r="I34" s="255">
        <v>18</v>
      </c>
      <c r="J34" s="26">
        <v>2400</v>
      </c>
      <c r="K34" s="10">
        <f t="shared" si="53"/>
        <v>133.33333333333334</v>
      </c>
      <c r="L34" s="255">
        <v>18</v>
      </c>
      <c r="M34" s="11">
        <f t="shared" si="54"/>
        <v>2261.8867924528295</v>
      </c>
      <c r="N34" s="10">
        <f t="shared" si="55"/>
        <v>125.66037735849052</v>
      </c>
      <c r="O34" s="12">
        <f t="shared" si="49"/>
        <v>0</v>
      </c>
      <c r="P34" s="13">
        <f t="shared" si="50"/>
        <v>-7.6729559748428215</v>
      </c>
      <c r="Q34" s="249">
        <f t="shared" si="51"/>
        <v>0.94245283018867887</v>
      </c>
      <c r="R34" s="442"/>
      <c r="S34" s="28">
        <v>0.33888888888888885</v>
      </c>
      <c r="T34" s="28">
        <v>0.41249999999999998</v>
      </c>
      <c r="U34" s="247">
        <f t="shared" si="57"/>
        <v>4.9999999999999822</v>
      </c>
      <c r="V34" s="256">
        <f t="shared" si="52"/>
        <v>106.00000000000003</v>
      </c>
      <c r="W34" s="16"/>
      <c r="X34" s="16"/>
      <c r="Y34" s="443"/>
      <c r="Z34" s="443"/>
      <c r="AA34" s="12">
        <f t="shared" si="2"/>
        <v>-138.11320754717053</v>
      </c>
      <c r="AB34" s="249">
        <f t="shared" si="56"/>
        <v>0.94245283018867898</v>
      </c>
      <c r="AC34" s="442"/>
    </row>
    <row r="35" spans="1:29">
      <c r="A35" s="462" t="s">
        <v>245</v>
      </c>
      <c r="B35" s="31" t="s">
        <v>67</v>
      </c>
      <c r="C35" s="441" t="s">
        <v>77</v>
      </c>
      <c r="D35" s="441"/>
      <c r="E35" s="31">
        <v>26.2</v>
      </c>
      <c r="F35" s="258">
        <v>3200</v>
      </c>
      <c r="G35" s="247">
        <f t="shared" si="48"/>
        <v>83840</v>
      </c>
      <c r="H35" s="259">
        <v>2</v>
      </c>
      <c r="I35" s="255">
        <v>19</v>
      </c>
      <c r="J35" s="26">
        <v>2400</v>
      </c>
      <c r="K35" s="10">
        <f t="shared" si="53"/>
        <v>126.31578947368421</v>
      </c>
      <c r="L35" s="255">
        <v>19</v>
      </c>
      <c r="M35" s="11">
        <f t="shared" si="54"/>
        <v>2285.7142857142849</v>
      </c>
      <c r="N35" s="10">
        <f t="shared" si="55"/>
        <v>120.30075187969921</v>
      </c>
      <c r="O35" s="12">
        <f t="shared" si="49"/>
        <v>0</v>
      </c>
      <c r="P35" s="13">
        <f t="shared" si="50"/>
        <v>-6.0150375939849994</v>
      </c>
      <c r="Q35" s="249">
        <f t="shared" si="51"/>
        <v>0.95238095238095211</v>
      </c>
      <c r="R35" s="442"/>
      <c r="S35" s="28">
        <v>0.41736111111111107</v>
      </c>
      <c r="T35" s="28">
        <v>0.47569444444444442</v>
      </c>
      <c r="U35" s="247">
        <f t="shared" si="57"/>
        <v>6.9999999999999751</v>
      </c>
      <c r="V35" s="256">
        <f t="shared" si="52"/>
        <v>84.000000000000028</v>
      </c>
      <c r="W35" s="16"/>
      <c r="X35" s="16"/>
      <c r="Y35" s="443"/>
      <c r="Z35" s="443"/>
      <c r="AA35" s="12">
        <f t="shared" si="2"/>
        <v>-114.28571428571513</v>
      </c>
      <c r="AB35" s="249">
        <f t="shared" si="56"/>
        <v>0.952380952380952</v>
      </c>
      <c r="AC35" s="442"/>
    </row>
    <row r="36" spans="1:29">
      <c r="A36" s="462" t="s">
        <v>245</v>
      </c>
      <c r="B36" s="31" t="s">
        <v>67</v>
      </c>
      <c r="C36" s="441" t="s">
        <v>78</v>
      </c>
      <c r="D36" s="441"/>
      <c r="E36" s="31">
        <v>25.98</v>
      </c>
      <c r="F36" s="258">
        <v>2200</v>
      </c>
      <c r="G36" s="247">
        <f t="shared" si="48"/>
        <v>57156</v>
      </c>
      <c r="H36" s="259">
        <v>2</v>
      </c>
      <c r="I36" s="255">
        <v>17</v>
      </c>
      <c r="J36" s="26">
        <v>2400</v>
      </c>
      <c r="K36" s="10">
        <f t="shared" si="53"/>
        <v>141.1764705882353</v>
      </c>
      <c r="L36" s="255">
        <v>17</v>
      </c>
      <c r="M36" s="11">
        <f t="shared" si="54"/>
        <v>2275.862068965519</v>
      </c>
      <c r="N36" s="10">
        <f t="shared" si="55"/>
        <v>133.87423935091289</v>
      </c>
      <c r="O36" s="12">
        <f t="shared" si="49"/>
        <v>0</v>
      </c>
      <c r="P36" s="13">
        <f t="shared" si="50"/>
        <v>-7.3022312373224167</v>
      </c>
      <c r="Q36" s="249">
        <f t="shared" si="51"/>
        <v>0.94827586206896619</v>
      </c>
      <c r="R36" s="442"/>
      <c r="S36" s="28">
        <v>0.47916666666666663</v>
      </c>
      <c r="T36" s="28">
        <v>0.51944444444444438</v>
      </c>
      <c r="U36" s="247">
        <f t="shared" si="57"/>
        <v>4.9999999999999822</v>
      </c>
      <c r="V36" s="256">
        <f t="shared" si="52"/>
        <v>57.999999999999957</v>
      </c>
      <c r="W36" s="16">
        <f>T36</f>
        <v>0.51944444444444438</v>
      </c>
      <c r="X36" s="16">
        <f>S37</f>
        <v>0.5576388888888888</v>
      </c>
      <c r="Y36" s="443"/>
      <c r="Z36" s="443"/>
      <c r="AA36" s="12">
        <f t="shared" si="2"/>
        <v>-124.13793103448097</v>
      </c>
      <c r="AB36" s="249">
        <f t="shared" si="56"/>
        <v>0.9482758620689663</v>
      </c>
      <c r="AC36" s="442"/>
    </row>
    <row r="37" spans="1:29">
      <c r="A37" s="462" t="s">
        <v>245</v>
      </c>
      <c r="B37" s="31" t="s">
        <v>67</v>
      </c>
      <c r="C37" s="441" t="s">
        <v>73</v>
      </c>
      <c r="D37" s="441"/>
      <c r="E37" s="31">
        <v>26.2</v>
      </c>
      <c r="F37" s="258">
        <v>4796</v>
      </c>
      <c r="G37" s="247">
        <f t="shared" si="48"/>
        <v>125655.2</v>
      </c>
      <c r="H37" s="259" t="s">
        <v>103</v>
      </c>
      <c r="I37" s="255">
        <v>18</v>
      </c>
      <c r="J37" s="26">
        <v>2400</v>
      </c>
      <c r="K37" s="10">
        <f t="shared" si="53"/>
        <v>133.33333333333334</v>
      </c>
      <c r="L37" s="255">
        <v>18</v>
      </c>
      <c r="M37" s="11">
        <f t="shared" si="54"/>
        <v>2265.8267716535429</v>
      </c>
      <c r="N37" s="10">
        <f t="shared" si="55"/>
        <v>125.87926509186349</v>
      </c>
      <c r="O37" s="12">
        <f t="shared" si="49"/>
        <v>0</v>
      </c>
      <c r="P37" s="13">
        <f t="shared" si="50"/>
        <v>-7.4540682414698551</v>
      </c>
      <c r="Q37" s="249">
        <f t="shared" si="51"/>
        <v>0.94409448818897612</v>
      </c>
      <c r="R37" s="442"/>
      <c r="S37" s="28">
        <v>0.5576388888888888</v>
      </c>
      <c r="T37" s="28">
        <v>0.64583333333333326</v>
      </c>
      <c r="U37" s="247">
        <f t="shared" si="57"/>
        <v>54.999999999999964</v>
      </c>
      <c r="V37" s="256">
        <f t="shared" si="52"/>
        <v>127.00000000000003</v>
      </c>
      <c r="W37" s="16"/>
      <c r="X37" s="16"/>
      <c r="Y37" s="447"/>
      <c r="Z37" s="448"/>
      <c r="AA37" s="12">
        <f t="shared" si="2"/>
        <v>-134.17322834645711</v>
      </c>
      <c r="AB37" s="249">
        <f t="shared" si="56"/>
        <v>0.94409448818897623</v>
      </c>
      <c r="AC37" s="442"/>
    </row>
    <row r="38" spans="1:29">
      <c r="A38" s="462" t="s">
        <v>245</v>
      </c>
      <c r="B38" s="31" t="s">
        <v>67</v>
      </c>
      <c r="C38" s="441" t="s">
        <v>75</v>
      </c>
      <c r="D38" s="441"/>
      <c r="E38" s="31">
        <v>26.39</v>
      </c>
      <c r="F38" s="258">
        <v>2686</v>
      </c>
      <c r="G38" s="247">
        <f t="shared" si="48"/>
        <v>70883.540000000008</v>
      </c>
      <c r="H38" s="259" t="s">
        <v>103</v>
      </c>
      <c r="I38" s="255">
        <v>19</v>
      </c>
      <c r="J38" s="26">
        <v>2400</v>
      </c>
      <c r="K38" s="10">
        <f t="shared" si="53"/>
        <v>126.31578947368421</v>
      </c>
      <c r="L38" s="255">
        <v>19</v>
      </c>
      <c r="M38" s="11">
        <f t="shared" si="54"/>
        <v>2269.8591549295752</v>
      </c>
      <c r="N38" s="10">
        <f t="shared" si="55"/>
        <v>119.46627131208291</v>
      </c>
      <c r="O38" s="12">
        <f t="shared" si="49"/>
        <v>0</v>
      </c>
      <c r="P38" s="13">
        <f t="shared" si="50"/>
        <v>-6.8495181616012957</v>
      </c>
      <c r="Q38" s="249">
        <f t="shared" si="51"/>
        <v>0.94577464788732313</v>
      </c>
      <c r="R38" s="442"/>
      <c r="S38" s="28">
        <v>0.64999999999999991</v>
      </c>
      <c r="T38" s="28">
        <v>0.69930555555555551</v>
      </c>
      <c r="U38" s="247">
        <f t="shared" si="57"/>
        <v>5.9999999999999787</v>
      </c>
      <c r="V38" s="256">
        <f t="shared" si="52"/>
        <v>71.000000000000071</v>
      </c>
      <c r="W38" s="16"/>
      <c r="X38" s="16"/>
      <c r="Y38" s="447"/>
      <c r="Z38" s="448"/>
      <c r="AA38" s="12">
        <f t="shared" si="2"/>
        <v>-130.1408450704248</v>
      </c>
      <c r="AB38" s="249">
        <f t="shared" si="56"/>
        <v>0.94577464788732302</v>
      </c>
      <c r="AC38" s="442"/>
    </row>
    <row r="39" spans="1:29">
      <c r="A39" s="462" t="s">
        <v>245</v>
      </c>
      <c r="B39" s="31" t="s">
        <v>67</v>
      </c>
      <c r="C39" s="441" t="s">
        <v>77</v>
      </c>
      <c r="D39" s="441"/>
      <c r="E39" s="31">
        <v>26.2</v>
      </c>
      <c r="F39" s="258">
        <v>2080</v>
      </c>
      <c r="G39" s="247">
        <f t="shared" si="48"/>
        <v>54496</v>
      </c>
      <c r="H39" s="259" t="s">
        <v>103</v>
      </c>
      <c r="I39" s="255">
        <v>19</v>
      </c>
      <c r="J39" s="26">
        <v>2400</v>
      </c>
      <c r="K39" s="10">
        <f t="shared" si="53"/>
        <v>126.31578947368421</v>
      </c>
      <c r="L39" s="255">
        <v>19</v>
      </c>
      <c r="M39" s="11">
        <f t="shared" si="54"/>
        <v>2269.0909090909104</v>
      </c>
      <c r="N39" s="10">
        <f t="shared" si="55"/>
        <v>119.42583732057423</v>
      </c>
      <c r="O39" s="12">
        <f t="shared" si="49"/>
        <v>0</v>
      </c>
      <c r="P39" s="13">
        <f t="shared" si="50"/>
        <v>-6.8899521531099737</v>
      </c>
      <c r="Q39" s="249">
        <f t="shared" si="51"/>
        <v>0.94545454545454599</v>
      </c>
      <c r="R39" s="442"/>
      <c r="S39" s="28">
        <v>0.70416666666666661</v>
      </c>
      <c r="T39" s="28">
        <v>0.74236111111111103</v>
      </c>
      <c r="U39" s="247">
        <f t="shared" si="57"/>
        <v>6.9999999999999751</v>
      </c>
      <c r="V39" s="256">
        <f t="shared" si="52"/>
        <v>54.999999999999964</v>
      </c>
      <c r="W39" s="16"/>
      <c r="X39" s="16"/>
      <c r="Y39" s="447"/>
      <c r="Z39" s="448"/>
      <c r="AA39" s="12">
        <f t="shared" si="2"/>
        <v>-130.90909090908963</v>
      </c>
      <c r="AB39" s="249">
        <f t="shared" si="56"/>
        <v>0.94545454545454599</v>
      </c>
      <c r="AC39" s="442"/>
    </row>
    <row r="40" spans="1:29">
      <c r="A40" s="462" t="s">
        <v>245</v>
      </c>
      <c r="B40" s="33" t="s">
        <v>1074</v>
      </c>
      <c r="C40" s="446"/>
      <c r="D40" s="446"/>
      <c r="E40" s="248"/>
      <c r="F40" s="33"/>
      <c r="G40" s="10"/>
      <c r="H40" s="258"/>
      <c r="I40" s="19">
        <v>18.555555555555557</v>
      </c>
      <c r="J40" s="26">
        <v>2400</v>
      </c>
      <c r="K40" s="10">
        <f t="shared" si="53"/>
        <v>129.34131736526945</v>
      </c>
      <c r="L40" s="19">
        <v>18.555555555555557</v>
      </c>
      <c r="M40" s="11">
        <f>AVERAGE(M31:M39)</f>
        <v>2270.6087655779706</v>
      </c>
      <c r="N40" s="10">
        <f>M40/L40</f>
        <v>122.36813706707625</v>
      </c>
      <c r="O40" s="12">
        <f>L40-I40</f>
        <v>0</v>
      </c>
      <c r="P40" s="13">
        <f t="shared" si="50"/>
        <v>-6.9731802981931992</v>
      </c>
      <c r="Q40" s="249">
        <f t="shared" si="51"/>
        <v>0.94608698565748772</v>
      </c>
      <c r="R40" s="442"/>
      <c r="S40" s="28"/>
      <c r="T40" s="28"/>
      <c r="U40" s="10"/>
      <c r="V40" s="256"/>
      <c r="W40" s="10"/>
      <c r="X40" s="10"/>
      <c r="Y40" s="443"/>
      <c r="Z40" s="443"/>
      <c r="AA40" s="12">
        <f t="shared" si="2"/>
        <v>-129.39123442202936</v>
      </c>
      <c r="AB40" s="249">
        <f t="shared" si="56"/>
        <v>0.94608698565748772</v>
      </c>
      <c r="AC40" s="442"/>
    </row>
    <row r="41" spans="1:29" ht="15.75" customHeight="1">
      <c r="A41" s="453" t="s">
        <v>1078</v>
      </c>
      <c r="B41" s="31" t="s">
        <v>79</v>
      </c>
      <c r="C41" s="444" t="s">
        <v>80</v>
      </c>
      <c r="D41" s="445"/>
      <c r="E41" s="31">
        <v>21.13</v>
      </c>
      <c r="F41" s="258">
        <v>3100</v>
      </c>
      <c r="G41" s="247">
        <f t="shared" ref="G41:G49" si="58">E41*F41</f>
        <v>65503</v>
      </c>
      <c r="H41" s="259">
        <v>2</v>
      </c>
      <c r="I41" s="255">
        <v>10</v>
      </c>
      <c r="J41" s="26">
        <v>3000</v>
      </c>
      <c r="K41" s="10">
        <f t="shared" si="53"/>
        <v>300</v>
      </c>
      <c r="L41" s="255">
        <v>10</v>
      </c>
      <c r="M41" s="11">
        <f t="shared" ref="M41:M42" si="59">F41/V41*60</f>
        <v>2861.5384615384628</v>
      </c>
      <c r="N41" s="11">
        <f t="shared" ref="N41:N50" si="60">M41/L41</f>
        <v>286.1538461538463</v>
      </c>
      <c r="O41" s="12">
        <f t="shared" ref="O41:O50" si="61">L41-I41</f>
        <v>0</v>
      </c>
      <c r="P41" s="13">
        <f t="shared" si="50"/>
        <v>-13.846153846153697</v>
      </c>
      <c r="Q41" s="249">
        <f t="shared" si="51"/>
        <v>0.95384615384615434</v>
      </c>
      <c r="R41" s="456">
        <f>Q50</f>
        <v>0.94967041615308156</v>
      </c>
      <c r="S41" s="28">
        <v>0.20833333333333334</v>
      </c>
      <c r="T41" s="28">
        <v>0.25347222222222221</v>
      </c>
      <c r="U41" s="18"/>
      <c r="V41" s="256">
        <f t="shared" ref="V41:V49" si="62">(T41-S41)*24*60</f>
        <v>64.999999999999972</v>
      </c>
      <c r="W41" s="16"/>
      <c r="X41" s="16"/>
      <c r="Y41" s="447"/>
      <c r="Z41" s="448"/>
      <c r="AA41" s="12">
        <f t="shared" si="2"/>
        <v>-138.4615384615372</v>
      </c>
      <c r="AB41" s="249">
        <f t="shared" si="56"/>
        <v>0.95384615384615423</v>
      </c>
      <c r="AC41" s="456">
        <f>AB50</f>
        <v>0.94967041615308168</v>
      </c>
    </row>
    <row r="42" spans="1:29" ht="15.75" customHeight="1">
      <c r="A42" s="454" t="s">
        <v>1078</v>
      </c>
      <c r="B42" s="31" t="s">
        <v>79</v>
      </c>
      <c r="C42" s="444" t="s">
        <v>81</v>
      </c>
      <c r="D42" s="445"/>
      <c r="E42" s="31">
        <v>27.17</v>
      </c>
      <c r="F42" s="258">
        <v>3000</v>
      </c>
      <c r="G42" s="247">
        <f t="shared" si="58"/>
        <v>81510</v>
      </c>
      <c r="H42" s="259">
        <v>2</v>
      </c>
      <c r="I42" s="255">
        <v>10</v>
      </c>
      <c r="J42" s="26">
        <v>3000</v>
      </c>
      <c r="K42" s="10">
        <f t="shared" si="53"/>
        <v>300</v>
      </c>
      <c r="L42" s="255">
        <v>10</v>
      </c>
      <c r="M42" s="11">
        <f t="shared" si="59"/>
        <v>2857.1428571428564</v>
      </c>
      <c r="N42" s="11">
        <f t="shared" si="60"/>
        <v>285.71428571428567</v>
      </c>
      <c r="O42" s="12">
        <f t="shared" si="61"/>
        <v>0</v>
      </c>
      <c r="P42" s="13">
        <f t="shared" si="50"/>
        <v>-14.285714285714334</v>
      </c>
      <c r="Q42" s="249">
        <f t="shared" si="51"/>
        <v>0.95238095238095222</v>
      </c>
      <c r="R42" s="457"/>
      <c r="S42" s="28">
        <v>0.25902777777777775</v>
      </c>
      <c r="T42" s="28">
        <v>0.30277777777777776</v>
      </c>
      <c r="U42" s="247">
        <f>(S42-T41)*24*60</f>
        <v>7.9999999999999716</v>
      </c>
      <c r="V42" s="256">
        <f t="shared" si="62"/>
        <v>63.000000000000014</v>
      </c>
      <c r="W42" s="16"/>
      <c r="X42" s="16"/>
      <c r="Y42" s="447"/>
      <c r="Z42" s="448"/>
      <c r="AA42" s="12">
        <f t="shared" si="2"/>
        <v>-142.85714285714357</v>
      </c>
      <c r="AB42" s="249">
        <f t="shared" si="56"/>
        <v>0.95238095238095211</v>
      </c>
      <c r="AC42" s="457"/>
    </row>
    <row r="43" spans="1:29" ht="15.75" customHeight="1">
      <c r="A43" s="454" t="s">
        <v>1078</v>
      </c>
      <c r="B43" s="31" t="s">
        <v>79</v>
      </c>
      <c r="C43" s="444" t="s">
        <v>82</v>
      </c>
      <c r="D43" s="445"/>
      <c r="E43" s="31">
        <v>35.119999999999997</v>
      </c>
      <c r="F43" s="258">
        <v>4761</v>
      </c>
      <c r="G43" s="247">
        <f t="shared" si="58"/>
        <v>167206.31999999998</v>
      </c>
      <c r="H43" s="259" t="s">
        <v>103</v>
      </c>
      <c r="I43" s="255">
        <v>10</v>
      </c>
      <c r="J43" s="26">
        <v>3000</v>
      </c>
      <c r="K43" s="10">
        <f t="shared" si="53"/>
        <v>300</v>
      </c>
      <c r="L43" s="255">
        <v>10</v>
      </c>
      <c r="M43" s="11">
        <f>F43/V43*60</f>
        <v>2828.316831683167</v>
      </c>
      <c r="N43" s="11">
        <f t="shared" si="60"/>
        <v>282.83168316831672</v>
      </c>
      <c r="O43" s="12">
        <f t="shared" si="61"/>
        <v>0</v>
      </c>
      <c r="P43" s="13">
        <f t="shared" si="50"/>
        <v>-17.168316831683285</v>
      </c>
      <c r="Q43" s="249">
        <f t="shared" si="51"/>
        <v>0.94277227722772239</v>
      </c>
      <c r="R43" s="457"/>
      <c r="S43" s="28">
        <v>0.30694444444444441</v>
      </c>
      <c r="T43" s="28">
        <v>0.37708333333333333</v>
      </c>
      <c r="U43" s="247">
        <f t="shared" ref="U43:U49" si="63">(S43-T42)*24*60</f>
        <v>5.9999999999999787</v>
      </c>
      <c r="V43" s="256">
        <f t="shared" si="62"/>
        <v>101.00000000000004</v>
      </c>
      <c r="W43" s="16"/>
      <c r="X43" s="16"/>
      <c r="Y43" s="447"/>
      <c r="Z43" s="448"/>
      <c r="AA43" s="12">
        <f t="shared" si="2"/>
        <v>-171.68316831683296</v>
      </c>
      <c r="AB43" s="249">
        <f t="shared" si="56"/>
        <v>0.94277227722772239</v>
      </c>
      <c r="AC43" s="457"/>
    </row>
    <row r="44" spans="1:29" ht="15.75" customHeight="1">
      <c r="A44" s="454" t="s">
        <v>1078</v>
      </c>
      <c r="B44" s="31" t="s">
        <v>79</v>
      </c>
      <c r="C44" s="444" t="s">
        <v>83</v>
      </c>
      <c r="D44" s="445"/>
      <c r="E44" s="31">
        <v>40.18</v>
      </c>
      <c r="F44" s="258">
        <v>1844</v>
      </c>
      <c r="G44" s="247">
        <f t="shared" si="58"/>
        <v>74091.92</v>
      </c>
      <c r="H44" s="259" t="s">
        <v>103</v>
      </c>
      <c r="I44" s="255">
        <v>10</v>
      </c>
      <c r="J44" s="26">
        <v>3000</v>
      </c>
      <c r="K44" s="10">
        <f t="shared" si="53"/>
        <v>300</v>
      </c>
      <c r="L44" s="255">
        <v>10</v>
      </c>
      <c r="M44" s="11">
        <f t="shared" ref="M44:M49" si="64">F44/V44*60</f>
        <v>2836.9230769230753</v>
      </c>
      <c r="N44" s="11">
        <f t="shared" si="60"/>
        <v>283.69230769230751</v>
      </c>
      <c r="O44" s="12">
        <f t="shared" si="61"/>
        <v>0</v>
      </c>
      <c r="P44" s="13">
        <f t="shared" si="50"/>
        <v>-16.307692307692491</v>
      </c>
      <c r="Q44" s="249">
        <f t="shared" si="51"/>
        <v>0.94564102564102503</v>
      </c>
      <c r="R44" s="457"/>
      <c r="S44" s="28">
        <v>0.38263888888888886</v>
      </c>
      <c r="T44" s="28">
        <v>0.40972222222222221</v>
      </c>
      <c r="U44" s="247">
        <f t="shared" si="63"/>
        <v>7.9999999999999716</v>
      </c>
      <c r="V44" s="256">
        <f t="shared" si="62"/>
        <v>39.000000000000021</v>
      </c>
      <c r="W44" s="16"/>
      <c r="X44" s="16"/>
      <c r="Y44" s="447"/>
      <c r="Z44" s="448"/>
      <c r="AA44" s="12">
        <f t="shared" si="2"/>
        <v>-163.07692307692469</v>
      </c>
      <c r="AB44" s="249">
        <f t="shared" si="56"/>
        <v>0.94564102564102515</v>
      </c>
      <c r="AC44" s="457"/>
    </row>
    <row r="45" spans="1:29" ht="15.75" customHeight="1">
      <c r="A45" s="454" t="s">
        <v>1078</v>
      </c>
      <c r="B45" s="31" t="s">
        <v>79</v>
      </c>
      <c r="C45" s="444" t="s">
        <v>84</v>
      </c>
      <c r="D45" s="445"/>
      <c r="E45" s="31">
        <v>28.5</v>
      </c>
      <c r="F45" s="258">
        <v>1012</v>
      </c>
      <c r="G45" s="247">
        <f t="shared" si="58"/>
        <v>28842</v>
      </c>
      <c r="H45" s="259" t="s">
        <v>103</v>
      </c>
      <c r="I45" s="255">
        <v>10</v>
      </c>
      <c r="J45" s="26">
        <v>3000</v>
      </c>
      <c r="K45" s="10">
        <f t="shared" si="53"/>
        <v>300</v>
      </c>
      <c r="L45" s="255">
        <v>10</v>
      </c>
      <c r="M45" s="11">
        <f t="shared" si="64"/>
        <v>2891.4285714285706</v>
      </c>
      <c r="N45" s="11">
        <f t="shared" si="60"/>
        <v>289.14285714285705</v>
      </c>
      <c r="O45" s="12">
        <f t="shared" si="61"/>
        <v>0</v>
      </c>
      <c r="P45" s="13">
        <f t="shared" si="50"/>
        <v>-10.857142857142946</v>
      </c>
      <c r="Q45" s="249">
        <f>N45/K45</f>
        <v>0.96380952380952356</v>
      </c>
      <c r="R45" s="457"/>
      <c r="S45" s="28">
        <v>0.41319444444444442</v>
      </c>
      <c r="T45" s="28">
        <v>0.42777777777777776</v>
      </c>
      <c r="U45" s="247">
        <f t="shared" si="63"/>
        <v>4.9999999999999822</v>
      </c>
      <c r="V45" s="256">
        <f t="shared" si="62"/>
        <v>21.000000000000007</v>
      </c>
      <c r="W45" s="16"/>
      <c r="X45" s="16"/>
      <c r="Y45" s="447"/>
      <c r="Z45" s="448"/>
      <c r="AA45" s="12">
        <f t="shared" si="2"/>
        <v>-108.57142857142935</v>
      </c>
      <c r="AB45" s="249">
        <f t="shared" si="56"/>
        <v>0.96380952380952356</v>
      </c>
      <c r="AC45" s="457"/>
    </row>
    <row r="46" spans="1:29" ht="15.75" customHeight="1">
      <c r="A46" s="454" t="s">
        <v>1078</v>
      </c>
      <c r="B46" s="31" t="s">
        <v>79</v>
      </c>
      <c r="C46" s="444" t="s">
        <v>85</v>
      </c>
      <c r="D46" s="445"/>
      <c r="E46" s="31">
        <v>35.869999999999997</v>
      </c>
      <c r="F46" s="258">
        <v>3303</v>
      </c>
      <c r="G46" s="247">
        <f t="shared" si="58"/>
        <v>118478.60999999999</v>
      </c>
      <c r="H46" s="259" t="s">
        <v>103</v>
      </c>
      <c r="I46" s="255">
        <v>10</v>
      </c>
      <c r="J46" s="26">
        <v>3000</v>
      </c>
      <c r="K46" s="10">
        <f t="shared" si="53"/>
        <v>300</v>
      </c>
      <c r="L46" s="255">
        <v>10</v>
      </c>
      <c r="M46" s="11">
        <f t="shared" si="64"/>
        <v>2831.1428571428578</v>
      </c>
      <c r="N46" s="11">
        <f t="shared" si="60"/>
        <v>283.11428571428576</v>
      </c>
      <c r="O46" s="12">
        <f t="shared" si="61"/>
        <v>0</v>
      </c>
      <c r="P46" s="13">
        <f t="shared" si="50"/>
        <v>-16.885714285714243</v>
      </c>
      <c r="Q46" s="249">
        <f t="shared" ref="Q46:Q50" si="65">N46/K46</f>
        <v>0.94371428571428584</v>
      </c>
      <c r="R46" s="457"/>
      <c r="S46" s="28">
        <v>0.43124999999999997</v>
      </c>
      <c r="T46" s="28">
        <v>0.47986111111111107</v>
      </c>
      <c r="U46" s="247">
        <f t="shared" si="63"/>
        <v>4.9999999999999822</v>
      </c>
      <c r="V46" s="256">
        <f t="shared" si="62"/>
        <v>69.999999999999986</v>
      </c>
      <c r="W46" s="16"/>
      <c r="X46" s="16"/>
      <c r="Y46" s="447"/>
      <c r="Z46" s="448"/>
      <c r="AA46" s="12">
        <f t="shared" si="2"/>
        <v>-168.85714285714221</v>
      </c>
      <c r="AB46" s="249">
        <f t="shared" si="56"/>
        <v>0.94371428571428595</v>
      </c>
      <c r="AC46" s="457"/>
    </row>
    <row r="47" spans="1:29" ht="15.75" customHeight="1">
      <c r="A47" s="454" t="s">
        <v>1078</v>
      </c>
      <c r="B47" s="31" t="s">
        <v>79</v>
      </c>
      <c r="C47" s="444" t="s">
        <v>86</v>
      </c>
      <c r="D47" s="445"/>
      <c r="E47" s="31">
        <v>36.14</v>
      </c>
      <c r="F47" s="258">
        <v>2730</v>
      </c>
      <c r="G47" s="247">
        <f t="shared" si="58"/>
        <v>98662.2</v>
      </c>
      <c r="H47" s="259" t="s">
        <v>103</v>
      </c>
      <c r="I47" s="255">
        <v>8</v>
      </c>
      <c r="J47" s="26">
        <v>3000</v>
      </c>
      <c r="K47" s="10">
        <f t="shared" si="53"/>
        <v>375</v>
      </c>
      <c r="L47" s="255">
        <v>8</v>
      </c>
      <c r="M47" s="11">
        <f t="shared" si="64"/>
        <v>2873.6842105263177</v>
      </c>
      <c r="N47" s="11">
        <f t="shared" si="60"/>
        <v>359.21052631578971</v>
      </c>
      <c r="O47" s="12">
        <f t="shared" si="61"/>
        <v>0</v>
      </c>
      <c r="P47" s="13">
        <f t="shared" si="50"/>
        <v>-15.789473684210293</v>
      </c>
      <c r="Q47" s="249">
        <f t="shared" si="65"/>
        <v>0.95789473684210591</v>
      </c>
      <c r="R47" s="457"/>
      <c r="S47" s="28">
        <v>0.48333333333333328</v>
      </c>
      <c r="T47" s="28">
        <v>0.52291666666666659</v>
      </c>
      <c r="U47" s="247">
        <f t="shared" si="63"/>
        <v>4.9999999999999822</v>
      </c>
      <c r="V47" s="256">
        <f t="shared" si="62"/>
        <v>56.999999999999957</v>
      </c>
      <c r="W47" s="16">
        <f>T47</f>
        <v>0.52291666666666659</v>
      </c>
      <c r="X47" s="16">
        <f>S48</f>
        <v>0.56180555555555545</v>
      </c>
      <c r="Y47" s="447"/>
      <c r="Z47" s="448"/>
      <c r="AA47" s="12">
        <f t="shared" si="2"/>
        <v>-126.31578947368234</v>
      </c>
      <c r="AB47" s="249">
        <f t="shared" si="56"/>
        <v>0.95789473684210591</v>
      </c>
      <c r="AC47" s="457"/>
    </row>
    <row r="48" spans="1:29" ht="15.75" customHeight="1">
      <c r="A48" s="454" t="s">
        <v>1078</v>
      </c>
      <c r="B48" s="31" t="s">
        <v>79</v>
      </c>
      <c r="C48" s="444" t="s">
        <v>81</v>
      </c>
      <c r="D48" s="445"/>
      <c r="E48" s="31">
        <v>27.17</v>
      </c>
      <c r="F48" s="258">
        <v>3974</v>
      </c>
      <c r="G48" s="247">
        <f t="shared" si="58"/>
        <v>107973.58</v>
      </c>
      <c r="H48" s="259" t="s">
        <v>103</v>
      </c>
      <c r="I48" s="255">
        <v>10</v>
      </c>
      <c r="J48" s="26">
        <v>3000</v>
      </c>
      <c r="K48" s="10">
        <f t="shared" si="53"/>
        <v>300</v>
      </c>
      <c r="L48" s="255">
        <v>10</v>
      </c>
      <c r="M48" s="11">
        <f t="shared" si="64"/>
        <v>2838.5714285714275</v>
      </c>
      <c r="N48" s="11">
        <f t="shared" si="60"/>
        <v>283.85714285714278</v>
      </c>
      <c r="O48" s="12">
        <f t="shared" si="61"/>
        <v>0</v>
      </c>
      <c r="P48" s="13">
        <f t="shared" si="50"/>
        <v>-16.142857142857224</v>
      </c>
      <c r="Q48" s="249">
        <f t="shared" si="65"/>
        <v>0.94619047619047592</v>
      </c>
      <c r="R48" s="457"/>
      <c r="S48" s="28">
        <v>0.56180555555555545</v>
      </c>
      <c r="T48" s="28">
        <v>0.6201388888888888</v>
      </c>
      <c r="U48" s="247">
        <f t="shared" si="63"/>
        <v>55.999999999999957</v>
      </c>
      <c r="V48" s="256">
        <f t="shared" si="62"/>
        <v>84.000000000000028</v>
      </c>
      <c r="W48" s="16"/>
      <c r="X48" s="16"/>
      <c r="Y48" s="447"/>
      <c r="Z48" s="448"/>
      <c r="AA48" s="12">
        <f t="shared" si="2"/>
        <v>-161.42857142857247</v>
      </c>
      <c r="AB48" s="249">
        <f t="shared" si="56"/>
        <v>0.9461904761904758</v>
      </c>
      <c r="AC48" s="457"/>
    </row>
    <row r="49" spans="1:29" ht="15.75" customHeight="1">
      <c r="A49" s="454" t="s">
        <v>1078</v>
      </c>
      <c r="B49" s="31" t="s">
        <v>79</v>
      </c>
      <c r="C49" s="444" t="s">
        <v>80</v>
      </c>
      <c r="D49" s="445"/>
      <c r="E49" s="31">
        <v>21.13</v>
      </c>
      <c r="F49" s="258">
        <v>2399</v>
      </c>
      <c r="G49" s="247">
        <f t="shared" si="58"/>
        <v>50690.869999999995</v>
      </c>
      <c r="H49" s="259" t="s">
        <v>103</v>
      </c>
      <c r="I49" s="255">
        <v>10</v>
      </c>
      <c r="J49" s="26">
        <v>3000</v>
      </c>
      <c r="K49" s="10">
        <f t="shared" si="53"/>
        <v>300</v>
      </c>
      <c r="L49" s="255">
        <v>10</v>
      </c>
      <c r="M49" s="11">
        <f t="shared" si="64"/>
        <v>2822.3529411764721</v>
      </c>
      <c r="N49" s="11">
        <f t="shared" si="60"/>
        <v>282.23529411764719</v>
      </c>
      <c r="O49" s="12">
        <f t="shared" si="61"/>
        <v>0</v>
      </c>
      <c r="P49" s="13">
        <f t="shared" si="50"/>
        <v>-17.764705882352814</v>
      </c>
      <c r="Q49" s="249">
        <f t="shared" si="65"/>
        <v>0.94078431372549065</v>
      </c>
      <c r="R49" s="457"/>
      <c r="S49" s="28">
        <v>0.62430555555555545</v>
      </c>
      <c r="T49" s="28">
        <v>0.6597222222222221</v>
      </c>
      <c r="U49" s="247">
        <f t="shared" si="63"/>
        <v>5.9999999999999787</v>
      </c>
      <c r="V49" s="256">
        <f t="shared" si="62"/>
        <v>50.999999999999979</v>
      </c>
      <c r="W49" s="16"/>
      <c r="X49" s="16"/>
      <c r="Y49" s="447"/>
      <c r="Z49" s="448"/>
      <c r="AA49" s="12">
        <f t="shared" si="2"/>
        <v>-177.64705882352791</v>
      </c>
      <c r="AB49" s="249">
        <f t="shared" si="56"/>
        <v>0.94078431372549065</v>
      </c>
      <c r="AC49" s="457"/>
    </row>
    <row r="50" spans="1:29" ht="15.75" customHeight="1">
      <c r="A50" s="455" t="s">
        <v>1078</v>
      </c>
      <c r="B50" s="31" t="s">
        <v>1074</v>
      </c>
      <c r="C50" s="459"/>
      <c r="D50" s="460"/>
      <c r="E50" s="254"/>
      <c r="F50" s="258"/>
      <c r="G50" s="247"/>
      <c r="H50" s="258"/>
      <c r="I50" s="19">
        <v>9.7777777777777786</v>
      </c>
      <c r="J50" s="26">
        <v>3000</v>
      </c>
      <c r="K50" s="10">
        <f>J50/I50</f>
        <v>306.81818181818181</v>
      </c>
      <c r="L50" s="19">
        <v>9.7777777777777786</v>
      </c>
      <c r="M50" s="11">
        <f>AVERAGE(M41:M49)</f>
        <v>2849.0112484592451</v>
      </c>
      <c r="N50" s="10">
        <f t="shared" si="60"/>
        <v>291.37615041060457</v>
      </c>
      <c r="O50" s="12">
        <f t="shared" si="61"/>
        <v>0</v>
      </c>
      <c r="P50" s="13">
        <f t="shared" si="50"/>
        <v>-15.442031407577247</v>
      </c>
      <c r="Q50" s="249">
        <f t="shared" si="65"/>
        <v>0.94967041615308156</v>
      </c>
      <c r="R50" s="458"/>
      <c r="S50" s="28"/>
      <c r="T50" s="28"/>
      <c r="U50" s="247"/>
      <c r="V50" s="256"/>
      <c r="W50" s="16"/>
      <c r="X50" s="16"/>
      <c r="Y50" s="447"/>
      <c r="Z50" s="448"/>
      <c r="AA50" s="12">
        <f t="shared" si="2"/>
        <v>-150.98875154075495</v>
      </c>
      <c r="AB50" s="249">
        <f t="shared" si="56"/>
        <v>0.94967041615308168</v>
      </c>
      <c r="AC50" s="458"/>
    </row>
    <row r="51" spans="1:29" ht="15.75" customHeight="1">
      <c r="A51" s="451" t="s">
        <v>1079</v>
      </c>
      <c r="B51" s="31" t="s">
        <v>53</v>
      </c>
      <c r="C51" s="441" t="s">
        <v>87</v>
      </c>
      <c r="D51" s="441"/>
      <c r="E51" s="31">
        <v>46</v>
      </c>
      <c r="F51" s="35">
        <v>3670</v>
      </c>
      <c r="G51" s="247">
        <f t="shared" ref="G51:G56" si="66">E51*F51</f>
        <v>168820</v>
      </c>
      <c r="H51" s="259" t="s">
        <v>103</v>
      </c>
      <c r="I51" s="255">
        <v>17</v>
      </c>
      <c r="J51" s="26">
        <v>2000</v>
      </c>
      <c r="K51" s="10">
        <f t="shared" ref="K51:K56" si="67">J51/I51</f>
        <v>117.64705882352941</v>
      </c>
      <c r="L51" s="255">
        <v>17</v>
      </c>
      <c r="M51" s="11">
        <f t="shared" ref="M51:M56" si="68">F51/V51*60</f>
        <v>1898.2758620689656</v>
      </c>
      <c r="N51" s="11">
        <f>M51/L51</f>
        <v>111.6632860040568</v>
      </c>
      <c r="O51" s="12">
        <f>L51-I51</f>
        <v>0</v>
      </c>
      <c r="P51" s="13">
        <f>N51-K51</f>
        <v>-5.9837728194726054</v>
      </c>
      <c r="Q51" s="249">
        <f>N51/K51</f>
        <v>0.94913793103448285</v>
      </c>
      <c r="R51" s="442">
        <f>Q57</f>
        <v>0.94949517305870412</v>
      </c>
      <c r="S51" s="28">
        <v>0.25</v>
      </c>
      <c r="T51" s="28">
        <v>0.33055555555555555</v>
      </c>
      <c r="U51" s="18"/>
      <c r="V51" s="256">
        <f t="shared" ref="V51:V56" si="69">(T51-S51)*24*60</f>
        <v>115.99999999999999</v>
      </c>
      <c r="W51" s="18"/>
      <c r="X51" s="18"/>
      <c r="Y51" s="443"/>
      <c r="Z51" s="443"/>
      <c r="AA51" s="12">
        <f t="shared" si="2"/>
        <v>-101.72413793103442</v>
      </c>
      <c r="AB51" s="249">
        <f t="shared" si="56"/>
        <v>0.94913793103448274</v>
      </c>
      <c r="AC51" s="442">
        <f>AB57</f>
        <v>0.94949517305870412</v>
      </c>
    </row>
    <row r="52" spans="1:29" ht="15.75" customHeight="1">
      <c r="A52" s="451" t="s">
        <v>1079</v>
      </c>
      <c r="B52" s="31" t="s">
        <v>53</v>
      </c>
      <c r="C52" s="441" t="s">
        <v>88</v>
      </c>
      <c r="D52" s="441"/>
      <c r="E52" s="31">
        <v>46</v>
      </c>
      <c r="F52" s="35">
        <v>3693</v>
      </c>
      <c r="G52" s="247">
        <f t="shared" si="66"/>
        <v>169878</v>
      </c>
      <c r="H52" s="259" t="s">
        <v>103</v>
      </c>
      <c r="I52" s="255">
        <v>17</v>
      </c>
      <c r="J52" s="26">
        <v>2000</v>
      </c>
      <c r="K52" s="10">
        <f t="shared" si="67"/>
        <v>117.64705882352941</v>
      </c>
      <c r="L52" s="255">
        <v>17</v>
      </c>
      <c r="M52" s="11">
        <f t="shared" si="68"/>
        <v>1893.8461538461543</v>
      </c>
      <c r="N52" s="11">
        <f t="shared" ref="N52:N56" si="70">M52/L52</f>
        <v>111.40271493212673</v>
      </c>
      <c r="O52" s="12">
        <f t="shared" ref="O52:O56" si="71">L52-I52</f>
        <v>0</v>
      </c>
      <c r="P52" s="13">
        <f t="shared" ref="P52:P56" si="72">N52-K52</f>
        <v>-6.2443438914026785</v>
      </c>
      <c r="Q52" s="249">
        <f t="shared" ref="Q52:Q56" si="73">N52/K52</f>
        <v>0.9469230769230772</v>
      </c>
      <c r="R52" s="442"/>
      <c r="S52" s="28">
        <v>0.3347222222222222</v>
      </c>
      <c r="T52" s="28">
        <v>0.41597222222222219</v>
      </c>
      <c r="U52" s="247">
        <f>IF(S52=TIME(17,0,0),"",(S52-T51)*24*60)</f>
        <v>5.9999999999999787</v>
      </c>
      <c r="V52" s="256">
        <f t="shared" si="69"/>
        <v>116.99999999999999</v>
      </c>
      <c r="W52" s="16"/>
      <c r="X52" s="16"/>
      <c r="Y52" s="443"/>
      <c r="Z52" s="443"/>
      <c r="AA52" s="12">
        <f t="shared" si="2"/>
        <v>-106.15384615384573</v>
      </c>
      <c r="AB52" s="249">
        <f t="shared" si="56"/>
        <v>0.94692307692307709</v>
      </c>
      <c r="AC52" s="442"/>
    </row>
    <row r="53" spans="1:29" ht="15.75" customHeight="1">
      <c r="A53" s="451" t="s">
        <v>1079</v>
      </c>
      <c r="B53" s="31" t="s">
        <v>58</v>
      </c>
      <c r="C53" s="444" t="s">
        <v>168</v>
      </c>
      <c r="D53" s="445"/>
      <c r="E53" s="31">
        <v>54.09</v>
      </c>
      <c r="F53" s="35">
        <v>2348</v>
      </c>
      <c r="G53" s="247">
        <f t="shared" si="66"/>
        <v>127003.32</v>
      </c>
      <c r="H53" s="259" t="s">
        <v>103</v>
      </c>
      <c r="I53" s="255">
        <v>16</v>
      </c>
      <c r="J53" s="26">
        <v>2000</v>
      </c>
      <c r="K53" s="10">
        <f t="shared" si="67"/>
        <v>125</v>
      </c>
      <c r="L53" s="255">
        <v>16</v>
      </c>
      <c r="M53" s="11">
        <f t="shared" si="68"/>
        <v>1903.7837837837844</v>
      </c>
      <c r="N53" s="11">
        <f t="shared" si="70"/>
        <v>118.98648648648653</v>
      </c>
      <c r="O53" s="12">
        <f t="shared" si="71"/>
        <v>0</v>
      </c>
      <c r="P53" s="13">
        <f t="shared" si="72"/>
        <v>-6.0135135135134732</v>
      </c>
      <c r="Q53" s="249">
        <f t="shared" si="73"/>
        <v>0.95189189189189216</v>
      </c>
      <c r="R53" s="442"/>
      <c r="S53" s="28">
        <v>0.42013888888888884</v>
      </c>
      <c r="T53" s="28">
        <v>0.47152777777777771</v>
      </c>
      <c r="U53" s="247">
        <f t="shared" ref="U53:U56" si="74">IF(S53=TIME(17,0,0),"",(S53-T52)*24*60)</f>
        <v>5.9999999999999787</v>
      </c>
      <c r="V53" s="256">
        <f t="shared" si="69"/>
        <v>73.999999999999972</v>
      </c>
      <c r="W53" s="16"/>
      <c r="X53" s="16"/>
      <c r="Y53" s="252"/>
      <c r="Z53" s="253"/>
      <c r="AA53" s="12">
        <f t="shared" si="2"/>
        <v>-96.216216216215571</v>
      </c>
      <c r="AB53" s="249">
        <f t="shared" si="56"/>
        <v>0.95189189189189216</v>
      </c>
      <c r="AC53" s="442"/>
    </row>
    <row r="54" spans="1:29" ht="15.75" customHeight="1">
      <c r="A54" s="451" t="s">
        <v>1079</v>
      </c>
      <c r="B54" s="31" t="s">
        <v>58</v>
      </c>
      <c r="C54" s="250" t="s">
        <v>89</v>
      </c>
      <c r="D54" s="251"/>
      <c r="E54" s="31">
        <v>55.56</v>
      </c>
      <c r="F54" s="35">
        <v>2659</v>
      </c>
      <c r="G54" s="247">
        <f t="shared" si="66"/>
        <v>147734.04</v>
      </c>
      <c r="H54" s="259" t="s">
        <v>103</v>
      </c>
      <c r="I54" s="255">
        <v>17</v>
      </c>
      <c r="J54" s="26">
        <v>2000</v>
      </c>
      <c r="K54" s="10">
        <f t="shared" si="67"/>
        <v>117.64705882352941</v>
      </c>
      <c r="L54" s="255">
        <v>17</v>
      </c>
      <c r="M54" s="11">
        <f t="shared" si="68"/>
        <v>1899.2857142857138</v>
      </c>
      <c r="N54" s="11">
        <f t="shared" si="70"/>
        <v>111.72268907563023</v>
      </c>
      <c r="O54" s="12">
        <f t="shared" si="71"/>
        <v>0</v>
      </c>
      <c r="P54" s="13">
        <f t="shared" si="72"/>
        <v>-5.9243697478991777</v>
      </c>
      <c r="Q54" s="249">
        <f t="shared" si="73"/>
        <v>0.94964285714285701</v>
      </c>
      <c r="R54" s="442"/>
      <c r="S54" s="28">
        <v>0.70833333333333337</v>
      </c>
      <c r="T54" s="28">
        <v>0.76666666666666672</v>
      </c>
      <c r="U54" s="247" t="str">
        <f t="shared" si="74"/>
        <v/>
      </c>
      <c r="V54" s="256">
        <f t="shared" si="69"/>
        <v>84.000000000000028</v>
      </c>
      <c r="W54" s="16"/>
      <c r="X54" s="16"/>
      <c r="Y54" s="252"/>
      <c r="Z54" s="253"/>
      <c r="AA54" s="12">
        <f t="shared" si="2"/>
        <v>-100.71428571428623</v>
      </c>
      <c r="AB54" s="249">
        <f t="shared" si="56"/>
        <v>0.9496428571428569</v>
      </c>
      <c r="AC54" s="442"/>
    </row>
    <row r="55" spans="1:29" ht="15.75" customHeight="1">
      <c r="A55" s="451" t="s">
        <v>1079</v>
      </c>
      <c r="B55" s="31" t="s">
        <v>58</v>
      </c>
      <c r="C55" s="250" t="s">
        <v>90</v>
      </c>
      <c r="D55" s="251"/>
      <c r="E55" s="31">
        <v>55.32</v>
      </c>
      <c r="F55" s="35">
        <v>2035</v>
      </c>
      <c r="G55" s="247">
        <f t="shared" si="66"/>
        <v>112576.2</v>
      </c>
      <c r="H55" s="259" t="s">
        <v>103</v>
      </c>
      <c r="I55" s="255">
        <v>15</v>
      </c>
      <c r="J55" s="26">
        <v>2000</v>
      </c>
      <c r="K55" s="10">
        <f t="shared" si="67"/>
        <v>133.33333333333334</v>
      </c>
      <c r="L55" s="255">
        <v>15</v>
      </c>
      <c r="M55" s="11">
        <f t="shared" si="68"/>
        <v>1907.812500000002</v>
      </c>
      <c r="N55" s="11">
        <f t="shared" si="70"/>
        <v>127.18750000000014</v>
      </c>
      <c r="O55" s="12">
        <f t="shared" si="71"/>
        <v>0</v>
      </c>
      <c r="P55" s="13">
        <f t="shared" si="72"/>
        <v>-6.1458333333332007</v>
      </c>
      <c r="Q55" s="249">
        <f t="shared" si="73"/>
        <v>0.95390625000000095</v>
      </c>
      <c r="R55" s="442"/>
      <c r="S55" s="28">
        <v>0.77083333333333337</v>
      </c>
      <c r="T55" s="28">
        <v>0.81527777777777777</v>
      </c>
      <c r="U55" s="247">
        <f t="shared" si="74"/>
        <v>5.9999999999999787</v>
      </c>
      <c r="V55" s="256">
        <f t="shared" si="69"/>
        <v>63.999999999999929</v>
      </c>
      <c r="W55" s="16"/>
      <c r="X55" s="16"/>
      <c r="Y55" s="252"/>
      <c r="Z55" s="253"/>
      <c r="AA55" s="12">
        <f t="shared" si="2"/>
        <v>-92.187499999997954</v>
      </c>
      <c r="AB55" s="249">
        <f t="shared" si="56"/>
        <v>0.95390625000000107</v>
      </c>
      <c r="AC55" s="442"/>
    </row>
    <row r="56" spans="1:29" ht="15.75" customHeight="1">
      <c r="A56" s="451" t="s">
        <v>1079</v>
      </c>
      <c r="B56" s="31" t="s">
        <v>58</v>
      </c>
      <c r="C56" s="444" t="s">
        <v>91</v>
      </c>
      <c r="D56" s="445"/>
      <c r="E56" s="31">
        <v>57.73</v>
      </c>
      <c r="F56" s="35">
        <v>1487</v>
      </c>
      <c r="G56" s="247">
        <f t="shared" si="66"/>
        <v>85844.51</v>
      </c>
      <c r="H56" s="259" t="s">
        <v>103</v>
      </c>
      <c r="I56" s="255">
        <v>16</v>
      </c>
      <c r="J56" s="26">
        <v>1500</v>
      </c>
      <c r="K56" s="10">
        <f t="shared" si="67"/>
        <v>93.75</v>
      </c>
      <c r="L56" s="255">
        <v>16</v>
      </c>
      <c r="M56" s="11">
        <f t="shared" si="68"/>
        <v>1416.1904761904775</v>
      </c>
      <c r="N56" s="11">
        <f t="shared" si="70"/>
        <v>88.511904761904844</v>
      </c>
      <c r="O56" s="12">
        <f t="shared" si="71"/>
        <v>0</v>
      </c>
      <c r="P56" s="13">
        <f t="shared" si="72"/>
        <v>-5.2380952380951555</v>
      </c>
      <c r="Q56" s="249">
        <f t="shared" si="73"/>
        <v>0.94412698412698504</v>
      </c>
      <c r="R56" s="442"/>
      <c r="S56" s="28">
        <v>0.81874999999999998</v>
      </c>
      <c r="T56" s="28">
        <v>0.86249999999999993</v>
      </c>
      <c r="U56" s="247">
        <f t="shared" si="74"/>
        <v>4.9999999999999822</v>
      </c>
      <c r="V56" s="256">
        <f t="shared" si="69"/>
        <v>62.999999999999936</v>
      </c>
      <c r="W56" s="16"/>
      <c r="X56" s="16"/>
      <c r="Y56" s="447"/>
      <c r="Z56" s="448"/>
      <c r="AA56" s="12">
        <f t="shared" si="2"/>
        <v>-83.809523809522489</v>
      </c>
      <c r="AB56" s="249">
        <f t="shared" si="56"/>
        <v>0.94412698412698504</v>
      </c>
      <c r="AC56" s="442"/>
    </row>
    <row r="57" spans="1:29">
      <c r="A57" s="452" t="s">
        <v>1079</v>
      </c>
      <c r="B57" s="31" t="s">
        <v>1074</v>
      </c>
      <c r="C57" s="446"/>
      <c r="D57" s="446"/>
      <c r="E57" s="248"/>
      <c r="F57" s="33"/>
      <c r="G57" s="10"/>
      <c r="H57" s="258"/>
      <c r="I57" s="19">
        <v>16.333333333333332</v>
      </c>
      <c r="J57" s="26">
        <v>1916.6666666666667</v>
      </c>
      <c r="K57" s="10">
        <f>J57/I57</f>
        <v>117.34693877551021</v>
      </c>
      <c r="L57" s="19">
        <v>16.333333333333332</v>
      </c>
      <c r="M57" s="11">
        <f>AVERAGE(M51:M56)</f>
        <v>1819.8657483625163</v>
      </c>
      <c r="N57" s="10">
        <f>M57/L57</f>
        <v>111.42035194056223</v>
      </c>
      <c r="O57" s="12">
        <f>L57-I57</f>
        <v>0</v>
      </c>
      <c r="P57" s="13">
        <f>N57-K57</f>
        <v>-5.9265868349479831</v>
      </c>
      <c r="Q57" s="249">
        <f>N57/K57</f>
        <v>0.94949517305870412</v>
      </c>
      <c r="R57" s="442"/>
      <c r="S57" s="29"/>
      <c r="T57" s="28"/>
      <c r="U57" s="10"/>
      <c r="V57" s="256"/>
      <c r="W57" s="10"/>
      <c r="X57" s="10"/>
      <c r="Y57" s="443"/>
      <c r="Z57" s="443"/>
      <c r="AA57" s="12">
        <f t="shared" si="2"/>
        <v>-96.8009183041504</v>
      </c>
      <c r="AB57" s="249">
        <f t="shared" si="56"/>
        <v>0.94949517305870412</v>
      </c>
      <c r="AC57" s="442"/>
    </row>
    <row r="58" spans="1:29" ht="15.75" customHeight="1">
      <c r="A58" s="449" t="s">
        <v>1080</v>
      </c>
      <c r="B58" s="258" t="s">
        <v>92</v>
      </c>
      <c r="C58" s="441" t="s">
        <v>93</v>
      </c>
      <c r="D58" s="441"/>
      <c r="E58" s="31">
        <v>84.51</v>
      </c>
      <c r="F58" s="35">
        <v>1256</v>
      </c>
      <c r="G58" s="247">
        <f t="shared" ref="G58:G63" si="75">E58*F58</f>
        <v>106144.56000000001</v>
      </c>
      <c r="H58" s="259" t="s">
        <v>103</v>
      </c>
      <c r="I58" s="255">
        <v>17</v>
      </c>
      <c r="J58" s="26">
        <v>2400</v>
      </c>
      <c r="K58" s="10">
        <f t="shared" ref="K58:K63" si="76">J58/I58</f>
        <v>141.1764705882353</v>
      </c>
      <c r="L58" s="19">
        <v>17</v>
      </c>
      <c r="M58" s="11">
        <f t="shared" ref="M58:M63" si="77">F58/V58*60</f>
        <v>2283.636363636364</v>
      </c>
      <c r="N58" s="10">
        <f>M58/L58</f>
        <v>134.33155080213905</v>
      </c>
      <c r="O58" s="12">
        <f t="shared" ref="O58:O63" si="78">L58-I58</f>
        <v>0</v>
      </c>
      <c r="P58" s="13">
        <f t="shared" ref="P58:P63" si="79">N58-K58</f>
        <v>-6.8449197860962556</v>
      </c>
      <c r="Q58" s="249">
        <f>N58/K58</f>
        <v>0.95151515151515154</v>
      </c>
      <c r="R58" s="442">
        <f>Q64</f>
        <v>0.94796224196328549</v>
      </c>
      <c r="S58" s="28">
        <v>0.16666666666666666</v>
      </c>
      <c r="T58" s="28">
        <v>0.18958333333333333</v>
      </c>
      <c r="U58" s="247"/>
      <c r="V58" s="256">
        <f t="shared" ref="V58:V63" si="80">(T58-S58)*24*60</f>
        <v>33</v>
      </c>
      <c r="W58" s="16">
        <f>T58</f>
        <v>0.18958333333333333</v>
      </c>
      <c r="X58" s="16">
        <f>S59</f>
        <v>0.20972222222222223</v>
      </c>
      <c r="Y58" s="443"/>
      <c r="Z58" s="443"/>
      <c r="AA58" s="12">
        <f t="shared" si="2"/>
        <v>-116.36363636363603</v>
      </c>
      <c r="AB58" s="249">
        <f t="shared" si="56"/>
        <v>0.95151515151515165</v>
      </c>
      <c r="AC58" s="442">
        <f>AB64</f>
        <v>0.94796224196328549</v>
      </c>
    </row>
    <row r="59" spans="1:29" ht="15.75" customHeight="1">
      <c r="A59" s="449" t="s">
        <v>1080</v>
      </c>
      <c r="B59" s="258" t="s">
        <v>79</v>
      </c>
      <c r="C59" s="441" t="s">
        <v>94</v>
      </c>
      <c r="D59" s="441"/>
      <c r="E59" s="31">
        <v>26.78</v>
      </c>
      <c r="F59" s="35">
        <v>2876</v>
      </c>
      <c r="G59" s="247">
        <f t="shared" si="75"/>
        <v>77019.28</v>
      </c>
      <c r="H59" s="259" t="s">
        <v>103</v>
      </c>
      <c r="I59" s="255">
        <v>10</v>
      </c>
      <c r="J59" s="26">
        <v>3000</v>
      </c>
      <c r="K59" s="10">
        <f t="shared" si="76"/>
        <v>300</v>
      </c>
      <c r="L59" s="19">
        <v>10</v>
      </c>
      <c r="M59" s="11">
        <f t="shared" si="77"/>
        <v>2828.8524590163943</v>
      </c>
      <c r="N59" s="10">
        <f t="shared" ref="N59:N63" si="81">M59/L59</f>
        <v>282.88524590163945</v>
      </c>
      <c r="O59" s="12">
        <f t="shared" si="78"/>
        <v>0</v>
      </c>
      <c r="P59" s="13">
        <f t="shared" si="79"/>
        <v>-17.11475409836055</v>
      </c>
      <c r="Q59" s="249">
        <f t="shared" ref="Q59:Q63" si="82">N59/K59</f>
        <v>0.94295081967213146</v>
      </c>
      <c r="R59" s="442"/>
      <c r="S59" s="28">
        <v>0.20972222222222223</v>
      </c>
      <c r="T59" s="28">
        <v>0.25208333333333333</v>
      </c>
      <c r="U59" s="247">
        <f>(S59-T58)*24*60</f>
        <v>29.000000000000018</v>
      </c>
      <c r="V59" s="256">
        <f t="shared" si="80"/>
        <v>60.999999999999986</v>
      </c>
      <c r="W59" s="247"/>
      <c r="X59" s="247"/>
      <c r="Y59" s="443"/>
      <c r="Z59" s="443"/>
      <c r="AA59" s="12">
        <f t="shared" si="2"/>
        <v>-171.14754098360572</v>
      </c>
      <c r="AB59" s="249">
        <f t="shared" si="56"/>
        <v>0.94295081967213146</v>
      </c>
      <c r="AC59" s="442"/>
    </row>
    <row r="60" spans="1:29" ht="15.75" customHeight="1">
      <c r="A60" s="449" t="s">
        <v>1080</v>
      </c>
      <c r="B60" s="258" t="s">
        <v>79</v>
      </c>
      <c r="C60" s="441" t="s">
        <v>95</v>
      </c>
      <c r="D60" s="441"/>
      <c r="E60" s="31">
        <v>35.369999999999997</v>
      </c>
      <c r="F60" s="35">
        <v>1703</v>
      </c>
      <c r="G60" s="247">
        <f t="shared" si="75"/>
        <v>60235.109999999993</v>
      </c>
      <c r="H60" s="259" t="s">
        <v>103</v>
      </c>
      <c r="I60" s="255">
        <v>10</v>
      </c>
      <c r="J60" s="26">
        <v>3000</v>
      </c>
      <c r="K60" s="10">
        <f t="shared" si="76"/>
        <v>300</v>
      </c>
      <c r="L60" s="19">
        <v>10</v>
      </c>
      <c r="M60" s="11">
        <f t="shared" si="77"/>
        <v>2838.3333333333312</v>
      </c>
      <c r="N60" s="10">
        <f t="shared" si="81"/>
        <v>283.83333333333314</v>
      </c>
      <c r="O60" s="12">
        <f t="shared" si="78"/>
        <v>0</v>
      </c>
      <c r="P60" s="13">
        <f t="shared" si="79"/>
        <v>-16.166666666666856</v>
      </c>
      <c r="Q60" s="249">
        <f t="shared" si="82"/>
        <v>0.94611111111111046</v>
      </c>
      <c r="R60" s="442"/>
      <c r="S60" s="28">
        <v>0.25694444444444442</v>
      </c>
      <c r="T60" s="28">
        <v>0.28194444444444444</v>
      </c>
      <c r="U60" s="247">
        <f t="shared" ref="U60:U63" si="83">(S60-T59)*24*60</f>
        <v>6.9999999999999751</v>
      </c>
      <c r="V60" s="256">
        <f t="shared" si="80"/>
        <v>36.000000000000028</v>
      </c>
      <c r="W60" s="247"/>
      <c r="X60" s="247"/>
      <c r="Y60" s="443"/>
      <c r="Z60" s="443"/>
      <c r="AA60" s="12">
        <f t="shared" si="2"/>
        <v>-161.66666666666879</v>
      </c>
      <c r="AB60" s="249">
        <f t="shared" si="56"/>
        <v>0.94611111111111046</v>
      </c>
      <c r="AC60" s="442"/>
    </row>
    <row r="61" spans="1:29" ht="15.75" customHeight="1">
      <c r="A61" s="449" t="s">
        <v>1080</v>
      </c>
      <c r="B61" s="258" t="s">
        <v>53</v>
      </c>
      <c r="C61" s="441" t="s">
        <v>96</v>
      </c>
      <c r="D61" s="441"/>
      <c r="E61" s="31">
        <v>26.97</v>
      </c>
      <c r="F61" s="35">
        <v>3654</v>
      </c>
      <c r="G61" s="247">
        <f t="shared" si="75"/>
        <v>98548.37999999999</v>
      </c>
      <c r="H61" s="259" t="s">
        <v>103</v>
      </c>
      <c r="I61" s="255">
        <v>8</v>
      </c>
      <c r="J61" s="26">
        <v>1500</v>
      </c>
      <c r="K61" s="10">
        <f t="shared" si="76"/>
        <v>187.5</v>
      </c>
      <c r="L61" s="19">
        <v>8</v>
      </c>
      <c r="M61" s="11">
        <f t="shared" si="77"/>
        <v>1414.4516129032259</v>
      </c>
      <c r="N61" s="10">
        <f t="shared" si="81"/>
        <v>176.80645161290323</v>
      </c>
      <c r="O61" s="12">
        <f t="shared" si="78"/>
        <v>0</v>
      </c>
      <c r="P61" s="13">
        <f t="shared" si="79"/>
        <v>-10.693548387096769</v>
      </c>
      <c r="Q61" s="249">
        <f t="shared" si="82"/>
        <v>0.94296774193548394</v>
      </c>
      <c r="R61" s="442"/>
      <c r="S61" s="28">
        <v>0.28611111111111109</v>
      </c>
      <c r="T61" s="28">
        <v>0.39374999999999999</v>
      </c>
      <c r="U61" s="247">
        <f t="shared" si="83"/>
        <v>5.9999999999999787</v>
      </c>
      <c r="V61" s="256">
        <f t="shared" si="80"/>
        <v>155</v>
      </c>
      <c r="W61" s="247"/>
      <c r="X61" s="247"/>
      <c r="Y61" s="443"/>
      <c r="Z61" s="443"/>
      <c r="AA61" s="12">
        <f t="shared" si="2"/>
        <v>-85.54838709677415</v>
      </c>
      <c r="AB61" s="249">
        <f t="shared" si="56"/>
        <v>0.94296774193548394</v>
      </c>
      <c r="AC61" s="442"/>
    </row>
    <row r="62" spans="1:29">
      <c r="A62" s="450" t="s">
        <v>1080</v>
      </c>
      <c r="B62" s="258" t="s">
        <v>79</v>
      </c>
      <c r="C62" s="441" t="s">
        <v>97</v>
      </c>
      <c r="D62" s="441"/>
      <c r="E62" s="31">
        <v>35.119999999999997</v>
      </c>
      <c r="F62" s="35">
        <v>1274</v>
      </c>
      <c r="G62" s="247">
        <f t="shared" si="75"/>
        <v>44742.879999999997</v>
      </c>
      <c r="H62" s="259" t="s">
        <v>103</v>
      </c>
      <c r="I62" s="255">
        <v>13</v>
      </c>
      <c r="J62" s="26">
        <v>2000</v>
      </c>
      <c r="K62" s="10">
        <f t="shared" si="76"/>
        <v>153.84615384615384</v>
      </c>
      <c r="L62" s="19">
        <v>13</v>
      </c>
      <c r="M62" s="11">
        <f t="shared" si="77"/>
        <v>1910.9999999999993</v>
      </c>
      <c r="N62" s="10">
        <f t="shared" si="81"/>
        <v>146.99999999999994</v>
      </c>
      <c r="O62" s="12">
        <f t="shared" si="78"/>
        <v>0</v>
      </c>
      <c r="P62" s="13">
        <f t="shared" si="79"/>
        <v>-6.8461538461538964</v>
      </c>
      <c r="Q62" s="249">
        <f t="shared" si="82"/>
        <v>0.95549999999999968</v>
      </c>
      <c r="R62" s="442"/>
      <c r="S62" s="28">
        <v>0.39930555555555552</v>
      </c>
      <c r="T62" s="28">
        <v>0.42708333333333331</v>
      </c>
      <c r="U62" s="247">
        <f t="shared" si="83"/>
        <v>7.9999999999999716</v>
      </c>
      <c r="V62" s="256">
        <f t="shared" si="80"/>
        <v>40.000000000000014</v>
      </c>
      <c r="W62" s="16"/>
      <c r="X62" s="16"/>
      <c r="Y62" s="443"/>
      <c r="Z62" s="443"/>
      <c r="AA62" s="12">
        <f t="shared" si="2"/>
        <v>-89.000000000000682</v>
      </c>
      <c r="AB62" s="249">
        <f t="shared" si="56"/>
        <v>0.95549999999999968</v>
      </c>
      <c r="AC62" s="442"/>
    </row>
    <row r="63" spans="1:29" ht="15" customHeight="1">
      <c r="A63" s="450" t="s">
        <v>1080</v>
      </c>
      <c r="B63" s="258" t="s">
        <v>79</v>
      </c>
      <c r="C63" s="444" t="s">
        <v>98</v>
      </c>
      <c r="D63" s="445"/>
      <c r="E63" s="31">
        <v>35.869999999999997</v>
      </c>
      <c r="F63" s="35">
        <v>2611</v>
      </c>
      <c r="G63" s="247">
        <f t="shared" si="75"/>
        <v>93656.569999999992</v>
      </c>
      <c r="H63" s="259" t="s">
        <v>103</v>
      </c>
      <c r="I63" s="255">
        <v>10</v>
      </c>
      <c r="J63" s="26">
        <v>3000</v>
      </c>
      <c r="K63" s="10">
        <f t="shared" si="76"/>
        <v>300</v>
      </c>
      <c r="L63" s="19">
        <v>10</v>
      </c>
      <c r="M63" s="11">
        <f t="shared" si="77"/>
        <v>2848.3636363636383</v>
      </c>
      <c r="N63" s="10">
        <f t="shared" si="81"/>
        <v>284.83636363636384</v>
      </c>
      <c r="O63" s="12">
        <f t="shared" si="78"/>
        <v>0</v>
      </c>
      <c r="P63" s="13">
        <f t="shared" si="79"/>
        <v>-15.163636363636158</v>
      </c>
      <c r="Q63" s="249">
        <f t="shared" si="82"/>
        <v>0.94945454545454611</v>
      </c>
      <c r="R63" s="442"/>
      <c r="S63" s="28">
        <v>0.43055555555555552</v>
      </c>
      <c r="T63" s="28">
        <v>0.46874999999999994</v>
      </c>
      <c r="U63" s="247">
        <f t="shared" si="83"/>
        <v>4.9999999999999822</v>
      </c>
      <c r="V63" s="256">
        <f t="shared" si="80"/>
        <v>54.999999999999964</v>
      </c>
      <c r="W63" s="247"/>
      <c r="X63" s="247"/>
      <c r="Y63" s="447"/>
      <c r="Z63" s="448"/>
      <c r="AA63" s="12">
        <f t="shared" si="2"/>
        <v>-151.63636363636169</v>
      </c>
      <c r="AB63" s="249">
        <f t="shared" si="56"/>
        <v>0.94945454545454611</v>
      </c>
      <c r="AC63" s="442"/>
    </row>
    <row r="64" spans="1:29">
      <c r="A64" s="450" t="s">
        <v>1080</v>
      </c>
      <c r="B64" s="31" t="s">
        <v>1074</v>
      </c>
      <c r="C64" s="446"/>
      <c r="D64" s="446"/>
      <c r="E64" s="248"/>
      <c r="F64" s="33"/>
      <c r="G64" s="10"/>
      <c r="H64" s="258"/>
      <c r="I64" s="19">
        <v>11.333333333333334</v>
      </c>
      <c r="J64" s="26">
        <v>2483.3333333333335</v>
      </c>
      <c r="K64" s="10">
        <f>J64/I64</f>
        <v>219.11764705882354</v>
      </c>
      <c r="L64" s="19">
        <v>11.333333333333334</v>
      </c>
      <c r="M64" s="11">
        <f>AVERAGE(M58:M63)</f>
        <v>2354.1062342088258</v>
      </c>
      <c r="N64" s="10">
        <f>M64/L64</f>
        <v>207.71525595960227</v>
      </c>
      <c r="O64" s="12">
        <f>L64-I64</f>
        <v>0</v>
      </c>
      <c r="P64" s="13">
        <f>N64-K64</f>
        <v>-11.402391099221262</v>
      </c>
      <c r="Q64" s="249">
        <f>N64/K64</f>
        <v>0.94796224196328549</v>
      </c>
      <c r="R64" s="442"/>
      <c r="S64" s="28"/>
      <c r="T64" s="28"/>
      <c r="U64" s="10"/>
      <c r="V64" s="256"/>
      <c r="W64" s="10"/>
      <c r="X64" s="10"/>
      <c r="Y64" s="443"/>
      <c r="Z64" s="443"/>
      <c r="AA64" s="12">
        <f t="shared" si="2"/>
        <v>-129.22709912450773</v>
      </c>
      <c r="AB64" s="249">
        <f t="shared" si="56"/>
        <v>0.94796224196328549</v>
      </c>
      <c r="AC64" s="442"/>
    </row>
    <row r="65" spans="1:29" ht="15.75" customHeight="1">
      <c r="A65" s="439" t="s">
        <v>1081</v>
      </c>
      <c r="B65" s="258" t="s">
        <v>67</v>
      </c>
      <c r="C65" s="441" t="s">
        <v>99</v>
      </c>
      <c r="D65" s="441"/>
      <c r="E65" s="31">
        <v>20.2</v>
      </c>
      <c r="F65" s="258">
        <v>3191</v>
      </c>
      <c r="G65" s="247">
        <f t="shared" ref="G65:G71" si="84">E65*F65</f>
        <v>64458.2</v>
      </c>
      <c r="H65" s="259" t="s">
        <v>103</v>
      </c>
      <c r="I65" s="255">
        <v>19</v>
      </c>
      <c r="J65" s="26">
        <v>2400</v>
      </c>
      <c r="K65" s="10">
        <f t="shared" ref="K65:K67" si="85">J65/I65</f>
        <v>126.31578947368421</v>
      </c>
      <c r="L65" s="19">
        <v>19</v>
      </c>
      <c r="M65" s="11">
        <f>F65/V65*60</f>
        <v>2279.2857142857147</v>
      </c>
      <c r="N65" s="10">
        <f t="shared" ref="N65:N71" si="86">M65/L65</f>
        <v>119.96240601503762</v>
      </c>
      <c r="O65" s="12">
        <f t="shared" ref="O65:O71" si="87">L65-I65</f>
        <v>0</v>
      </c>
      <c r="P65" s="13">
        <f t="shared" ref="P65:P71" si="88">N65-K65</f>
        <v>-6.35338345864659</v>
      </c>
      <c r="Q65" s="249">
        <f>N65/K65</f>
        <v>0.94970238095238113</v>
      </c>
      <c r="R65" s="442">
        <f>Q72</f>
        <v>0.94606064272079526</v>
      </c>
      <c r="S65" s="28">
        <v>0.125</v>
      </c>
      <c r="T65" s="28">
        <v>0.18333333333333332</v>
      </c>
      <c r="U65" s="18"/>
      <c r="V65" s="256">
        <f t="shared" ref="V65:V71" si="89">(T65-S65)*24*60</f>
        <v>83.999999999999986</v>
      </c>
      <c r="W65" s="16">
        <f>T65</f>
        <v>0.18333333333333332</v>
      </c>
      <c r="X65" s="16">
        <f>S66</f>
        <v>0.20347222222222222</v>
      </c>
      <c r="Y65" s="443"/>
      <c r="Z65" s="443"/>
      <c r="AA65" s="12">
        <f t="shared" si="2"/>
        <v>-120.71428571428532</v>
      </c>
      <c r="AB65" s="249">
        <f>M65/J65</f>
        <v>0.94970238095238113</v>
      </c>
      <c r="AC65" s="442">
        <f>AB72</f>
        <v>0.94606064272079526</v>
      </c>
    </row>
    <row r="66" spans="1:29" ht="15.75" customHeight="1">
      <c r="A66" s="439" t="s">
        <v>1081</v>
      </c>
      <c r="B66" s="258" t="s">
        <v>67</v>
      </c>
      <c r="C66" s="441" t="s">
        <v>100</v>
      </c>
      <c r="D66" s="441"/>
      <c r="E66" s="31">
        <v>19.02</v>
      </c>
      <c r="F66" s="258">
        <v>5000</v>
      </c>
      <c r="G66" s="247">
        <f t="shared" si="84"/>
        <v>95100</v>
      </c>
      <c r="H66" s="259">
        <v>2</v>
      </c>
      <c r="I66" s="255">
        <v>15</v>
      </c>
      <c r="J66" s="26">
        <v>2400</v>
      </c>
      <c r="K66" s="10">
        <f t="shared" si="85"/>
        <v>160</v>
      </c>
      <c r="L66" s="19">
        <v>15</v>
      </c>
      <c r="M66" s="11">
        <f t="shared" ref="M66:M71" si="90">F66/V66*60</f>
        <v>2272.7272727272725</v>
      </c>
      <c r="N66" s="10">
        <f t="shared" si="86"/>
        <v>151.5151515151515</v>
      </c>
      <c r="O66" s="12">
        <f t="shared" si="87"/>
        <v>0</v>
      </c>
      <c r="P66" s="13">
        <f t="shared" si="88"/>
        <v>-8.4848484848484986</v>
      </c>
      <c r="Q66" s="249">
        <f t="shared" ref="Q66:Q72" si="91">N66/K66</f>
        <v>0.94696969696969691</v>
      </c>
      <c r="R66" s="442"/>
      <c r="S66" s="28">
        <v>0.20347222222222222</v>
      </c>
      <c r="T66" s="28">
        <v>0.2951388888888889</v>
      </c>
      <c r="U66" s="247">
        <f>(S66-T65)*24*60</f>
        <v>29.000000000000018</v>
      </c>
      <c r="V66" s="256">
        <f t="shared" si="89"/>
        <v>132</v>
      </c>
      <c r="W66" s="16"/>
      <c r="X66" s="16"/>
      <c r="Y66" s="443"/>
      <c r="Z66" s="443"/>
      <c r="AA66" s="12">
        <f t="shared" si="2"/>
        <v>-127.27272727272748</v>
      </c>
      <c r="AB66" s="249">
        <f t="shared" ref="AB66:AB72" si="92">M66/J66</f>
        <v>0.94696969696969691</v>
      </c>
      <c r="AC66" s="442"/>
    </row>
    <row r="67" spans="1:29" ht="15.75" customHeight="1">
      <c r="A67" s="439" t="s">
        <v>1081</v>
      </c>
      <c r="B67" s="258" t="s">
        <v>67</v>
      </c>
      <c r="C67" s="441" t="s">
        <v>101</v>
      </c>
      <c r="D67" s="441"/>
      <c r="E67" s="31">
        <v>25</v>
      </c>
      <c r="F67" s="258">
        <v>4895</v>
      </c>
      <c r="G67" s="247">
        <f t="shared" si="84"/>
        <v>122375</v>
      </c>
      <c r="H67" s="259" t="s">
        <v>103</v>
      </c>
      <c r="I67" s="255">
        <v>15</v>
      </c>
      <c r="J67" s="26">
        <v>2400</v>
      </c>
      <c r="K67" s="10">
        <f t="shared" si="85"/>
        <v>160</v>
      </c>
      <c r="L67" s="19">
        <v>15</v>
      </c>
      <c r="M67" s="11">
        <f t="shared" si="90"/>
        <v>2276.744186046511</v>
      </c>
      <c r="N67" s="10">
        <f t="shared" si="86"/>
        <v>151.78294573643407</v>
      </c>
      <c r="O67" s="12">
        <f t="shared" si="87"/>
        <v>0</v>
      </c>
      <c r="P67" s="13">
        <f t="shared" si="88"/>
        <v>-8.2170542635659274</v>
      </c>
      <c r="Q67" s="249">
        <f t="shared" si="91"/>
        <v>0.94864341085271298</v>
      </c>
      <c r="R67" s="442"/>
      <c r="S67" s="28">
        <v>0.3</v>
      </c>
      <c r="T67" s="28">
        <v>0.38958333333333334</v>
      </c>
      <c r="U67" s="247">
        <f t="shared" ref="U67:U71" si="93">(S67-T66)*24*60</f>
        <v>6.9999999999999751</v>
      </c>
      <c r="V67" s="256">
        <f t="shared" si="89"/>
        <v>129.00000000000003</v>
      </c>
      <c r="W67" s="16"/>
      <c r="X67" s="16"/>
      <c r="Y67" s="443"/>
      <c r="Z67" s="443"/>
      <c r="AA67" s="12">
        <f t="shared" si="2"/>
        <v>-123.255813953489</v>
      </c>
      <c r="AB67" s="249">
        <f t="shared" si="92"/>
        <v>0.94864341085271287</v>
      </c>
      <c r="AC67" s="442"/>
    </row>
    <row r="68" spans="1:29" ht="15.75" customHeight="1">
      <c r="A68" s="439" t="s">
        <v>1081</v>
      </c>
      <c r="B68" s="258" t="s">
        <v>67</v>
      </c>
      <c r="C68" s="441" t="s">
        <v>102</v>
      </c>
      <c r="D68" s="441"/>
      <c r="E68" s="31">
        <v>20.52</v>
      </c>
      <c r="F68" s="258">
        <v>3200</v>
      </c>
      <c r="G68" s="247">
        <f t="shared" si="84"/>
        <v>65664</v>
      </c>
      <c r="H68" s="259">
        <v>2</v>
      </c>
      <c r="I68" s="255">
        <v>18</v>
      </c>
      <c r="J68" s="26">
        <v>2400</v>
      </c>
      <c r="K68" s="10">
        <f>J68/I68</f>
        <v>133.33333333333334</v>
      </c>
      <c r="L68" s="19">
        <v>18</v>
      </c>
      <c r="M68" s="11">
        <f t="shared" si="90"/>
        <v>2258.8235294117644</v>
      </c>
      <c r="N68" s="10">
        <f t="shared" si="86"/>
        <v>125.49019607843135</v>
      </c>
      <c r="O68" s="12">
        <f t="shared" si="87"/>
        <v>0</v>
      </c>
      <c r="P68" s="13">
        <f t="shared" si="88"/>
        <v>-7.8431372549019898</v>
      </c>
      <c r="Q68" s="249">
        <f t="shared" si="91"/>
        <v>0.94117647058823506</v>
      </c>
      <c r="R68" s="442"/>
      <c r="S68" s="28">
        <v>0.39305555555555555</v>
      </c>
      <c r="T68" s="28">
        <v>0.45208333333333334</v>
      </c>
      <c r="U68" s="247">
        <f t="shared" si="93"/>
        <v>4.9999999999999822</v>
      </c>
      <c r="V68" s="256">
        <f t="shared" si="89"/>
        <v>85.000000000000014</v>
      </c>
      <c r="W68" s="16"/>
      <c r="X68" s="16"/>
      <c r="Y68" s="443"/>
      <c r="Z68" s="443"/>
      <c r="AA68" s="12">
        <f t="shared" si="2"/>
        <v>-141.17647058823559</v>
      </c>
      <c r="AB68" s="249">
        <f t="shared" si="92"/>
        <v>0.94117647058823517</v>
      </c>
      <c r="AC68" s="442"/>
    </row>
    <row r="69" spans="1:29" ht="15.75" customHeight="1">
      <c r="A69" s="439" t="s">
        <v>1081</v>
      </c>
      <c r="B69" s="258" t="s">
        <v>67</v>
      </c>
      <c r="C69" s="441" t="s">
        <v>72</v>
      </c>
      <c r="D69" s="441"/>
      <c r="E69" s="31">
        <v>25.98</v>
      </c>
      <c r="F69" s="258">
        <v>3740</v>
      </c>
      <c r="G69" s="247">
        <f t="shared" si="84"/>
        <v>97165.2</v>
      </c>
      <c r="H69" s="259" t="s">
        <v>103</v>
      </c>
      <c r="I69" s="255">
        <v>17</v>
      </c>
      <c r="J69" s="26">
        <v>2400</v>
      </c>
      <c r="K69" s="10">
        <f t="shared" ref="K69:K72" si="94">J69/I69</f>
        <v>141.1764705882353</v>
      </c>
      <c r="L69" s="19">
        <v>17</v>
      </c>
      <c r="M69" s="11">
        <f t="shared" si="90"/>
        <v>2266.6666666666661</v>
      </c>
      <c r="N69" s="10">
        <f t="shared" si="86"/>
        <v>133.33333333333329</v>
      </c>
      <c r="O69" s="12">
        <f t="shared" si="87"/>
        <v>0</v>
      </c>
      <c r="P69" s="13">
        <f t="shared" si="88"/>
        <v>-7.8431372549020182</v>
      </c>
      <c r="Q69" s="249">
        <f t="shared" si="91"/>
        <v>0.94444444444444409</v>
      </c>
      <c r="R69" s="442"/>
      <c r="S69" s="28">
        <v>0.45763888888888887</v>
      </c>
      <c r="T69" s="28">
        <v>0.52638888888888891</v>
      </c>
      <c r="U69" s="247">
        <f t="shared" si="93"/>
        <v>7.9999999999999716</v>
      </c>
      <c r="V69" s="256">
        <f t="shared" si="89"/>
        <v>99.000000000000043</v>
      </c>
      <c r="W69" s="16"/>
      <c r="X69" s="16"/>
      <c r="Y69" s="443"/>
      <c r="Z69" s="443"/>
      <c r="AA69" s="12">
        <f t="shared" ref="AA69:AA72" si="95">M69-J69</f>
        <v>-133.33333333333394</v>
      </c>
      <c r="AB69" s="249">
        <f t="shared" si="92"/>
        <v>0.9444444444444442</v>
      </c>
      <c r="AC69" s="442"/>
    </row>
    <row r="70" spans="1:29" ht="15.75" customHeight="1">
      <c r="A70" s="439" t="s">
        <v>1081</v>
      </c>
      <c r="B70" s="258" t="s">
        <v>67</v>
      </c>
      <c r="C70" s="441" t="s">
        <v>100</v>
      </c>
      <c r="D70" s="441"/>
      <c r="E70" s="31">
        <v>19.02</v>
      </c>
      <c r="F70" s="258">
        <v>7146</v>
      </c>
      <c r="G70" s="247">
        <f t="shared" si="84"/>
        <v>135916.91999999998</v>
      </c>
      <c r="H70" s="259" t="s">
        <v>103</v>
      </c>
      <c r="I70" s="255">
        <v>15</v>
      </c>
      <c r="J70" s="26">
        <v>2400</v>
      </c>
      <c r="K70" s="10">
        <f t="shared" si="94"/>
        <v>160</v>
      </c>
      <c r="L70" s="19">
        <v>15</v>
      </c>
      <c r="M70" s="11">
        <f t="shared" si="90"/>
        <v>2268.5714285714289</v>
      </c>
      <c r="N70" s="10">
        <f t="shared" si="86"/>
        <v>151.23809523809527</v>
      </c>
      <c r="O70" s="12">
        <f t="shared" si="87"/>
        <v>0</v>
      </c>
      <c r="P70" s="13">
        <f t="shared" si="88"/>
        <v>-8.7619047619047308</v>
      </c>
      <c r="Q70" s="249">
        <f t="shared" si="91"/>
        <v>0.94523809523809543</v>
      </c>
      <c r="R70" s="442"/>
      <c r="S70" s="28">
        <v>0.56736111111111109</v>
      </c>
      <c r="T70" s="28">
        <v>0.69861111111111107</v>
      </c>
      <c r="U70" s="247">
        <f t="shared" si="93"/>
        <v>58.99999999999995</v>
      </c>
      <c r="V70" s="256">
        <f t="shared" si="89"/>
        <v>188.99999999999997</v>
      </c>
      <c r="W70" s="16">
        <f>T70</f>
        <v>0.69861111111111107</v>
      </c>
      <c r="X70" s="16">
        <f>S71</f>
        <v>0.70347222222222217</v>
      </c>
      <c r="Y70" s="443"/>
      <c r="Z70" s="443"/>
      <c r="AA70" s="12">
        <f t="shared" si="95"/>
        <v>-131.4285714285711</v>
      </c>
      <c r="AB70" s="249">
        <f t="shared" si="92"/>
        <v>0.94523809523809532</v>
      </c>
      <c r="AC70" s="442"/>
    </row>
    <row r="71" spans="1:29" ht="15.75" customHeight="1">
      <c r="A71" s="439" t="s">
        <v>1081</v>
      </c>
      <c r="B71" s="258" t="s">
        <v>67</v>
      </c>
      <c r="C71" s="444" t="s">
        <v>102</v>
      </c>
      <c r="D71" s="445"/>
      <c r="E71" s="31">
        <v>20.52</v>
      </c>
      <c r="F71" s="258">
        <v>2271</v>
      </c>
      <c r="G71" s="247">
        <f t="shared" si="84"/>
        <v>46600.92</v>
      </c>
      <c r="H71" s="259" t="s">
        <v>103</v>
      </c>
      <c r="I71" s="255">
        <v>18</v>
      </c>
      <c r="J71" s="26">
        <v>2400</v>
      </c>
      <c r="K71" s="10">
        <f t="shared" si="94"/>
        <v>133.33333333333334</v>
      </c>
      <c r="L71" s="19">
        <v>18</v>
      </c>
      <c r="M71" s="11">
        <f t="shared" si="90"/>
        <v>2271.0000000000023</v>
      </c>
      <c r="N71" s="10">
        <f t="shared" si="86"/>
        <v>126.1666666666668</v>
      </c>
      <c r="O71" s="12">
        <f t="shared" si="87"/>
        <v>0</v>
      </c>
      <c r="P71" s="13">
        <f t="shared" si="88"/>
        <v>-7.1666666666665435</v>
      </c>
      <c r="Q71" s="249">
        <f t="shared" si="91"/>
        <v>0.94625000000000092</v>
      </c>
      <c r="R71" s="442"/>
      <c r="S71" s="28">
        <v>0.70347222222222217</v>
      </c>
      <c r="T71" s="28">
        <v>0.7451388888888888</v>
      </c>
      <c r="U71" s="247">
        <f t="shared" si="93"/>
        <v>6.9999999999999751</v>
      </c>
      <c r="V71" s="256">
        <f t="shared" si="89"/>
        <v>59.999999999999943</v>
      </c>
      <c r="W71" s="16"/>
      <c r="X71" s="16"/>
      <c r="Y71" s="447"/>
      <c r="Z71" s="448"/>
      <c r="AA71" s="12">
        <f t="shared" si="95"/>
        <v>-128.99999999999773</v>
      </c>
      <c r="AB71" s="249">
        <f t="shared" si="92"/>
        <v>0.94625000000000092</v>
      </c>
      <c r="AC71" s="442"/>
    </row>
    <row r="72" spans="1:29" ht="16.5" customHeight="1">
      <c r="A72" s="440" t="s">
        <v>1081</v>
      </c>
      <c r="B72" s="31" t="s">
        <v>1074</v>
      </c>
      <c r="C72" s="446"/>
      <c r="D72" s="446"/>
      <c r="E72" s="248"/>
      <c r="F72" s="33"/>
      <c r="G72" s="10"/>
      <c r="H72" s="258"/>
      <c r="I72" s="19">
        <v>16.714285714285715</v>
      </c>
      <c r="J72" s="26">
        <v>2400</v>
      </c>
      <c r="K72" s="10">
        <f t="shared" si="94"/>
        <v>143.58974358974359</v>
      </c>
      <c r="L72" s="19">
        <v>16.714285714285715</v>
      </c>
      <c r="M72" s="11">
        <f>AVERAGE(M65:M71)</f>
        <v>2270.5455425299087</v>
      </c>
      <c r="N72" s="10">
        <f>M72/L72</f>
        <v>135.84460510862701</v>
      </c>
      <c r="O72" s="12">
        <f>L72-I72</f>
        <v>0</v>
      </c>
      <c r="P72" s="13">
        <f>N72-K72</f>
        <v>-7.7451384811165838</v>
      </c>
      <c r="Q72" s="249">
        <f t="shared" si="91"/>
        <v>0.94606064272079526</v>
      </c>
      <c r="R72" s="442"/>
      <c r="S72" s="28"/>
      <c r="T72" s="28"/>
      <c r="U72" s="10"/>
      <c r="V72" s="256"/>
      <c r="W72" s="10"/>
      <c r="X72" s="10"/>
      <c r="Y72" s="443"/>
      <c r="Z72" s="443"/>
      <c r="AA72" s="12">
        <f t="shared" si="95"/>
        <v>-129.45445747009126</v>
      </c>
      <c r="AB72" s="249">
        <f t="shared" si="92"/>
        <v>0.94606064272079526</v>
      </c>
      <c r="AC72" s="442"/>
    </row>
    <row r="73" spans="1:29">
      <c r="D73" s="22"/>
      <c r="E73" s="22"/>
    </row>
  </sheetData>
  <mergeCells count="192">
    <mergeCell ref="A65:A72"/>
    <mergeCell ref="C65:D65"/>
    <mergeCell ref="R65:R72"/>
    <mergeCell ref="Y65:Z65"/>
    <mergeCell ref="AC65:AC72"/>
    <mergeCell ref="C66:D66"/>
    <mergeCell ref="Y66:Z66"/>
    <mergeCell ref="C67:D67"/>
    <mergeCell ref="Y67:Z67"/>
    <mergeCell ref="C68:D68"/>
    <mergeCell ref="C72:D72"/>
    <mergeCell ref="Y72:Z72"/>
    <mergeCell ref="Y68:Z68"/>
    <mergeCell ref="C69:D69"/>
    <mergeCell ref="Y69:Z69"/>
    <mergeCell ref="C70:D70"/>
    <mergeCell ref="Y70:Z70"/>
    <mergeCell ref="C71:D71"/>
    <mergeCell ref="Y71:Z71"/>
    <mergeCell ref="AC58:AC64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A58:A64"/>
    <mergeCell ref="C58:D58"/>
    <mergeCell ref="R58:R64"/>
    <mergeCell ref="Y58:Z58"/>
    <mergeCell ref="Y63:Z63"/>
    <mergeCell ref="C64:D64"/>
    <mergeCell ref="Y64:Z64"/>
    <mergeCell ref="A51:A57"/>
    <mergeCell ref="C51:D51"/>
    <mergeCell ref="R51:R57"/>
    <mergeCell ref="Y51:Z51"/>
    <mergeCell ref="AC51:AC57"/>
    <mergeCell ref="C52:D52"/>
    <mergeCell ref="Y52:Z52"/>
    <mergeCell ref="C53:D53"/>
    <mergeCell ref="C56:D56"/>
    <mergeCell ref="Y56:Z56"/>
    <mergeCell ref="C48:D48"/>
    <mergeCell ref="Y48:Z48"/>
    <mergeCell ref="C49:D49"/>
    <mergeCell ref="Y49:Z49"/>
    <mergeCell ref="C50:D50"/>
    <mergeCell ref="Y50:Z50"/>
    <mergeCell ref="AC41:AC50"/>
    <mergeCell ref="C57:D57"/>
    <mergeCell ref="Y57:Z57"/>
    <mergeCell ref="Y44:Z44"/>
    <mergeCell ref="C45:D45"/>
    <mergeCell ref="Y45:Z45"/>
    <mergeCell ref="C46:D46"/>
    <mergeCell ref="Y46:Z46"/>
    <mergeCell ref="C47:D47"/>
    <mergeCell ref="Y47:Z47"/>
    <mergeCell ref="A41:A50"/>
    <mergeCell ref="C41:D41"/>
    <mergeCell ref="R41:R50"/>
    <mergeCell ref="Y41:Z41"/>
    <mergeCell ref="C42:D42"/>
    <mergeCell ref="Y42:Z42"/>
    <mergeCell ref="C43:D43"/>
    <mergeCell ref="Y43:Z43"/>
    <mergeCell ref="C44:D44"/>
    <mergeCell ref="AC31:AC40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A22:A30"/>
    <mergeCell ref="C22:D22"/>
    <mergeCell ref="R22:R30"/>
    <mergeCell ref="Y22:Z22"/>
    <mergeCell ref="C29:D29"/>
    <mergeCell ref="Y29:Z29"/>
    <mergeCell ref="C30:D30"/>
    <mergeCell ref="Y30:Z30"/>
    <mergeCell ref="A31:A40"/>
    <mergeCell ref="C31:D31"/>
    <mergeCell ref="R31:R40"/>
    <mergeCell ref="Y31:Z31"/>
    <mergeCell ref="Y36:Z36"/>
    <mergeCell ref="C37:D37"/>
    <mergeCell ref="Y37:Z37"/>
    <mergeCell ref="C38:D38"/>
    <mergeCell ref="Y38:Z38"/>
    <mergeCell ref="C39:D39"/>
    <mergeCell ref="Y39:Z39"/>
    <mergeCell ref="C40:D40"/>
    <mergeCell ref="Y40:Z40"/>
    <mergeCell ref="AC22:AC30"/>
    <mergeCell ref="C23:D23"/>
    <mergeCell ref="Y23:Z23"/>
    <mergeCell ref="C24:D24"/>
    <mergeCell ref="Y24:Z24"/>
    <mergeCell ref="C25:D25"/>
    <mergeCell ref="AC17:AC21"/>
    <mergeCell ref="C18:D18"/>
    <mergeCell ref="Y18:Z18"/>
    <mergeCell ref="C19:D19"/>
    <mergeCell ref="Y19:Z19"/>
    <mergeCell ref="C20:D20"/>
    <mergeCell ref="Y20:Z20"/>
    <mergeCell ref="C21:D21"/>
    <mergeCell ref="Y21:Z21"/>
    <mergeCell ref="Y25:Z25"/>
    <mergeCell ref="C26:D26"/>
    <mergeCell ref="Y26:Z26"/>
    <mergeCell ref="C27:D27"/>
    <mergeCell ref="Y27:Z27"/>
    <mergeCell ref="C28:D28"/>
    <mergeCell ref="Y28:Z28"/>
    <mergeCell ref="A17:A21"/>
    <mergeCell ref="C17:D17"/>
    <mergeCell ref="R17:R21"/>
    <mergeCell ref="Y17:Z17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1:O70 O72 O5:O9 O11:O13 O50:O58 O16:O46">
    <cfRule type="cellIs" dxfId="775" priority="56" operator="greaterThan">
      <formula>0</formula>
    </cfRule>
  </conditionalFormatting>
  <conditionalFormatting sqref="P5:P7 P61:P63 AA61:AA63 P65:P70 P22:P29 P58 P9 P11:P13 P17:P20 P51:P56 P31:P46 AA5:AA58 AA65:AA72">
    <cfRule type="cellIs" dxfId="774" priority="60" operator="lessThan">
      <formula>0</formula>
    </cfRule>
  </conditionalFormatting>
  <conditionalFormatting sqref="AB61:AB63 Q61:Q70 Q72 Q5:Q9 Q11:Q13 Q50:Q58 Q16:Q46 AB5:AB58 AB65:AB72">
    <cfRule type="cellIs" dxfId="773" priority="57" operator="greaterThan">
      <formula>1</formula>
    </cfRule>
    <cfRule type="cellIs" dxfId="772" priority="58" operator="lessThan">
      <formula>0.8</formula>
    </cfRule>
  </conditionalFormatting>
  <conditionalFormatting sqref="AC12:AC13 R12:R13 AC61 R61:R70 R16:R38 AC16:AC38 R72 AC5:AC9 R5:R9 R40:R46 AC40:AC46 AC50:AC58 R50:R58">
    <cfRule type="cellIs" dxfId="771" priority="62" operator="lessThan">
      <formula>0.8</formula>
    </cfRule>
  </conditionalFormatting>
  <conditionalFormatting sqref="AC41">
    <cfRule type="cellIs" dxfId="770" priority="64" operator="lessThan">
      <formula>0.8</formula>
    </cfRule>
  </conditionalFormatting>
  <conditionalFormatting sqref="AC17:AC20">
    <cfRule type="cellIs" dxfId="769" priority="61" operator="lessThan">
      <formula>0.8</formula>
    </cfRule>
  </conditionalFormatting>
  <conditionalFormatting sqref="AC22">
    <cfRule type="cellIs" dxfId="768" priority="63" operator="lessThan">
      <formula>0.8</formula>
    </cfRule>
  </conditionalFormatting>
  <conditionalFormatting sqref="AC31:AC38">
    <cfRule type="cellIs" dxfId="767" priority="59" operator="lessThan">
      <formula>0.8</formula>
    </cfRule>
  </conditionalFormatting>
  <conditionalFormatting sqref="AA64">
    <cfRule type="cellIs" dxfId="766" priority="55" operator="lessThan">
      <formula>0</formula>
    </cfRule>
  </conditionalFormatting>
  <conditionalFormatting sqref="AB64">
    <cfRule type="cellIs" dxfId="765" priority="53" operator="greaterThan">
      <formula>1</formula>
    </cfRule>
    <cfRule type="cellIs" dxfId="764" priority="54" operator="lessThan">
      <formula>0.8</formula>
    </cfRule>
  </conditionalFormatting>
  <conditionalFormatting sqref="O14:O15">
    <cfRule type="cellIs" dxfId="763" priority="48" operator="greaterThan">
      <formula>0</formula>
    </cfRule>
  </conditionalFormatting>
  <conditionalFormatting sqref="P14:P15">
    <cfRule type="cellIs" dxfId="762" priority="51" operator="lessThan">
      <formula>0</formula>
    </cfRule>
  </conditionalFormatting>
  <conditionalFormatting sqref="Q14:Q15">
    <cfRule type="cellIs" dxfId="761" priority="49" operator="greaterThan">
      <formula>1</formula>
    </cfRule>
    <cfRule type="cellIs" dxfId="760" priority="50" operator="lessThan">
      <formula>0.8</formula>
    </cfRule>
  </conditionalFormatting>
  <conditionalFormatting sqref="R14:R15 AC14:AC15">
    <cfRule type="cellIs" dxfId="759" priority="52" operator="lessThan">
      <formula>0.8</formula>
    </cfRule>
  </conditionalFormatting>
  <conditionalFormatting sqref="O10">
    <cfRule type="cellIs" dxfId="758" priority="44" operator="greaterThan">
      <formula>0</formula>
    </cfRule>
  </conditionalFormatting>
  <conditionalFormatting sqref="P10">
    <cfRule type="cellIs" dxfId="757" priority="47" operator="lessThan">
      <formula>0</formula>
    </cfRule>
  </conditionalFormatting>
  <conditionalFormatting sqref="Q10">
    <cfRule type="cellIs" dxfId="756" priority="45" operator="greaterThan">
      <formula>1</formula>
    </cfRule>
    <cfRule type="cellIs" dxfId="755" priority="46" operator="lessThan">
      <formula>0.8</formula>
    </cfRule>
  </conditionalFormatting>
  <conditionalFormatting sqref="R39 AC39">
    <cfRule type="cellIs" dxfId="754" priority="43" operator="lessThan">
      <formula>0.8</formula>
    </cfRule>
  </conditionalFormatting>
  <conditionalFormatting sqref="AC39">
    <cfRule type="cellIs" dxfId="753" priority="42" operator="lessThan">
      <formula>0.8</formula>
    </cfRule>
  </conditionalFormatting>
  <conditionalFormatting sqref="O60">
    <cfRule type="cellIs" dxfId="752" priority="37" operator="greaterThan">
      <formula>0</formula>
    </cfRule>
  </conditionalFormatting>
  <conditionalFormatting sqref="P60 AA60">
    <cfRule type="cellIs" dxfId="751" priority="40" operator="lessThan">
      <formula>0</formula>
    </cfRule>
  </conditionalFormatting>
  <conditionalFormatting sqref="Q60 AB60">
    <cfRule type="cellIs" dxfId="750" priority="38" operator="greaterThan">
      <formula>1</formula>
    </cfRule>
    <cfRule type="cellIs" dxfId="749" priority="39" operator="lessThan">
      <formula>0.8</formula>
    </cfRule>
  </conditionalFormatting>
  <conditionalFormatting sqref="R60 AC60">
    <cfRule type="cellIs" dxfId="748" priority="41" operator="lessThan">
      <formula>0.8</formula>
    </cfRule>
  </conditionalFormatting>
  <conditionalFormatting sqref="O71">
    <cfRule type="cellIs" dxfId="747" priority="32" operator="greaterThan">
      <formula>0</formula>
    </cfRule>
  </conditionalFormatting>
  <conditionalFormatting sqref="P71">
    <cfRule type="cellIs" dxfId="746" priority="35" operator="lessThan">
      <formula>0</formula>
    </cfRule>
  </conditionalFormatting>
  <conditionalFormatting sqref="Q71">
    <cfRule type="cellIs" dxfId="745" priority="33" operator="greaterThan">
      <formula>1</formula>
    </cfRule>
    <cfRule type="cellIs" dxfId="744" priority="34" operator="lessThan">
      <formula>0.8</formula>
    </cfRule>
  </conditionalFormatting>
  <conditionalFormatting sqref="R71">
    <cfRule type="cellIs" dxfId="743" priority="36" operator="lessThan">
      <formula>0.8</formula>
    </cfRule>
  </conditionalFormatting>
  <conditionalFormatting sqref="O47">
    <cfRule type="cellIs" dxfId="742" priority="26" operator="greaterThan">
      <formula>0</formula>
    </cfRule>
  </conditionalFormatting>
  <conditionalFormatting sqref="P47">
    <cfRule type="cellIs" dxfId="741" priority="30" operator="lessThan">
      <formula>0</formula>
    </cfRule>
  </conditionalFormatting>
  <conditionalFormatting sqref="Q47">
    <cfRule type="cellIs" dxfId="740" priority="27" operator="greaterThan">
      <formula>1</formula>
    </cfRule>
    <cfRule type="cellIs" dxfId="739" priority="28" operator="lessThan">
      <formula>0.8</formula>
    </cfRule>
  </conditionalFormatting>
  <conditionalFormatting sqref="R47 AC47">
    <cfRule type="cellIs" dxfId="738" priority="31" operator="lessThan">
      <formula>0.8</formula>
    </cfRule>
  </conditionalFormatting>
  <conditionalFormatting sqref="AC47">
    <cfRule type="cellIs" dxfId="737" priority="29" operator="lessThan">
      <formula>0.8</formula>
    </cfRule>
  </conditionalFormatting>
  <conditionalFormatting sqref="O48">
    <cfRule type="cellIs" dxfId="736" priority="20" operator="greaterThan">
      <formula>0</formula>
    </cfRule>
  </conditionalFormatting>
  <conditionalFormatting sqref="P48">
    <cfRule type="cellIs" dxfId="735" priority="24" operator="lessThan">
      <formula>0</formula>
    </cfRule>
  </conditionalFormatting>
  <conditionalFormatting sqref="Q48">
    <cfRule type="cellIs" dxfId="734" priority="21" operator="greaterThan">
      <formula>1</formula>
    </cfRule>
    <cfRule type="cellIs" dxfId="733" priority="22" operator="lessThan">
      <formula>0.8</formula>
    </cfRule>
  </conditionalFormatting>
  <conditionalFormatting sqref="R48 AC48">
    <cfRule type="cellIs" dxfId="732" priority="25" operator="lessThan">
      <formula>0.8</formula>
    </cfRule>
  </conditionalFormatting>
  <conditionalFormatting sqref="AC48">
    <cfRule type="cellIs" dxfId="731" priority="23" operator="lessThan">
      <formula>0.8</formula>
    </cfRule>
  </conditionalFormatting>
  <conditionalFormatting sqref="O49">
    <cfRule type="cellIs" dxfId="730" priority="14" operator="greaterThan">
      <formula>0</formula>
    </cfRule>
  </conditionalFormatting>
  <conditionalFormatting sqref="P49">
    <cfRule type="cellIs" dxfId="729" priority="18" operator="lessThan">
      <formula>0</formula>
    </cfRule>
  </conditionalFormatting>
  <conditionalFormatting sqref="Q49">
    <cfRule type="cellIs" dxfId="728" priority="15" operator="greaterThan">
      <formula>1</formula>
    </cfRule>
    <cfRule type="cellIs" dxfId="727" priority="16" operator="lessThan">
      <formula>0.8</formula>
    </cfRule>
  </conditionalFormatting>
  <conditionalFormatting sqref="R49 AC49">
    <cfRule type="cellIs" dxfId="726" priority="19" operator="lessThan">
      <formula>0.8</formula>
    </cfRule>
  </conditionalFormatting>
  <conditionalFormatting sqref="AC49">
    <cfRule type="cellIs" dxfId="725" priority="17" operator="lessThan">
      <formula>0.8</formula>
    </cfRule>
  </conditionalFormatting>
  <conditionalFormatting sqref="O59">
    <cfRule type="cellIs" dxfId="724" priority="9" operator="greaterThan">
      <formula>0</formula>
    </cfRule>
  </conditionalFormatting>
  <conditionalFormatting sqref="P59 AA59">
    <cfRule type="cellIs" dxfId="723" priority="12" operator="lessThan">
      <formula>0</formula>
    </cfRule>
  </conditionalFormatting>
  <conditionalFormatting sqref="Q59 AB59">
    <cfRule type="cellIs" dxfId="722" priority="10" operator="greaterThan">
      <formula>1</formula>
    </cfRule>
    <cfRule type="cellIs" dxfId="721" priority="11" operator="lessThan">
      <formula>0.8</formula>
    </cfRule>
  </conditionalFormatting>
  <conditionalFormatting sqref="R59 AC59">
    <cfRule type="cellIs" dxfId="720" priority="13" operator="lessThan">
      <formula>0.8</formula>
    </cfRule>
  </conditionalFormatting>
  <conditionalFormatting sqref="P8">
    <cfRule type="cellIs" dxfId="719" priority="8" operator="lessThan">
      <formula>0</formula>
    </cfRule>
  </conditionalFormatting>
  <conditionalFormatting sqref="P16">
    <cfRule type="cellIs" dxfId="718" priority="7" operator="lessThan">
      <formula>0</formula>
    </cfRule>
  </conditionalFormatting>
  <conditionalFormatting sqref="P21">
    <cfRule type="cellIs" dxfId="717" priority="6" operator="lessThan">
      <formula>0</formula>
    </cfRule>
  </conditionalFormatting>
  <conditionalFormatting sqref="P30">
    <cfRule type="cellIs" dxfId="716" priority="5" operator="lessThan">
      <formula>0</formula>
    </cfRule>
  </conditionalFormatting>
  <conditionalFormatting sqref="P50">
    <cfRule type="cellIs" dxfId="715" priority="4" operator="lessThan">
      <formula>0</formula>
    </cfRule>
  </conditionalFormatting>
  <conditionalFormatting sqref="P57">
    <cfRule type="cellIs" dxfId="714" priority="3" operator="lessThan">
      <formula>0</formula>
    </cfRule>
  </conditionalFormatting>
  <conditionalFormatting sqref="P64">
    <cfRule type="cellIs" dxfId="713" priority="2" operator="lessThan">
      <formula>0</formula>
    </cfRule>
  </conditionalFormatting>
  <conditionalFormatting sqref="P72">
    <cfRule type="cellIs" dxfId="712" priority="1" operator="lessThan">
      <formula>0</formula>
    </cfRule>
  </conditionalFormatting>
  <dataValidations count="1">
    <dataValidation type="list" allowBlank="1" showInputMessage="1" showErrorMessage="1" sqref="Z8 Z62:Z63 Y5:Z7 Y8:Y63 Z10:Z58 Y64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B1:Q28"/>
  <sheetViews>
    <sheetView zoomScale="70" zoomScaleNormal="70" workbookViewId="0">
      <selection activeCell="C25" sqref="C25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934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231" t="s">
        <v>935</v>
      </c>
      <c r="C3" s="493" t="str">
        <f>TEXT('0913 4度C'!A2,"yyyy.mm.ddaaaa")</f>
        <v>2025.09.13星期六</v>
      </c>
      <c r="D3" s="493"/>
      <c r="E3" s="231" t="s">
        <v>936</v>
      </c>
      <c r="F3" s="494">
        <f>'0913 4度C'!D1</f>
        <v>140458</v>
      </c>
      <c r="G3" s="494"/>
      <c r="H3" s="231" t="s">
        <v>937</v>
      </c>
      <c r="I3" s="495">
        <f>'0913 4度C'!F1</f>
        <v>4851151.87</v>
      </c>
      <c r="J3" s="495"/>
      <c r="K3" s="45"/>
      <c r="L3" s="46"/>
      <c r="M3" s="47"/>
      <c r="N3" s="47"/>
    </row>
    <row r="4" spans="2:17" ht="28.5" customHeight="1">
      <c r="B4" s="496" t="s">
        <v>938</v>
      </c>
      <c r="C4" s="496" t="s">
        <v>939</v>
      </c>
      <c r="D4" s="496"/>
      <c r="E4" s="497" t="s">
        <v>940</v>
      </c>
      <c r="F4" s="497"/>
      <c r="G4" s="497" t="s">
        <v>941</v>
      </c>
      <c r="H4" s="497"/>
      <c r="I4" s="497" t="s">
        <v>942</v>
      </c>
      <c r="J4" s="497"/>
      <c r="L4" s="47"/>
      <c r="M4" s="47"/>
      <c r="N4" s="47"/>
    </row>
    <row r="5" spans="2:17" ht="28.5" customHeight="1">
      <c r="B5" s="496"/>
      <c r="C5" s="496" t="s">
        <v>943</v>
      </c>
      <c r="D5" s="496"/>
      <c r="E5" s="496" t="s">
        <v>944</v>
      </c>
      <c r="F5" s="496"/>
      <c r="G5" s="498" t="s">
        <v>945</v>
      </c>
      <c r="H5" s="498"/>
      <c r="I5" s="499" t="s">
        <v>946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147.31642191922987</v>
      </c>
      <c r="F6" s="496">
        <f>AVERAGE(D27:O27,D13:J13)</f>
        <v>151.85815994368332</v>
      </c>
      <c r="G6" s="501">
        <f>AVERAGE(D13:J13)</f>
        <v>151.85815994368332</v>
      </c>
      <c r="H6" s="501"/>
      <c r="I6" s="501">
        <f>AVERAGE(K13:M13)</f>
        <v>136.71903319550512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139.90092000309022</v>
      </c>
      <c r="F7" s="506">
        <f>AVERAGE(D28:O28,D14:J14)</f>
        <v>144.37437495484991</v>
      </c>
      <c r="G7" s="507">
        <f>AVERAGE(D14:J14)</f>
        <v>144.37437495484991</v>
      </c>
      <c r="H7" s="507"/>
      <c r="I7" s="507">
        <f>AVERAGE(K14:M14)</f>
        <v>129.46285844898424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0.94846427456116422</v>
      </c>
      <c r="F8" s="504">
        <f>AVERAGE(D15:J15,D29:O29)</f>
        <v>0.94911847691670759</v>
      </c>
      <c r="G8" s="509">
        <f>AVERAGE(D15:J15)</f>
        <v>0.94911847691670759</v>
      </c>
      <c r="H8" s="509"/>
      <c r="I8" s="509">
        <f>AVERAGE(K15:M15)</f>
        <v>0.94693780239822944</v>
      </c>
      <c r="J8" s="509"/>
      <c r="K8" s="48" t="s">
        <v>947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948</v>
      </c>
      <c r="C10" s="414"/>
      <c r="D10" s="415" t="s">
        <v>949</v>
      </c>
      <c r="E10" s="416"/>
      <c r="F10" s="416"/>
      <c r="G10" s="416"/>
      <c r="H10" s="416"/>
      <c r="I10" s="416"/>
      <c r="J10" s="417"/>
      <c r="K10" s="389" t="s">
        <v>950</v>
      </c>
      <c r="L10" s="390"/>
      <c r="M10" s="391"/>
      <c r="P10" s="51"/>
      <c r="Q10" s="51"/>
    </row>
    <row r="11" spans="2:17" ht="17.25" customHeight="1">
      <c r="B11" s="503" t="s">
        <v>951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952</v>
      </c>
      <c r="C13" s="58" t="s">
        <v>140</v>
      </c>
      <c r="D13" s="59">
        <f>SUMIFS('0913 4度C'!$K:$K,'0913 4度C'!$A:$A,"新豐6線",'0913 4度C'!$B:$B,"平均")</f>
        <v>125</v>
      </c>
      <c r="E13" s="60">
        <f>SUMIFS('0913 4度C'!$K:$K,'0913 4度C'!$A:$A,"新豐2線",'0913 4度C'!$B:$B,"平均")</f>
        <v>83.333333333333329</v>
      </c>
      <c r="F13" s="61">
        <f>SUMIFS('0913 4度C'!$K:$K,'0913 4度C'!$A:$A,"新豐5線",'0913 4度C'!$B:$B,"平均")</f>
        <v>90.909090909090907</v>
      </c>
      <c r="G13" s="61">
        <f>SUMIFS('0913 4度C'!$K:$K,'0913 4度C'!$A:$A,"新豐7線",'0913 4度C'!$B:$B,"平均")</f>
        <v>120.48192771084337</v>
      </c>
      <c r="H13" s="61">
        <f>SUMIFS('0913 4度C'!$K:$K,'0913 4度C'!$A:$A,"新豐3線",'0913 4度C'!$B:$B,"平均")</f>
        <v>306.81818181818181</v>
      </c>
      <c r="I13" s="61">
        <f>SUMIFS('0913 4度C'!$K:$K,'0913 4度C'!$A:$A,"新豐1線",'0913 4度C'!$B:$B,"平均")</f>
        <v>117.34693877551021</v>
      </c>
      <c r="J13" s="62">
        <f>SUMIFS('0913 4度C'!$K:$K,'0913 4度C'!$A:$A,"新豐10線",'0913 4度C'!$B:$B,"平均")</f>
        <v>219.11764705882354</v>
      </c>
      <c r="K13" s="63">
        <f>SUMIFS('0913 4度C'!$K:$K,'0913 4度C'!$A:$A,"新豐8線",'0913 4度C'!$B:$B,"平均")</f>
        <v>135.84905660377356</v>
      </c>
      <c r="L13" s="64">
        <f>SUMIFS('0913 4度C'!$K:$K,'0913 4度C'!$A:$A,"新豐9線",'0913 4度C'!$B:$B,"平均")</f>
        <v>129.72972972972974</v>
      </c>
      <c r="M13" s="62">
        <f>SUMIFS('0913 4度C'!$K:$K,'0913 4度C'!$A:$A,"新豐4線",'0913 4度C'!$B:$B,"平均")</f>
        <v>144.57831325301203</v>
      </c>
    </row>
    <row r="14" spans="2:17" ht="39.6" customHeight="1">
      <c r="B14" s="515"/>
      <c r="C14" s="65" t="s">
        <v>141</v>
      </c>
      <c r="D14" s="66">
        <f>SUMIFS('0913 4度C'!$N:$N,'0913 4度C'!$A:$A,"新豐6線",'0913 4度C'!$B:$B,"平均")</f>
        <v>119.51264880952374</v>
      </c>
      <c r="E14" s="67">
        <f>SUMIFS('0913 4度C'!$N:$N,'0913 4度C'!$A:$A,"新豐2線",'0913 4度C'!$B:$B,"平均")</f>
        <v>78.750735319561215</v>
      </c>
      <c r="F14" s="67">
        <f>SUMIFS('0913 4度C'!$N:$N,'0913 4度C'!$A:$A,"新豐5線",'0913 4度C'!$B:$B,"平均")</f>
        <v>86.017793899433102</v>
      </c>
      <c r="G14" s="67">
        <f>SUMIFS('0913 4度C'!$N:$N,'0913 4度C'!$A:$A,"新豐7線",'0913 4度C'!$B:$B,"平均")</f>
        <v>113.45756350971706</v>
      </c>
      <c r="H14" s="67">
        <f>SUMIFS('0913 4度C'!$N:$N,'0913 4度C'!$A:$A,"新豐3線",'0913 4度C'!$B:$B,"平均")</f>
        <v>292.2977271629847</v>
      </c>
      <c r="I14" s="67">
        <f>SUMIFS('0913 4度C'!$N:$N,'0913 4度C'!$A:$A,"新豐1線",'0913 4度C'!$B:$B,"平均")</f>
        <v>110.9361408627033</v>
      </c>
      <c r="J14" s="68">
        <f>SUMIFS('0913 4度C'!$N:$N,'0913 4度C'!$A:$A,"新豐10線",'0913 4度C'!$B:$B,"平均")</f>
        <v>209.64801512002646</v>
      </c>
      <c r="K14" s="69">
        <f>SUMIFS('0913 4度C'!$N:$N,'0913 4度C'!$A:$A,"新豐8線",'0913 4度C'!$B:$B,"平均")</f>
        <v>128.71874662622344</v>
      </c>
      <c r="L14" s="70">
        <f>SUMIFS('0913 4度C'!$N:$N,'0913 4度C'!$A:$A,"新豐9線",'0913 4度C'!$B:$B,"平均")</f>
        <v>122.84306847712226</v>
      </c>
      <c r="M14" s="68">
        <f>SUMIFS('0913 4度C'!$N:$N,'0913 4度C'!$A:$A,"新豐4線",'0913 4度C'!$B:$B,"平均")</f>
        <v>136.826760243607</v>
      </c>
    </row>
    <row r="15" spans="2:17" ht="40.15" customHeight="1">
      <c r="B15" s="515"/>
      <c r="C15" s="71" t="s">
        <v>953</v>
      </c>
      <c r="D15" s="72">
        <f t="shared" ref="D15:M15" si="0">D14/D13</f>
        <v>0.95610119047618991</v>
      </c>
      <c r="E15" s="73">
        <f t="shared" si="0"/>
        <v>0.94500882383473461</v>
      </c>
      <c r="F15" s="73">
        <f t="shared" si="0"/>
        <v>0.94619573289376413</v>
      </c>
      <c r="G15" s="73">
        <f t="shared" si="0"/>
        <v>0.94169777713065173</v>
      </c>
      <c r="H15" s="73">
        <f t="shared" si="0"/>
        <v>0.95267407371639456</v>
      </c>
      <c r="I15" s="73">
        <f t="shared" si="0"/>
        <v>0.94536885256912373</v>
      </c>
      <c r="J15" s="74">
        <f t="shared" si="0"/>
        <v>0.95678288779609388</v>
      </c>
      <c r="K15" s="72">
        <f t="shared" si="0"/>
        <v>0.94751299599858929</v>
      </c>
      <c r="L15" s="73">
        <f t="shared" si="0"/>
        <v>0.94691531951115071</v>
      </c>
      <c r="M15" s="74">
        <f t="shared" si="0"/>
        <v>0.94638509168494855</v>
      </c>
    </row>
    <row r="16" spans="2:17" ht="17.25" customHeight="1">
      <c r="B16" s="502" t="s">
        <v>954</v>
      </c>
      <c r="C16" s="230" t="s">
        <v>955</v>
      </c>
      <c r="D16" s="76">
        <f>VLOOKUP("新豐6線",'0913 4度C'!$A:$T,19,0)</f>
        <v>0.70833333333333337</v>
      </c>
      <c r="E16" s="28">
        <f>VLOOKUP("新豐2線",'0913 4度C'!$A:$T,19,0)</f>
        <v>0.125</v>
      </c>
      <c r="F16" s="28">
        <f>VLOOKUP("新豐5線",'0913 4度C'!$A:$T,19,0)</f>
        <v>0.20833333333333334</v>
      </c>
      <c r="G16" s="28">
        <f>VLOOKUP("新豐7線",'0913 4度C'!$A:$T,19,0)</f>
        <v>0.20833333333333334</v>
      </c>
      <c r="H16" s="28">
        <f>VLOOKUP("新豐3線",'0913 4度C'!$A:$T,19,0)</f>
        <v>0.20833333333333334</v>
      </c>
      <c r="I16" s="28">
        <f>VLOOKUP("新豐1線",'0913 4度C'!$A:$T,19,0)</f>
        <v>0.25</v>
      </c>
      <c r="J16" s="77">
        <f>VLOOKUP("新豐10線",'0913 4度C'!$A:$T,19,0)</f>
        <v>0.16666666666666666</v>
      </c>
      <c r="K16" s="78">
        <f>VLOOKUP("新豐8線",'0913 4度C'!$A:$T,19,0)</f>
        <v>0.16666666666666666</v>
      </c>
      <c r="L16" s="79">
        <f>VLOOKUP("新豐9線",'0913 4度C'!$A:$T,19,0)</f>
        <v>0.125</v>
      </c>
      <c r="M16" s="80">
        <f>VLOOKUP("新豐4線",'0913 4度C'!$A:$T,19,0)</f>
        <v>0.125</v>
      </c>
    </row>
    <row r="17" spans="2:13" ht="17.25" customHeight="1">
      <c r="B17" s="503"/>
      <c r="C17" s="230" t="s">
        <v>956</v>
      </c>
      <c r="D17" s="78">
        <f>LOOKUP(2,1/(('0913 4度C'!$A:$A="新豐6線")*('0913 4度C'!$T:$T&lt;&gt;"")),'0913 4度C'!$T:$T)</f>
        <v>0.82986111111111116</v>
      </c>
      <c r="E17" s="28">
        <f>LOOKUP(2,1/(('0913 4度C'!$A:$A="新豐2線")*('0913 4度C'!$T:$T&lt;&gt;"")),'0913 4度C'!$T:$T)</f>
        <v>0.42222222222222222</v>
      </c>
      <c r="F17" s="28">
        <f>LOOKUP(2,1/(('0913 4度C'!$A:$A="新豐5線")*('0913 4度C'!$T:$T&lt;&gt;"")),'0913 4度C'!$T:$T)</f>
        <v>0.83680555555555558</v>
      </c>
      <c r="G17" s="28">
        <f>LOOKUP(2,1/(('0913 4度C'!$A:$A="新豐7線")*('0913 4度C'!$T:$T&lt;&gt;"")),'0913 4度C'!$T:$T)</f>
        <v>0.78819444444444453</v>
      </c>
      <c r="H17" s="28">
        <f>LOOKUP(2,1/(('0913 4度C'!$A:$A="新豐3線")*('0913 4度C'!$T:$T&lt;&gt;"")),'0913 4度C'!$T:$T)</f>
        <v>0.57777777777777783</v>
      </c>
      <c r="I17" s="28">
        <f>LOOKUP(2,1/(('0913 4度C'!$A:$A="新豐1線")*('0913 4度C'!$T:$T&lt;&gt;"")),'0913 4度C'!$T:$T)</f>
        <v>0.84027777777777779</v>
      </c>
      <c r="J17" s="77">
        <f>LOOKUP(2,1/(('0913 4度C'!$A:$A="新豐10線")*('0913 4度C'!$T:$T&lt;&gt;"")),'0913 4度C'!$T:$T)</f>
        <v>0.42083333333333334</v>
      </c>
      <c r="K17" s="76">
        <f>LOOKUP(2,1/(('0913 4度C'!$A:$A="新豐8線")*('0913 4度C'!$T:$T&lt;&gt;"")),'0913 4度C'!$T:$T)</f>
        <v>0.62152777777777768</v>
      </c>
      <c r="L17" s="28">
        <f>LOOKUP(2,1/(('0913 4度C'!$A:$A="新豐9線")*('0913 4度C'!$T:$T&lt;&gt;"")),'0913 4度C'!$T:$T)</f>
        <v>0.53888888888888875</v>
      </c>
      <c r="M17" s="77">
        <f>LOOKUP(2,1/(('0913 4度C'!$A:$A="新豐4線")*('0913 4度C'!$T:$T&lt;&gt;"")),'0913 4度C'!$T:$T)</f>
        <v>0.50138888888888877</v>
      </c>
    </row>
    <row r="18" spans="2:13" ht="17.25" customHeight="1">
      <c r="B18" s="503" t="s">
        <v>957</v>
      </c>
      <c r="C18" s="514"/>
      <c r="D18" s="81">
        <f>SUMIFS('0913 4度C'!$I:$I,'0913 4度C'!$A:$A,"新豐6線",'0913 4度C'!$B:$B,"平均")</f>
        <v>16</v>
      </c>
      <c r="E18" s="82">
        <f>SUMIFS('0913 4度C'!$I:$I,'0913 4度C'!$A:$A,"新豐2線",'0913 4度C'!$B:$B,"平均")</f>
        <v>18</v>
      </c>
      <c r="F18" s="82">
        <f>SUMIFS('0913 4度C'!$I:$I,'0913 4度C'!$A:$A,"新豐5線",'0913 4度C'!$B:$B,"平均")</f>
        <v>19.25</v>
      </c>
      <c r="G18" s="82">
        <f>SUMIFS('0913 4度C'!$I:$I,'0913 4度C'!$A:$A,"新豐7線",'0913 4度C'!$B:$B,"平均")</f>
        <v>16.600000000000001</v>
      </c>
      <c r="H18" s="82">
        <f>SUMIFS('0913 4度C'!$I:$I,'0913 4度C'!$A:$A,"新豐3線",'0913 4度C'!$B:$B,"平均")</f>
        <v>9.7777777777777786</v>
      </c>
      <c r="I18" s="82">
        <f>SUMIFS('0913 4度C'!$I:$I,'0913 4度C'!$A:$A,"新豐1線",'0913 4度C'!$B:$B,"平均")</f>
        <v>16.333333333333332</v>
      </c>
      <c r="J18" s="83">
        <f>SUMIFS('0913 4度C'!$I:$I,'0913 4度C'!$A:$A,"新豐10線",'0913 4度C'!$B:$B,"平均")</f>
        <v>11.333333333333334</v>
      </c>
      <c r="K18" s="81">
        <f>SUMIFS('0913 4度C'!$I:$I,'0913 4度C'!$A:$A,"新豐8線",'0913 4度C'!$B:$B,"平均")</f>
        <v>17.666666666666668</v>
      </c>
      <c r="L18" s="82">
        <f>SUMIFS('0913 4度C'!$I:$I,'0913 4度C'!$A:$A,"新豐9線",'0913 4度C'!$B:$B,"平均")</f>
        <v>18.5</v>
      </c>
      <c r="M18" s="83">
        <f>SUMIFS('0913 4度C'!$I:$I,'0913 4度C'!$A:$A,"新豐4線",'0913 4度C'!$B:$B,"平均")</f>
        <v>16.600000000000001</v>
      </c>
    </row>
    <row r="19" spans="2:13" ht="17.25" customHeight="1">
      <c r="B19" s="510" t="s">
        <v>147</v>
      </c>
      <c r="C19" s="511"/>
      <c r="D19" s="84" t="s">
        <v>148</v>
      </c>
      <c r="E19" s="85" t="s">
        <v>149</v>
      </c>
      <c r="F19" s="85" t="s">
        <v>150</v>
      </c>
      <c r="G19" s="85" t="s">
        <v>958</v>
      </c>
      <c r="H19" s="85" t="s">
        <v>151</v>
      </c>
      <c r="I19" s="85" t="s">
        <v>148</v>
      </c>
      <c r="J19" s="86" t="s">
        <v>151</v>
      </c>
      <c r="K19" s="84" t="s">
        <v>959</v>
      </c>
      <c r="L19" s="85" t="s">
        <v>959</v>
      </c>
      <c r="M19" s="86" t="s">
        <v>959</v>
      </c>
    </row>
    <row r="20" spans="2:13" ht="17.25" customHeight="1">
      <c r="B20" s="510" t="s">
        <v>960</v>
      </c>
      <c r="C20" s="511"/>
      <c r="D20" s="84"/>
      <c r="E20" s="85"/>
      <c r="F20" s="85" t="s">
        <v>961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962</v>
      </c>
      <c r="C21" s="513"/>
      <c r="D21" s="87"/>
      <c r="E21" s="88" t="s">
        <v>963</v>
      </c>
      <c r="F21" s="387" t="s">
        <v>964</v>
      </c>
      <c r="G21" s="388"/>
      <c r="H21" s="88" t="s">
        <v>965</v>
      </c>
      <c r="I21" s="88" t="s">
        <v>966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71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>
    <pageSetUpPr fitToPage="1"/>
  </sheetPr>
  <dimension ref="A1:AC67"/>
  <sheetViews>
    <sheetView zoomScale="80" zoomScaleNormal="80" workbookViewId="0">
      <pane ySplit="4" topLeftCell="A47" activePane="bottomLeft" state="frozen"/>
      <selection activeCell="C25" sqref="C2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967</v>
      </c>
      <c r="B1" s="1"/>
      <c r="C1" s="2" t="s">
        <v>968</v>
      </c>
      <c r="D1" s="3">
        <f>SUM(F5:F66)</f>
        <v>140458</v>
      </c>
      <c r="E1" s="232" t="s">
        <v>969</v>
      </c>
      <c r="F1" s="1">
        <f>SUM(G5:G66)</f>
        <v>4851151.87</v>
      </c>
      <c r="G1" s="1" t="s">
        <v>970</v>
      </c>
      <c r="H1" s="106">
        <f>L8+L11+L46+L53+L16+L60+L29+L36+L22+L66</f>
        <v>160.0611111111111</v>
      </c>
      <c r="I1" s="482" t="s">
        <v>971</v>
      </c>
      <c r="J1" s="482"/>
      <c r="K1" s="482"/>
      <c r="L1" s="482" t="s">
        <v>972</v>
      </c>
      <c r="M1" s="482"/>
      <c r="N1" s="482"/>
      <c r="O1" s="482" t="s">
        <v>973</v>
      </c>
      <c r="P1" s="482"/>
      <c r="Q1" s="482"/>
      <c r="R1" s="482"/>
      <c r="S1" s="482" t="s">
        <v>974</v>
      </c>
      <c r="T1" s="482"/>
      <c r="U1" s="482"/>
      <c r="V1" s="482"/>
      <c r="W1" s="482"/>
      <c r="X1" s="482"/>
      <c r="Y1" s="482" t="s">
        <v>975</v>
      </c>
      <c r="Z1" s="482"/>
      <c r="AA1" s="482" t="s">
        <v>976</v>
      </c>
      <c r="AB1" s="483"/>
      <c r="AC1" s="483"/>
    </row>
    <row r="2" spans="1:29" ht="26.25" customHeight="1">
      <c r="A2" s="24">
        <v>45913</v>
      </c>
      <c r="B2" s="25" t="s">
        <v>457</v>
      </c>
      <c r="C2" s="2" t="s">
        <v>977</v>
      </c>
      <c r="D2" s="6">
        <f>AVERAGE(N8,N11,N46,N53,N16,N60,N22,N29,N36,N66)</f>
        <v>139.90092000309022</v>
      </c>
      <c r="E2" s="7" t="s">
        <v>11</v>
      </c>
      <c r="F2" s="8">
        <f>F1/D1</f>
        <v>34.538095872075637</v>
      </c>
      <c r="G2" s="1" t="s">
        <v>978</v>
      </c>
      <c r="H2" s="244">
        <f>COUNT(H5:H66)</f>
        <v>3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979</v>
      </c>
      <c r="B3" s="443" t="s">
        <v>980</v>
      </c>
      <c r="C3" s="443" t="s">
        <v>981</v>
      </c>
      <c r="D3" s="443"/>
      <c r="E3" s="484" t="s">
        <v>982</v>
      </c>
      <c r="F3" s="443" t="s">
        <v>983</v>
      </c>
      <c r="G3" s="484" t="s">
        <v>984</v>
      </c>
      <c r="H3" s="476" t="s">
        <v>985</v>
      </c>
      <c r="I3" s="474" t="s">
        <v>986</v>
      </c>
      <c r="J3" s="479" t="s">
        <v>987</v>
      </c>
      <c r="K3" s="481" t="s">
        <v>977</v>
      </c>
      <c r="L3" s="474" t="s">
        <v>986</v>
      </c>
      <c r="M3" s="479" t="s">
        <v>987</v>
      </c>
      <c r="N3" s="481" t="s">
        <v>977</v>
      </c>
      <c r="O3" s="474" t="s">
        <v>986</v>
      </c>
      <c r="P3" s="481" t="s">
        <v>977</v>
      </c>
      <c r="Q3" s="480" t="s">
        <v>988</v>
      </c>
      <c r="R3" s="451" t="s">
        <v>989</v>
      </c>
      <c r="S3" s="443" t="s">
        <v>25</v>
      </c>
      <c r="T3" s="443"/>
      <c r="U3" s="476" t="s">
        <v>26</v>
      </c>
      <c r="V3" s="476" t="s">
        <v>990</v>
      </c>
      <c r="W3" s="443" t="s">
        <v>991</v>
      </c>
      <c r="X3" s="443"/>
      <c r="Y3" s="477" t="s">
        <v>992</v>
      </c>
      <c r="Z3" s="478"/>
      <c r="AA3" s="479" t="s">
        <v>987</v>
      </c>
      <c r="AB3" s="480" t="s">
        <v>993</v>
      </c>
      <c r="AC3" s="451" t="s">
        <v>989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32" t="s">
        <v>31</v>
      </c>
      <c r="T4" s="232" t="s">
        <v>32</v>
      </c>
      <c r="U4" s="476"/>
      <c r="V4" s="476"/>
      <c r="W4" s="232" t="s">
        <v>994</v>
      </c>
      <c r="X4" s="232" t="s">
        <v>995</v>
      </c>
      <c r="Y4" s="478"/>
      <c r="Z4" s="478"/>
      <c r="AA4" s="479"/>
      <c r="AB4" s="480"/>
      <c r="AC4" s="451"/>
    </row>
    <row r="5" spans="1:29">
      <c r="A5" s="473" t="s">
        <v>996</v>
      </c>
      <c r="B5" s="31" t="s">
        <v>58</v>
      </c>
      <c r="C5" s="475" t="s">
        <v>104</v>
      </c>
      <c r="D5" s="475"/>
      <c r="E5" s="31">
        <v>46.93</v>
      </c>
      <c r="F5" s="242">
        <v>970</v>
      </c>
      <c r="G5" s="232">
        <f>E5*F5</f>
        <v>45522.1</v>
      </c>
      <c r="H5" s="243" t="s">
        <v>103</v>
      </c>
      <c r="I5" s="240">
        <v>16</v>
      </c>
      <c r="J5" s="26">
        <v>2000</v>
      </c>
      <c r="K5" s="10">
        <f>J5/I5</f>
        <v>125</v>
      </c>
      <c r="L5" s="240">
        <v>16</v>
      </c>
      <c r="M5" s="11">
        <f>F5/V5*60</f>
        <v>1939.9999999999968</v>
      </c>
      <c r="N5" s="10">
        <f>M5/L5</f>
        <v>121.2499999999998</v>
      </c>
      <c r="O5" s="12">
        <f t="shared" ref="O5:O7" si="0">L5-I5</f>
        <v>0</v>
      </c>
      <c r="P5" s="13">
        <f t="shared" ref="P5:P7" si="1">N5-K5</f>
        <v>-3.750000000000199</v>
      </c>
      <c r="Q5" s="234">
        <f>N5/K5</f>
        <v>0.96999999999999842</v>
      </c>
      <c r="R5" s="442">
        <f>Q8</f>
        <v>0.95610119047618991</v>
      </c>
      <c r="S5" s="28">
        <v>0.70833333333333337</v>
      </c>
      <c r="T5" s="28">
        <v>0.72916666666666674</v>
      </c>
      <c r="U5" s="232"/>
      <c r="V5" s="241">
        <f>(T5-S5)*24*60</f>
        <v>30.000000000000053</v>
      </c>
      <c r="W5" s="16"/>
      <c r="X5" s="17"/>
      <c r="Y5" s="443"/>
      <c r="Z5" s="443"/>
      <c r="AA5" s="12">
        <f t="shared" ref="AA5:AA66" si="2">M5-J5</f>
        <v>-60.000000000003183</v>
      </c>
      <c r="AB5" s="234">
        <f t="shared" ref="AB5:AB7" si="3">M5/J5</f>
        <v>0.96999999999999842</v>
      </c>
      <c r="AC5" s="442">
        <f>AB8</f>
        <v>0.95610119047618991</v>
      </c>
    </row>
    <row r="6" spans="1:29">
      <c r="A6" s="474" t="s">
        <v>997</v>
      </c>
      <c r="B6" s="31" t="s">
        <v>58</v>
      </c>
      <c r="C6" s="475" t="s">
        <v>105</v>
      </c>
      <c r="D6" s="475"/>
      <c r="E6" s="31">
        <v>50.49</v>
      </c>
      <c r="F6" s="242">
        <v>2220</v>
      </c>
      <c r="G6" s="232">
        <f t="shared" ref="G6:G7" si="4">E6*F6</f>
        <v>112087.8</v>
      </c>
      <c r="H6" s="243" t="s">
        <v>103</v>
      </c>
      <c r="I6" s="240">
        <v>15</v>
      </c>
      <c r="J6" s="26">
        <v>2000</v>
      </c>
      <c r="K6" s="10">
        <f t="shared" ref="K6:K7" si="5">J6/I6</f>
        <v>133.33333333333334</v>
      </c>
      <c r="L6" s="240">
        <v>15</v>
      </c>
      <c r="M6" s="11">
        <f>F6/V6*60</f>
        <v>1902.8571428571411</v>
      </c>
      <c r="N6" s="10">
        <f t="shared" ref="N6:N7" si="6">M6/L6</f>
        <v>126.85714285714273</v>
      </c>
      <c r="O6" s="12">
        <f t="shared" si="0"/>
        <v>0</v>
      </c>
      <c r="P6" s="13">
        <f t="shared" si="1"/>
        <v>-6.4761904761906095</v>
      </c>
      <c r="Q6" s="234">
        <f t="shared" ref="Q6:Q7" si="7">N6/K6</f>
        <v>0.9514285714285704</v>
      </c>
      <c r="R6" s="442"/>
      <c r="S6" s="28">
        <v>0.73333333333333339</v>
      </c>
      <c r="T6" s="28">
        <v>0.78194444444444455</v>
      </c>
      <c r="U6" s="232">
        <f>(S6-T5)*24*60</f>
        <v>5.9999999999999787</v>
      </c>
      <c r="V6" s="241">
        <f>(T6-S6)*24*60</f>
        <v>70.000000000000071</v>
      </c>
      <c r="W6" s="16"/>
      <c r="X6" s="16"/>
      <c r="Y6" s="443"/>
      <c r="Z6" s="443"/>
      <c r="AA6" s="12">
        <f t="shared" si="2"/>
        <v>-97.142857142858929</v>
      </c>
      <c r="AB6" s="234">
        <f t="shared" si="3"/>
        <v>0.95142857142857051</v>
      </c>
      <c r="AC6" s="442"/>
    </row>
    <row r="7" spans="1:29">
      <c r="A7" s="474" t="s">
        <v>996</v>
      </c>
      <c r="B7" s="31" t="s">
        <v>58</v>
      </c>
      <c r="C7" s="471" t="s">
        <v>106</v>
      </c>
      <c r="D7" s="472"/>
      <c r="E7" s="31">
        <v>50.67</v>
      </c>
      <c r="F7" s="242">
        <v>2020</v>
      </c>
      <c r="G7" s="232">
        <f t="shared" si="4"/>
        <v>102353.40000000001</v>
      </c>
      <c r="H7" s="243" t="s">
        <v>103</v>
      </c>
      <c r="I7" s="240">
        <v>17</v>
      </c>
      <c r="J7" s="26">
        <v>2000</v>
      </c>
      <c r="K7" s="10">
        <f t="shared" si="5"/>
        <v>117.64705882352941</v>
      </c>
      <c r="L7" s="240">
        <v>17</v>
      </c>
      <c r="M7" s="11">
        <f t="shared" ref="M7" si="8">F7/V7*60</f>
        <v>1893.750000000002</v>
      </c>
      <c r="N7" s="10">
        <f t="shared" si="6"/>
        <v>111.39705882352953</v>
      </c>
      <c r="O7" s="12">
        <f t="shared" si="0"/>
        <v>0</v>
      </c>
      <c r="P7" s="13">
        <f t="shared" si="1"/>
        <v>-6.2499999999998721</v>
      </c>
      <c r="Q7" s="234">
        <f t="shared" si="7"/>
        <v>0.94687500000000113</v>
      </c>
      <c r="R7" s="442"/>
      <c r="S7" s="28">
        <v>0.78541666666666676</v>
      </c>
      <c r="T7" s="28">
        <v>0.82986111111111116</v>
      </c>
      <c r="U7" s="232">
        <f t="shared" ref="U7" si="9">(S7-T6)*24*60</f>
        <v>4.9999999999999822</v>
      </c>
      <c r="V7" s="241">
        <f t="shared" ref="V7" si="10">(T7-S7)*24*60</f>
        <v>63.999999999999929</v>
      </c>
      <c r="W7" s="16"/>
      <c r="X7" s="16"/>
      <c r="Y7" s="447"/>
      <c r="Z7" s="448"/>
      <c r="AA7" s="12">
        <f t="shared" si="2"/>
        <v>-106.24999999999795</v>
      </c>
      <c r="AB7" s="234">
        <f t="shared" si="3"/>
        <v>0.94687500000000102</v>
      </c>
      <c r="AC7" s="442"/>
    </row>
    <row r="8" spans="1:29">
      <c r="A8" s="474" t="s">
        <v>997</v>
      </c>
      <c r="B8" s="31" t="s">
        <v>998</v>
      </c>
      <c r="C8" s="446"/>
      <c r="D8" s="446"/>
      <c r="E8" s="233"/>
      <c r="F8" s="33"/>
      <c r="G8" s="10"/>
      <c r="H8" s="242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1912.2023809523798</v>
      </c>
      <c r="N8" s="10">
        <f>M8/L8</f>
        <v>119.51264880952374</v>
      </c>
      <c r="O8" s="12">
        <f>L8-I8</f>
        <v>0</v>
      </c>
      <c r="P8" s="13">
        <f>N8-K8</f>
        <v>-5.4873511904762609</v>
      </c>
      <c r="Q8" s="234">
        <f>N8/K8</f>
        <v>0.95610119047618991</v>
      </c>
      <c r="R8" s="442"/>
      <c r="S8" s="28"/>
      <c r="T8" s="28"/>
      <c r="U8" s="232"/>
      <c r="V8" s="241"/>
      <c r="W8" s="10"/>
      <c r="X8" s="10"/>
      <c r="Y8" s="443"/>
      <c r="Z8" s="443"/>
      <c r="AA8" s="12">
        <f t="shared" si="2"/>
        <v>-87.797619047620174</v>
      </c>
      <c r="AB8" s="234">
        <f>M8/J8</f>
        <v>0.95610119047618991</v>
      </c>
      <c r="AC8" s="442"/>
    </row>
    <row r="9" spans="1:29" ht="15.75" customHeight="1">
      <c r="A9" s="439" t="s">
        <v>999</v>
      </c>
      <c r="B9" s="31" t="s">
        <v>53</v>
      </c>
      <c r="C9" s="471" t="s">
        <v>107</v>
      </c>
      <c r="D9" s="472"/>
      <c r="E9" s="31">
        <v>39.619999999999997</v>
      </c>
      <c r="F9" s="242">
        <v>3999</v>
      </c>
      <c r="G9" s="232">
        <f t="shared" ref="G9:G10" si="11">E9*F9</f>
        <v>158440.37999999998</v>
      </c>
      <c r="H9" s="243" t="s">
        <v>103</v>
      </c>
      <c r="I9" s="240">
        <v>19</v>
      </c>
      <c r="J9" s="26">
        <v>1500</v>
      </c>
      <c r="K9" s="10">
        <f t="shared" ref="K9:K10" si="12">J9/I9</f>
        <v>78.94736842105263</v>
      </c>
      <c r="L9" s="240">
        <v>19</v>
      </c>
      <c r="M9" s="11">
        <f t="shared" ref="M9:M10" si="13">F9/V9*60</f>
        <v>1419.7633136094673</v>
      </c>
      <c r="N9" s="10">
        <f t="shared" ref="N9:N10" si="14">M9/L9</f>
        <v>74.724384926814068</v>
      </c>
      <c r="O9" s="12">
        <f t="shared" ref="O9:O10" si="15">L9-I9</f>
        <v>0</v>
      </c>
      <c r="P9" s="13">
        <f>N9-K9</f>
        <v>-4.2229834942385622</v>
      </c>
      <c r="Q9" s="234">
        <f>N9/K9</f>
        <v>0.94650887573964493</v>
      </c>
      <c r="R9" s="442">
        <f>Q11</f>
        <v>0.94500882383473461</v>
      </c>
      <c r="S9" s="28">
        <v>0.125</v>
      </c>
      <c r="T9" s="28">
        <v>0.24236111111111114</v>
      </c>
      <c r="U9" s="232"/>
      <c r="V9" s="241">
        <f t="shared" ref="V9:V10" si="16">(T9-S9)*24*60</f>
        <v>169.00000000000003</v>
      </c>
      <c r="W9" s="16">
        <f>T9</f>
        <v>0.24236111111111114</v>
      </c>
      <c r="X9" s="16">
        <f>S10</f>
        <v>0.2638888888888889</v>
      </c>
      <c r="Y9" s="443"/>
      <c r="Z9" s="443"/>
      <c r="AA9" s="12">
        <f t="shared" si="2"/>
        <v>-80.236686390532668</v>
      </c>
      <c r="AB9" s="234">
        <f>M9/J9</f>
        <v>0.94650887573964493</v>
      </c>
      <c r="AC9" s="442">
        <f>AB11</f>
        <v>0.94500882383473461</v>
      </c>
    </row>
    <row r="10" spans="1:29" ht="15.75" customHeight="1">
      <c r="A10" s="439" t="s">
        <v>999</v>
      </c>
      <c r="B10" s="31" t="s">
        <v>53</v>
      </c>
      <c r="C10" s="471" t="s">
        <v>54</v>
      </c>
      <c r="D10" s="472"/>
      <c r="E10" s="31">
        <v>39.799999999999997</v>
      </c>
      <c r="F10" s="242">
        <v>5378</v>
      </c>
      <c r="G10" s="232">
        <f t="shared" si="11"/>
        <v>214044.4</v>
      </c>
      <c r="H10" s="243" t="s">
        <v>103</v>
      </c>
      <c r="I10" s="240">
        <v>17</v>
      </c>
      <c r="J10" s="26">
        <v>1500</v>
      </c>
      <c r="K10" s="10">
        <f t="shared" si="12"/>
        <v>88.235294117647058</v>
      </c>
      <c r="L10" s="240">
        <v>17</v>
      </c>
      <c r="M10" s="11">
        <f t="shared" si="13"/>
        <v>1415.2631578947369</v>
      </c>
      <c r="N10" s="10">
        <f t="shared" si="14"/>
        <v>83.250773993808053</v>
      </c>
      <c r="O10" s="12">
        <f t="shared" si="15"/>
        <v>0</v>
      </c>
      <c r="P10" s="13">
        <f t="shared" ref="P10" si="17">N10-K10</f>
        <v>-4.9845201238390047</v>
      </c>
      <c r="Q10" s="234">
        <f t="shared" ref="Q10" si="18">N10/K10</f>
        <v>0.94350877192982463</v>
      </c>
      <c r="R10" s="442"/>
      <c r="S10" s="28">
        <v>0.2638888888888889</v>
      </c>
      <c r="T10" s="28">
        <v>0.42222222222222222</v>
      </c>
      <c r="U10" s="232">
        <f>(S10-T9)*24*60</f>
        <v>30.999999999999972</v>
      </c>
      <c r="V10" s="241">
        <f t="shared" si="16"/>
        <v>228</v>
      </c>
      <c r="W10" s="16"/>
      <c r="X10" s="16"/>
      <c r="Y10" s="443"/>
      <c r="Z10" s="443"/>
      <c r="AA10" s="12">
        <f t="shared" si="2"/>
        <v>-84.736842105263122</v>
      </c>
      <c r="AB10" s="234">
        <f t="shared" ref="AB10:AB22" si="19">M10/J10</f>
        <v>0.94350877192982463</v>
      </c>
      <c r="AC10" s="442"/>
    </row>
    <row r="11" spans="1:29" ht="16.5" customHeight="1">
      <c r="A11" s="439" t="s">
        <v>999</v>
      </c>
      <c r="B11" s="31" t="s">
        <v>1000</v>
      </c>
      <c r="C11" s="446"/>
      <c r="D11" s="446"/>
      <c r="E11" s="233"/>
      <c r="F11" s="26"/>
      <c r="G11" s="11"/>
      <c r="H11" s="242"/>
      <c r="I11" s="19">
        <v>18</v>
      </c>
      <c r="J11" s="26">
        <v>1500</v>
      </c>
      <c r="K11" s="10">
        <f>J11/I11</f>
        <v>83.333333333333329</v>
      </c>
      <c r="L11" s="19">
        <v>18</v>
      </c>
      <c r="M11" s="11">
        <f>AVERAGE(M9:M10)</f>
        <v>1417.513235752102</v>
      </c>
      <c r="N11" s="10">
        <f>M11/L11</f>
        <v>78.750735319561215</v>
      </c>
      <c r="O11" s="12">
        <f>L11-I11</f>
        <v>0</v>
      </c>
      <c r="P11" s="13">
        <f>N11-K11</f>
        <v>-4.5825980137721132</v>
      </c>
      <c r="Q11" s="234">
        <f>N11/K11</f>
        <v>0.94500882383473461</v>
      </c>
      <c r="R11" s="442"/>
      <c r="S11" s="28"/>
      <c r="T11" s="28"/>
      <c r="U11" s="10"/>
      <c r="V11" s="241"/>
      <c r="W11" s="10"/>
      <c r="X11" s="10"/>
      <c r="Y11" s="443"/>
      <c r="Z11" s="443"/>
      <c r="AA11" s="12">
        <f t="shared" si="2"/>
        <v>-82.486764247898009</v>
      </c>
      <c r="AB11" s="234">
        <f t="shared" si="19"/>
        <v>0.94500882383473461</v>
      </c>
      <c r="AC11" s="442"/>
    </row>
    <row r="12" spans="1:29" ht="16.5" customHeight="1">
      <c r="A12" s="469" t="s">
        <v>1001</v>
      </c>
      <c r="B12" s="242" t="s">
        <v>56</v>
      </c>
      <c r="C12" s="464" t="s">
        <v>57</v>
      </c>
      <c r="D12" s="464"/>
      <c r="E12" s="31">
        <v>41</v>
      </c>
      <c r="F12" s="242">
        <v>1805</v>
      </c>
      <c r="G12" s="232">
        <f t="shared" ref="G12:G15" si="20">E12*F12</f>
        <v>74005</v>
      </c>
      <c r="H12" s="243" t="s">
        <v>103</v>
      </c>
      <c r="I12" s="240">
        <v>26</v>
      </c>
      <c r="J12" s="26">
        <v>1500</v>
      </c>
      <c r="K12" s="10">
        <f>J12/I12</f>
        <v>57.692307692307693</v>
      </c>
      <c r="L12" s="240">
        <v>26</v>
      </c>
      <c r="M12" s="11">
        <f>F12/V12*60</f>
        <v>1424.9999999999998</v>
      </c>
      <c r="N12" s="10">
        <f t="shared" ref="N12:N21" si="21">M12/L12</f>
        <v>54.807692307692299</v>
      </c>
      <c r="O12" s="12">
        <f t="shared" ref="O12" si="22">L12-I12</f>
        <v>0</v>
      </c>
      <c r="P12" s="13">
        <f t="shared" ref="P12" si="23">N12-K12</f>
        <v>-2.8846153846153939</v>
      </c>
      <c r="Q12" s="234">
        <f>N12/K12</f>
        <v>0.94999999999999984</v>
      </c>
      <c r="R12" s="442">
        <f>Q16</f>
        <v>0.94619573289376413</v>
      </c>
      <c r="S12" s="28">
        <v>0.20833333333333334</v>
      </c>
      <c r="T12" s="28">
        <v>0.26111111111111113</v>
      </c>
      <c r="U12" s="232"/>
      <c r="V12" s="241">
        <f>(T12-S12)*24*60</f>
        <v>76.000000000000014</v>
      </c>
      <c r="W12" s="18"/>
      <c r="X12" s="18"/>
      <c r="Y12" s="443"/>
      <c r="Z12" s="443"/>
      <c r="AA12" s="12">
        <f t="shared" si="2"/>
        <v>-75.000000000000227</v>
      </c>
      <c r="AB12" s="234">
        <f t="shared" si="19"/>
        <v>0.94999999999999984</v>
      </c>
      <c r="AC12" s="442">
        <f>AB16</f>
        <v>0.94619573289376413</v>
      </c>
    </row>
    <row r="13" spans="1:29" ht="16.5" customHeight="1">
      <c r="A13" s="470" t="s">
        <v>1001</v>
      </c>
      <c r="B13" s="242" t="s">
        <v>53</v>
      </c>
      <c r="C13" s="464" t="s">
        <v>163</v>
      </c>
      <c r="D13" s="464"/>
      <c r="E13" s="31">
        <v>39.36</v>
      </c>
      <c r="F13" s="242">
        <v>4013</v>
      </c>
      <c r="G13" s="232">
        <f t="shared" si="20"/>
        <v>157951.67999999999</v>
      </c>
      <c r="H13" s="243" t="s">
        <v>103</v>
      </c>
      <c r="I13" s="240">
        <v>20</v>
      </c>
      <c r="J13" s="26">
        <v>1500</v>
      </c>
      <c r="K13" s="10">
        <f>J13/I13</f>
        <v>75</v>
      </c>
      <c r="L13" s="240">
        <v>20</v>
      </c>
      <c r="M13" s="11">
        <f>F13/V13*60</f>
        <v>1416.3529411764703</v>
      </c>
      <c r="N13" s="10">
        <f t="shared" si="21"/>
        <v>70.817647058823511</v>
      </c>
      <c r="O13" s="12">
        <f>L13-I13</f>
        <v>0</v>
      </c>
      <c r="P13" s="13">
        <f>N13-K13</f>
        <v>-4.1823529411764895</v>
      </c>
      <c r="Q13" s="234">
        <f>N13/K13</f>
        <v>0.94423529411764684</v>
      </c>
      <c r="R13" s="442"/>
      <c r="S13" s="28">
        <v>0.26527777777777778</v>
      </c>
      <c r="T13" s="28">
        <v>0.38333333333333336</v>
      </c>
      <c r="U13" s="232">
        <f>IF(S13=TIME(17,0,0),"",(S13-T12)*24*60)</f>
        <v>5.9999999999999787</v>
      </c>
      <c r="V13" s="241">
        <f>(T13-S13)*24*60</f>
        <v>170.00000000000003</v>
      </c>
      <c r="W13" s="16"/>
      <c r="X13" s="16"/>
      <c r="Y13" s="443"/>
      <c r="Z13" s="443"/>
      <c r="AA13" s="12">
        <f t="shared" si="2"/>
        <v>-83.647058823529733</v>
      </c>
      <c r="AB13" s="234">
        <f t="shared" si="19"/>
        <v>0.94423529411764684</v>
      </c>
      <c r="AC13" s="442"/>
    </row>
    <row r="14" spans="1:29" ht="16.5" customHeight="1">
      <c r="A14" s="470" t="s">
        <v>1001</v>
      </c>
      <c r="B14" s="242" t="s">
        <v>58</v>
      </c>
      <c r="C14" s="464" t="s">
        <v>59</v>
      </c>
      <c r="D14" s="464"/>
      <c r="E14" s="31">
        <v>50.98</v>
      </c>
      <c r="F14" s="242">
        <v>2696</v>
      </c>
      <c r="G14" s="232">
        <f t="shared" si="20"/>
        <v>137442.07999999999</v>
      </c>
      <c r="H14" s="243" t="s">
        <v>103</v>
      </c>
      <c r="I14" s="240">
        <v>16</v>
      </c>
      <c r="J14" s="26">
        <v>2000</v>
      </c>
      <c r="K14" s="10">
        <f t="shared" ref="K14:K15" si="24">J14/I14</f>
        <v>125</v>
      </c>
      <c r="L14" s="240">
        <v>16</v>
      </c>
      <c r="M14" s="11">
        <f t="shared" ref="M14:M15" si="25">F14/V14*60</f>
        <v>1880.9302325581393</v>
      </c>
      <c r="N14" s="10">
        <f t="shared" si="21"/>
        <v>117.55813953488371</v>
      </c>
      <c r="O14" s="12">
        <f t="shared" ref="O14:O15" si="26">L14-I14</f>
        <v>0</v>
      </c>
      <c r="P14" s="13">
        <f t="shared" ref="P14:P15" si="27">N14-K14</f>
        <v>-7.4418604651162923</v>
      </c>
      <c r="Q14" s="234">
        <f t="shared" ref="Q14:Q21" si="28">N14/K14</f>
        <v>0.9404651162790697</v>
      </c>
      <c r="R14" s="442"/>
      <c r="S14" s="28">
        <v>0.70833333333333337</v>
      </c>
      <c r="T14" s="28">
        <v>0.7680555555555556</v>
      </c>
      <c r="U14" s="232" t="str">
        <f t="shared" ref="U14:U15" si="29">IF(S14=TIME(17,0,0),"",(S14-T13)*24*60)</f>
        <v/>
      </c>
      <c r="V14" s="241">
        <f t="shared" ref="V14:V15" si="30">(T14-S14)*24*60</f>
        <v>86.000000000000014</v>
      </c>
      <c r="W14" s="16"/>
      <c r="X14" s="16"/>
      <c r="Y14" s="443"/>
      <c r="Z14" s="443"/>
      <c r="AA14" s="12">
        <f t="shared" si="2"/>
        <v>-119.06976744186068</v>
      </c>
      <c r="AB14" s="234">
        <f t="shared" si="19"/>
        <v>0.9404651162790697</v>
      </c>
      <c r="AC14" s="442"/>
    </row>
    <row r="15" spans="1:29" ht="16.5" customHeight="1">
      <c r="A15" s="470" t="s">
        <v>1001</v>
      </c>
      <c r="B15" s="242" t="s">
        <v>58</v>
      </c>
      <c r="C15" s="464" t="s">
        <v>60</v>
      </c>
      <c r="D15" s="464"/>
      <c r="E15" s="31">
        <v>50.92</v>
      </c>
      <c r="F15" s="242">
        <v>2915</v>
      </c>
      <c r="G15" s="232">
        <f t="shared" si="20"/>
        <v>148431.80000000002</v>
      </c>
      <c r="H15" s="243" t="s">
        <v>103</v>
      </c>
      <c r="I15" s="240">
        <v>15</v>
      </c>
      <c r="J15" s="26">
        <v>2000</v>
      </c>
      <c r="K15" s="10">
        <f t="shared" si="24"/>
        <v>133.33333333333334</v>
      </c>
      <c r="L15" s="240">
        <v>15</v>
      </c>
      <c r="M15" s="11">
        <f t="shared" si="25"/>
        <v>1901.0869565217392</v>
      </c>
      <c r="N15" s="10">
        <f t="shared" si="21"/>
        <v>126.73913043478261</v>
      </c>
      <c r="O15" s="12">
        <f t="shared" si="26"/>
        <v>0</v>
      </c>
      <c r="P15" s="13">
        <f t="shared" si="27"/>
        <v>-6.5942028985507335</v>
      </c>
      <c r="Q15" s="234">
        <f t="shared" si="28"/>
        <v>0.95054347826086949</v>
      </c>
      <c r="R15" s="442"/>
      <c r="S15" s="28">
        <v>0.7729166666666667</v>
      </c>
      <c r="T15" s="28">
        <v>0.83680555555555558</v>
      </c>
      <c r="U15" s="232">
        <f t="shared" si="29"/>
        <v>6.9999999999999751</v>
      </c>
      <c r="V15" s="241">
        <f t="shared" si="30"/>
        <v>92</v>
      </c>
      <c r="W15" s="16"/>
      <c r="X15" s="16"/>
      <c r="Y15" s="443"/>
      <c r="Z15" s="443"/>
      <c r="AA15" s="12">
        <f t="shared" si="2"/>
        <v>-98.913043478260761</v>
      </c>
      <c r="AB15" s="234">
        <f t="shared" si="19"/>
        <v>0.9505434782608696</v>
      </c>
      <c r="AC15" s="442"/>
    </row>
    <row r="16" spans="1:29" ht="16.5" customHeight="1">
      <c r="A16" s="470" t="s">
        <v>1001</v>
      </c>
      <c r="B16" s="31" t="s">
        <v>1000</v>
      </c>
      <c r="C16" s="446"/>
      <c r="D16" s="446"/>
      <c r="E16" s="233"/>
      <c r="F16" s="33"/>
      <c r="G16" s="10"/>
      <c r="H16" s="242"/>
      <c r="I16" s="19">
        <v>19.25</v>
      </c>
      <c r="J16" s="26">
        <v>1750</v>
      </c>
      <c r="K16" s="10">
        <f>J16/I16</f>
        <v>90.909090909090907</v>
      </c>
      <c r="L16" s="19">
        <v>19.25</v>
      </c>
      <c r="M16" s="11">
        <f>AVERAGE(M12:M15)</f>
        <v>1655.8425325640872</v>
      </c>
      <c r="N16" s="10">
        <f t="shared" si="21"/>
        <v>86.017793899433102</v>
      </c>
      <c r="O16" s="12">
        <f>L16-I16</f>
        <v>0</v>
      </c>
      <c r="P16" s="13">
        <f>N16-K16</f>
        <v>-4.891297009657805</v>
      </c>
      <c r="Q16" s="234">
        <f t="shared" si="28"/>
        <v>0.94619573289376413</v>
      </c>
      <c r="R16" s="442"/>
      <c r="S16" s="28"/>
      <c r="T16" s="28"/>
      <c r="U16" s="232"/>
      <c r="V16" s="241"/>
      <c r="W16" s="10"/>
      <c r="X16" s="10"/>
      <c r="Y16" s="443"/>
      <c r="Z16" s="443"/>
      <c r="AA16" s="12">
        <f t="shared" si="2"/>
        <v>-94.157467435912849</v>
      </c>
      <c r="AB16" s="234">
        <f t="shared" si="19"/>
        <v>0.94619573289376413</v>
      </c>
      <c r="AC16" s="442"/>
    </row>
    <row r="17" spans="1:29" ht="15.75" customHeight="1">
      <c r="A17" s="467" t="s">
        <v>1002</v>
      </c>
      <c r="B17" s="31" t="s">
        <v>56</v>
      </c>
      <c r="C17" s="464" t="s">
        <v>61</v>
      </c>
      <c r="D17" s="464"/>
      <c r="E17" s="31">
        <v>43.14</v>
      </c>
      <c r="F17" s="242">
        <v>1153</v>
      </c>
      <c r="G17" s="232">
        <f t="shared" ref="G17:G21" si="31">E17*F17</f>
        <v>49740.42</v>
      </c>
      <c r="H17" s="243" t="s">
        <v>103</v>
      </c>
      <c r="I17" s="240">
        <v>17</v>
      </c>
      <c r="J17" s="26">
        <v>2000</v>
      </c>
      <c r="K17" s="10">
        <f t="shared" ref="K17:K22" si="32">J17/I17</f>
        <v>117.64705882352941</v>
      </c>
      <c r="L17" s="240">
        <v>17</v>
      </c>
      <c r="M17" s="11">
        <f t="shared" ref="M17:M21" si="33">F17/V17*60</f>
        <v>1921.6666666666672</v>
      </c>
      <c r="N17" s="10">
        <f t="shared" si="21"/>
        <v>113.03921568627455</v>
      </c>
      <c r="O17" s="12">
        <f t="shared" ref="O17:O21" si="34">L17-I17</f>
        <v>0</v>
      </c>
      <c r="P17" s="13">
        <f t="shared" ref="P17:P21" si="35">N17-K17</f>
        <v>-4.6078431372548607</v>
      </c>
      <c r="Q17" s="234">
        <f t="shared" si="28"/>
        <v>0.96083333333333365</v>
      </c>
      <c r="R17" s="442">
        <f>Q22</f>
        <v>0.94169777713065173</v>
      </c>
      <c r="S17" s="28">
        <v>0.20833333333333334</v>
      </c>
      <c r="T17" s="28">
        <v>0.23333333333333334</v>
      </c>
      <c r="U17" s="232"/>
      <c r="V17" s="241">
        <f>(T17-S17)*24*60</f>
        <v>35.999999999999993</v>
      </c>
      <c r="W17" s="18"/>
      <c r="X17" s="18"/>
      <c r="Y17" s="443"/>
      <c r="Z17" s="443"/>
      <c r="AA17" s="12">
        <f t="shared" si="2"/>
        <v>-78.333333333332803</v>
      </c>
      <c r="AB17" s="234">
        <f t="shared" si="19"/>
        <v>0.96083333333333365</v>
      </c>
      <c r="AC17" s="442">
        <f>AB22</f>
        <v>0.94169777713065173</v>
      </c>
    </row>
    <row r="18" spans="1:29" ht="15.75" customHeight="1">
      <c r="A18" s="468" t="s">
        <v>1002</v>
      </c>
      <c r="B18" s="31" t="s">
        <v>58</v>
      </c>
      <c r="C18" s="464" t="s">
        <v>62</v>
      </c>
      <c r="D18" s="464"/>
      <c r="E18" s="31">
        <v>57.73</v>
      </c>
      <c r="F18" s="242">
        <v>2263</v>
      </c>
      <c r="G18" s="232">
        <f t="shared" si="31"/>
        <v>130642.98999999999</v>
      </c>
      <c r="H18" s="243" t="s">
        <v>103</v>
      </c>
      <c r="I18" s="240">
        <v>15</v>
      </c>
      <c r="J18" s="26">
        <v>2000</v>
      </c>
      <c r="K18" s="10">
        <f t="shared" si="32"/>
        <v>133.33333333333334</v>
      </c>
      <c r="L18" s="240">
        <v>15</v>
      </c>
      <c r="M18" s="11">
        <f t="shared" si="33"/>
        <v>1885.8333333333326</v>
      </c>
      <c r="N18" s="10">
        <f t="shared" si="21"/>
        <v>125.72222222222217</v>
      </c>
      <c r="O18" s="12">
        <f t="shared" si="34"/>
        <v>0</v>
      </c>
      <c r="P18" s="13">
        <f t="shared" si="35"/>
        <v>-7.6111111111111711</v>
      </c>
      <c r="Q18" s="234">
        <f t="shared" si="28"/>
        <v>0.94291666666666618</v>
      </c>
      <c r="R18" s="442"/>
      <c r="S18" s="28">
        <v>0.23819444444444446</v>
      </c>
      <c r="T18" s="28">
        <v>0.28819444444444448</v>
      </c>
      <c r="U18" s="232">
        <f>IF(S18=TIME(17,0,0),"",(S18-T17)*24*60)</f>
        <v>7.0000000000000151</v>
      </c>
      <c r="V18" s="241">
        <f t="shared" ref="V18:V21" si="36">(T18-S18)*24*60</f>
        <v>72.000000000000028</v>
      </c>
      <c r="W18" s="16"/>
      <c r="X18" s="232"/>
      <c r="Y18" s="443"/>
      <c r="Z18" s="443"/>
      <c r="AA18" s="12">
        <f t="shared" si="2"/>
        <v>-114.16666666666742</v>
      </c>
      <c r="AB18" s="234">
        <f t="shared" si="19"/>
        <v>0.94291666666666629</v>
      </c>
      <c r="AC18" s="442"/>
    </row>
    <row r="19" spans="1:29" ht="15.75" customHeight="1">
      <c r="A19" s="468" t="s">
        <v>1002</v>
      </c>
      <c r="B19" s="31" t="s">
        <v>58</v>
      </c>
      <c r="C19" s="464" t="s">
        <v>63</v>
      </c>
      <c r="D19" s="464"/>
      <c r="E19" s="31">
        <v>53.68</v>
      </c>
      <c r="F19" s="242">
        <v>1606</v>
      </c>
      <c r="G19" s="232">
        <f t="shared" si="31"/>
        <v>86210.08</v>
      </c>
      <c r="H19" s="243" t="s">
        <v>103</v>
      </c>
      <c r="I19" s="240">
        <v>16</v>
      </c>
      <c r="J19" s="26">
        <v>2000</v>
      </c>
      <c r="K19" s="10">
        <f t="shared" si="32"/>
        <v>125</v>
      </c>
      <c r="L19" s="240">
        <v>16</v>
      </c>
      <c r="M19" s="11">
        <f t="shared" si="33"/>
        <v>1889.4117647058831</v>
      </c>
      <c r="N19" s="10">
        <f t="shared" si="21"/>
        <v>118.08823529411769</v>
      </c>
      <c r="O19" s="12">
        <f t="shared" si="34"/>
        <v>0</v>
      </c>
      <c r="P19" s="13">
        <f t="shared" si="35"/>
        <v>-6.9117647058823053</v>
      </c>
      <c r="Q19" s="234">
        <f t="shared" si="28"/>
        <v>0.94470588235294151</v>
      </c>
      <c r="R19" s="442"/>
      <c r="S19" s="28">
        <v>0.29166666666666669</v>
      </c>
      <c r="T19" s="28">
        <v>0.32708333333333334</v>
      </c>
      <c r="U19" s="232">
        <f t="shared" ref="U19:U21" si="37">IF(S19=TIME(17,0,0),"",(S19-T18)*24*60)</f>
        <v>4.9999999999999822</v>
      </c>
      <c r="V19" s="241">
        <f t="shared" si="36"/>
        <v>50.999999999999979</v>
      </c>
      <c r="W19" s="16"/>
      <c r="X19" s="232"/>
      <c r="Y19" s="443"/>
      <c r="Z19" s="443"/>
      <c r="AA19" s="12">
        <f t="shared" si="2"/>
        <v>-110.58823529411688</v>
      </c>
      <c r="AB19" s="234">
        <f t="shared" si="19"/>
        <v>0.94470588235294151</v>
      </c>
      <c r="AC19" s="442"/>
    </row>
    <row r="20" spans="1:29" ht="15.75" customHeight="1">
      <c r="A20" s="468" t="s">
        <v>1002</v>
      </c>
      <c r="B20" s="31" t="s">
        <v>58</v>
      </c>
      <c r="C20" s="464" t="s">
        <v>65</v>
      </c>
      <c r="D20" s="464"/>
      <c r="E20" s="31">
        <v>54.09</v>
      </c>
      <c r="F20" s="242">
        <v>3176</v>
      </c>
      <c r="G20" s="232">
        <f t="shared" si="31"/>
        <v>171789.84</v>
      </c>
      <c r="H20" s="243" t="s">
        <v>103</v>
      </c>
      <c r="I20" s="240">
        <v>19</v>
      </c>
      <c r="J20" s="26">
        <v>2000</v>
      </c>
      <c r="K20" s="10">
        <f t="shared" si="32"/>
        <v>105.26315789473684</v>
      </c>
      <c r="L20" s="240">
        <v>19</v>
      </c>
      <c r="M20" s="11">
        <f t="shared" si="33"/>
        <v>1886.7326732673275</v>
      </c>
      <c r="N20" s="10">
        <f t="shared" si="21"/>
        <v>99.301719645648816</v>
      </c>
      <c r="O20" s="12">
        <f t="shared" si="34"/>
        <v>0</v>
      </c>
      <c r="P20" s="13">
        <f t="shared" si="35"/>
        <v>-5.9614382490880189</v>
      </c>
      <c r="Q20" s="234">
        <f t="shared" si="28"/>
        <v>0.94336633663366387</v>
      </c>
      <c r="R20" s="442"/>
      <c r="S20" s="28">
        <v>0.70833333333333337</v>
      </c>
      <c r="T20" s="28">
        <v>0.77847222222222223</v>
      </c>
      <c r="U20" s="232" t="str">
        <f t="shared" si="37"/>
        <v/>
      </c>
      <c r="V20" s="241">
        <f t="shared" si="36"/>
        <v>100.99999999999996</v>
      </c>
      <c r="W20" s="16"/>
      <c r="X20" s="232"/>
      <c r="Y20" s="443"/>
      <c r="Z20" s="443"/>
      <c r="AA20" s="12">
        <f t="shared" si="2"/>
        <v>-113.26732673267247</v>
      </c>
      <c r="AB20" s="234">
        <f t="shared" si="19"/>
        <v>0.94336633663366376</v>
      </c>
      <c r="AC20" s="442"/>
    </row>
    <row r="21" spans="1:29" ht="15.75" customHeight="1">
      <c r="A21" s="468" t="s">
        <v>1002</v>
      </c>
      <c r="B21" s="31" t="s">
        <v>58</v>
      </c>
      <c r="C21" s="464" t="s">
        <v>66</v>
      </c>
      <c r="D21" s="464"/>
      <c r="E21" s="31">
        <v>53.27</v>
      </c>
      <c r="F21" s="242">
        <v>275</v>
      </c>
      <c r="G21" s="232">
        <f t="shared" si="31"/>
        <v>14649.25</v>
      </c>
      <c r="H21" s="243" t="s">
        <v>103</v>
      </c>
      <c r="I21" s="240">
        <v>15</v>
      </c>
      <c r="J21" s="26">
        <v>2000</v>
      </c>
      <c r="K21" s="10">
        <f t="shared" si="32"/>
        <v>133.33333333333334</v>
      </c>
      <c r="L21" s="240">
        <v>15</v>
      </c>
      <c r="M21" s="11">
        <f t="shared" si="33"/>
        <v>1833.3333333333071</v>
      </c>
      <c r="N21" s="10">
        <f t="shared" si="21"/>
        <v>122.22222222222048</v>
      </c>
      <c r="O21" s="12">
        <f t="shared" si="34"/>
        <v>0</v>
      </c>
      <c r="P21" s="13">
        <f t="shared" si="35"/>
        <v>-11.111111111112862</v>
      </c>
      <c r="Q21" s="234">
        <f t="shared" si="28"/>
        <v>0.91666666666665353</v>
      </c>
      <c r="R21" s="442"/>
      <c r="S21" s="28">
        <v>0.78194444444444444</v>
      </c>
      <c r="T21" s="28">
        <v>0.78819444444444453</v>
      </c>
      <c r="U21" s="232">
        <f t="shared" si="37"/>
        <v>4.9999999999999822</v>
      </c>
      <c r="V21" s="241">
        <f t="shared" si="36"/>
        <v>9.0000000000001279</v>
      </c>
      <c r="W21" s="16"/>
      <c r="X21" s="232"/>
      <c r="Y21" s="443"/>
      <c r="Z21" s="443"/>
      <c r="AA21" s="12">
        <f t="shared" si="2"/>
        <v>-166.66666666669289</v>
      </c>
      <c r="AB21" s="234">
        <f t="shared" si="19"/>
        <v>0.91666666666665353</v>
      </c>
      <c r="AC21" s="442"/>
    </row>
    <row r="22" spans="1:29" ht="15.75" customHeight="1">
      <c r="A22" s="468" t="s">
        <v>1002</v>
      </c>
      <c r="B22" s="31" t="s">
        <v>1000</v>
      </c>
      <c r="C22" s="446"/>
      <c r="D22" s="446"/>
      <c r="E22" s="233"/>
      <c r="F22" s="242"/>
      <c r="G22" s="232"/>
      <c r="H22" s="242"/>
      <c r="I22" s="19">
        <v>16.600000000000001</v>
      </c>
      <c r="J22" s="26">
        <v>2000</v>
      </c>
      <c r="K22" s="10">
        <f t="shared" si="32"/>
        <v>120.48192771084337</v>
      </c>
      <c r="L22" s="19">
        <v>16.600000000000001</v>
      </c>
      <c r="M22" s="11">
        <f>AVERAGE(M17:M21)</f>
        <v>1883.3955542613035</v>
      </c>
      <c r="N22" s="10">
        <f>M22/L22</f>
        <v>113.45756350971706</v>
      </c>
      <c r="O22" s="12">
        <f>L22-I22</f>
        <v>0</v>
      </c>
      <c r="P22" s="13">
        <f>N22-K22</f>
        <v>-7.0243642011263034</v>
      </c>
      <c r="Q22" s="234">
        <f>N22/K22</f>
        <v>0.94169777713065173</v>
      </c>
      <c r="R22" s="442"/>
      <c r="S22" s="28"/>
      <c r="T22" s="28"/>
      <c r="U22" s="10"/>
      <c r="V22" s="241"/>
      <c r="W22" s="10"/>
      <c r="X22" s="10"/>
      <c r="Y22" s="443"/>
      <c r="Z22" s="443"/>
      <c r="AA22" s="12">
        <f t="shared" si="2"/>
        <v>-116.60444573869654</v>
      </c>
      <c r="AB22" s="234">
        <f t="shared" si="19"/>
        <v>0.94169777713065173</v>
      </c>
      <c r="AC22" s="442"/>
    </row>
    <row r="23" spans="1:29" ht="15.75" customHeight="1">
      <c r="A23" s="463" t="s">
        <v>1003</v>
      </c>
      <c r="B23" s="31" t="s">
        <v>67</v>
      </c>
      <c r="C23" s="464" t="s">
        <v>68</v>
      </c>
      <c r="D23" s="464"/>
      <c r="E23" s="31">
        <v>26.2</v>
      </c>
      <c r="F23" s="242">
        <v>3485</v>
      </c>
      <c r="G23" s="232">
        <f t="shared" ref="G23:G28" si="38">E23*F23</f>
        <v>91307</v>
      </c>
      <c r="H23" s="243" t="s">
        <v>103</v>
      </c>
      <c r="I23" s="240">
        <v>20</v>
      </c>
      <c r="J23" s="26">
        <v>2400</v>
      </c>
      <c r="K23" s="10">
        <f>J23/I23</f>
        <v>120</v>
      </c>
      <c r="L23" s="240">
        <v>20</v>
      </c>
      <c r="M23" s="11">
        <f t="shared" ref="M23:M28" si="39">F23/V23*60</f>
        <v>2272.8260869565211</v>
      </c>
      <c r="N23" s="10">
        <f t="shared" ref="N23:N28" si="40">M23/L23</f>
        <v>113.64130434782605</v>
      </c>
      <c r="O23" s="12">
        <f t="shared" ref="O23:O28" si="41">L23-I23</f>
        <v>0</v>
      </c>
      <c r="P23" s="13">
        <f t="shared" ref="P23:P28" si="42">N23-K23</f>
        <v>-6.3586956521739495</v>
      </c>
      <c r="Q23" s="234">
        <f t="shared" ref="Q23:Q28" si="43">N23/K23</f>
        <v>0.94701086956521707</v>
      </c>
      <c r="R23" s="442">
        <f>Q29</f>
        <v>0.94751299599858929</v>
      </c>
      <c r="S23" s="28">
        <v>0.16666666666666666</v>
      </c>
      <c r="T23" s="28">
        <v>0.23055555555555557</v>
      </c>
      <c r="U23" s="232"/>
      <c r="V23" s="241">
        <f t="shared" ref="V23:V28" si="44">(T23-S23)*24*60</f>
        <v>92.000000000000028</v>
      </c>
      <c r="W23" s="16">
        <f>T23</f>
        <v>0.23055555555555557</v>
      </c>
      <c r="X23" s="16">
        <f>S24</f>
        <v>0.24861111111111112</v>
      </c>
      <c r="Y23" s="443"/>
      <c r="Z23" s="443"/>
      <c r="AA23" s="12">
        <f t="shared" si="2"/>
        <v>-127.17391304347893</v>
      </c>
      <c r="AB23" s="234">
        <f>M23/J23</f>
        <v>0.94701086956521707</v>
      </c>
      <c r="AC23" s="442">
        <f>AB29</f>
        <v>0.94751299599858929</v>
      </c>
    </row>
    <row r="24" spans="1:29" ht="15.75" customHeight="1">
      <c r="A24" s="463" t="s">
        <v>1003</v>
      </c>
      <c r="B24" s="31" t="s">
        <v>67</v>
      </c>
      <c r="C24" s="464" t="s">
        <v>69</v>
      </c>
      <c r="D24" s="464"/>
      <c r="E24" s="31">
        <v>31.29</v>
      </c>
      <c r="F24" s="242">
        <v>3000</v>
      </c>
      <c r="G24" s="232">
        <f t="shared" si="38"/>
        <v>93870</v>
      </c>
      <c r="H24" s="243">
        <v>2</v>
      </c>
      <c r="I24" s="240">
        <v>16</v>
      </c>
      <c r="J24" s="26">
        <v>2400</v>
      </c>
      <c r="K24" s="10">
        <f t="shared" ref="K24:K29" si="45">J24/I24</f>
        <v>150</v>
      </c>
      <c r="L24" s="240">
        <v>16</v>
      </c>
      <c r="M24" s="11">
        <f t="shared" si="39"/>
        <v>2278.481012658227</v>
      </c>
      <c r="N24" s="10">
        <f t="shared" si="40"/>
        <v>142.40506329113919</v>
      </c>
      <c r="O24" s="12">
        <f t="shared" si="41"/>
        <v>0</v>
      </c>
      <c r="P24" s="13">
        <f t="shared" si="42"/>
        <v>-7.5949367088608142</v>
      </c>
      <c r="Q24" s="234">
        <f t="shared" si="43"/>
        <v>0.94936708860759456</v>
      </c>
      <c r="R24" s="442"/>
      <c r="S24" s="28">
        <v>0.24861111111111112</v>
      </c>
      <c r="T24" s="28">
        <v>0.30347222222222225</v>
      </c>
      <c r="U24" s="232">
        <f>(S24-T23)*24*60</f>
        <v>25.999999999999986</v>
      </c>
      <c r="V24" s="241">
        <f t="shared" si="44"/>
        <v>79.000000000000043</v>
      </c>
      <c r="W24" s="16"/>
      <c r="X24" s="16"/>
      <c r="Y24" s="443"/>
      <c r="Z24" s="443"/>
      <c r="AA24" s="12">
        <f t="shared" si="2"/>
        <v>-121.51898734177303</v>
      </c>
      <c r="AB24" s="234">
        <f t="shared" ref="AB24:AB28" si="46">M24/J24</f>
        <v>0.94936708860759456</v>
      </c>
      <c r="AC24" s="442"/>
    </row>
    <row r="25" spans="1:29" ht="15.75" customHeight="1">
      <c r="A25" s="463" t="s">
        <v>1003</v>
      </c>
      <c r="B25" s="31" t="s">
        <v>67</v>
      </c>
      <c r="C25" s="464" t="s">
        <v>70</v>
      </c>
      <c r="D25" s="464"/>
      <c r="E25" s="31">
        <v>24.25</v>
      </c>
      <c r="F25" s="242">
        <v>3103</v>
      </c>
      <c r="G25" s="232">
        <f t="shared" si="38"/>
        <v>75247.75</v>
      </c>
      <c r="H25" s="243" t="s">
        <v>103</v>
      </c>
      <c r="I25" s="240">
        <v>18</v>
      </c>
      <c r="J25" s="26">
        <v>2400</v>
      </c>
      <c r="K25" s="10">
        <f t="shared" si="45"/>
        <v>133.33333333333334</v>
      </c>
      <c r="L25" s="240">
        <v>18</v>
      </c>
      <c r="M25" s="11">
        <f t="shared" si="39"/>
        <v>2270.4878048780479</v>
      </c>
      <c r="N25" s="10">
        <f t="shared" si="40"/>
        <v>126.13821138211377</v>
      </c>
      <c r="O25" s="12">
        <f t="shared" si="41"/>
        <v>0</v>
      </c>
      <c r="P25" s="13">
        <f t="shared" si="42"/>
        <v>-7.1951219512195763</v>
      </c>
      <c r="Q25" s="234">
        <f t="shared" si="43"/>
        <v>0.94603658536585322</v>
      </c>
      <c r="R25" s="442"/>
      <c r="S25" s="28">
        <v>0.30763888888888891</v>
      </c>
      <c r="T25" s="28">
        <v>0.36458333333333337</v>
      </c>
      <c r="U25" s="232">
        <f t="shared" ref="U25:U28" si="47">(S25-T24)*24*60</f>
        <v>5.9999999999999787</v>
      </c>
      <c r="V25" s="241">
        <f t="shared" si="44"/>
        <v>82.000000000000028</v>
      </c>
      <c r="W25" s="16"/>
      <c r="X25" s="16"/>
      <c r="Y25" s="443"/>
      <c r="Z25" s="443"/>
      <c r="AA25" s="12">
        <f t="shared" si="2"/>
        <v>-129.51219512195212</v>
      </c>
      <c r="AB25" s="234">
        <f t="shared" si="46"/>
        <v>0.94603658536585333</v>
      </c>
      <c r="AC25" s="442"/>
    </row>
    <row r="26" spans="1:29" ht="15.75" customHeight="1">
      <c r="A26" s="463" t="s">
        <v>1003</v>
      </c>
      <c r="B26" s="31" t="s">
        <v>67</v>
      </c>
      <c r="C26" s="464" t="s">
        <v>72</v>
      </c>
      <c r="D26" s="464"/>
      <c r="E26" s="31">
        <v>25.98</v>
      </c>
      <c r="F26" s="242">
        <v>2729</v>
      </c>
      <c r="G26" s="232">
        <f t="shared" si="38"/>
        <v>70899.42</v>
      </c>
      <c r="H26" s="243" t="s">
        <v>103</v>
      </c>
      <c r="I26" s="240">
        <v>17</v>
      </c>
      <c r="J26" s="26">
        <v>2400</v>
      </c>
      <c r="K26" s="10">
        <f t="shared" si="45"/>
        <v>141.1764705882353</v>
      </c>
      <c r="L26" s="240">
        <v>17</v>
      </c>
      <c r="M26" s="11">
        <f t="shared" si="39"/>
        <v>2274.166666666667</v>
      </c>
      <c r="N26" s="10">
        <f t="shared" si="40"/>
        <v>133.77450980392157</v>
      </c>
      <c r="O26" s="12">
        <f t="shared" si="41"/>
        <v>0</v>
      </c>
      <c r="P26" s="13">
        <f t="shared" si="42"/>
        <v>-7.4019607843137294</v>
      </c>
      <c r="Q26" s="234">
        <f t="shared" si="43"/>
        <v>0.94756944444444446</v>
      </c>
      <c r="R26" s="442"/>
      <c r="S26" s="28">
        <v>0.36944444444444446</v>
      </c>
      <c r="T26" s="28">
        <v>0.41944444444444445</v>
      </c>
      <c r="U26" s="232">
        <f t="shared" si="47"/>
        <v>6.9999999999999751</v>
      </c>
      <c r="V26" s="241">
        <f t="shared" si="44"/>
        <v>71.999999999999986</v>
      </c>
      <c r="W26" s="16"/>
      <c r="X26" s="16"/>
      <c r="Y26" s="443"/>
      <c r="Z26" s="443"/>
      <c r="AA26" s="12">
        <f t="shared" si="2"/>
        <v>-125.83333333333303</v>
      </c>
      <c r="AB26" s="234">
        <f t="shared" si="46"/>
        <v>0.94756944444444458</v>
      </c>
      <c r="AC26" s="442"/>
    </row>
    <row r="27" spans="1:29" ht="15.75" customHeight="1">
      <c r="A27" s="463" t="s">
        <v>1003</v>
      </c>
      <c r="B27" s="31" t="s">
        <v>67</v>
      </c>
      <c r="C27" s="464" t="s">
        <v>165</v>
      </c>
      <c r="D27" s="464"/>
      <c r="E27" s="31">
        <v>26.18</v>
      </c>
      <c r="F27" s="242">
        <v>4579</v>
      </c>
      <c r="G27" s="232">
        <f t="shared" si="38"/>
        <v>119878.22</v>
      </c>
      <c r="H27" s="243" t="s">
        <v>103</v>
      </c>
      <c r="I27" s="240">
        <v>19</v>
      </c>
      <c r="J27" s="26">
        <v>2400</v>
      </c>
      <c r="K27" s="10">
        <f t="shared" si="45"/>
        <v>126.31578947368421</v>
      </c>
      <c r="L27" s="240">
        <v>19</v>
      </c>
      <c r="M27" s="11">
        <f t="shared" si="39"/>
        <v>2270.5785123966948</v>
      </c>
      <c r="N27" s="10">
        <f t="shared" si="40"/>
        <v>119.50413223140499</v>
      </c>
      <c r="O27" s="12">
        <f t="shared" si="41"/>
        <v>0</v>
      </c>
      <c r="P27" s="13">
        <f t="shared" si="42"/>
        <v>-6.8116572422792103</v>
      </c>
      <c r="Q27" s="234">
        <f t="shared" si="43"/>
        <v>0.94607438016528955</v>
      </c>
      <c r="R27" s="442"/>
      <c r="S27" s="28">
        <v>0.42430555555555555</v>
      </c>
      <c r="T27" s="28">
        <v>0.5083333333333333</v>
      </c>
      <c r="U27" s="232">
        <f t="shared" si="47"/>
        <v>6.9999999999999751</v>
      </c>
      <c r="V27" s="241">
        <f t="shared" si="44"/>
        <v>120.99999999999997</v>
      </c>
      <c r="W27" s="16">
        <f>T27</f>
        <v>0.5083333333333333</v>
      </c>
      <c r="X27" s="16">
        <f>S28</f>
        <v>0.55069444444444438</v>
      </c>
      <c r="Y27" s="443"/>
      <c r="Z27" s="443"/>
      <c r="AA27" s="12">
        <f t="shared" si="2"/>
        <v>-129.4214876033052</v>
      </c>
      <c r="AB27" s="234">
        <f t="shared" si="46"/>
        <v>0.94607438016528955</v>
      </c>
      <c r="AC27" s="442"/>
    </row>
    <row r="28" spans="1:29" ht="15.75" customHeight="1">
      <c r="A28" s="463" t="s">
        <v>1003</v>
      </c>
      <c r="B28" s="31" t="s">
        <v>67</v>
      </c>
      <c r="C28" s="464" t="s">
        <v>69</v>
      </c>
      <c r="D28" s="464"/>
      <c r="E28" s="31">
        <v>31.29</v>
      </c>
      <c r="F28" s="242">
        <v>3872</v>
      </c>
      <c r="G28" s="232">
        <f t="shared" si="38"/>
        <v>121154.87999999999</v>
      </c>
      <c r="H28" s="243" t="s">
        <v>103</v>
      </c>
      <c r="I28" s="240">
        <v>16</v>
      </c>
      <c r="J28" s="26">
        <v>2400</v>
      </c>
      <c r="K28" s="10">
        <f t="shared" si="45"/>
        <v>150</v>
      </c>
      <c r="L28" s="240">
        <v>16</v>
      </c>
      <c r="M28" s="11">
        <f t="shared" si="39"/>
        <v>2277.6470588235302</v>
      </c>
      <c r="N28" s="10">
        <f t="shared" si="40"/>
        <v>142.35294117647064</v>
      </c>
      <c r="O28" s="12">
        <f t="shared" si="41"/>
        <v>0</v>
      </c>
      <c r="P28" s="13">
        <f t="shared" si="42"/>
        <v>-7.6470588235293633</v>
      </c>
      <c r="Q28" s="234">
        <f t="shared" si="43"/>
        <v>0.94901960784313755</v>
      </c>
      <c r="R28" s="442"/>
      <c r="S28" s="28">
        <v>0.55069444444444438</v>
      </c>
      <c r="T28" s="28">
        <v>0.62152777777777768</v>
      </c>
      <c r="U28" s="232">
        <f t="shared" si="47"/>
        <v>60.999999999999943</v>
      </c>
      <c r="V28" s="241">
        <f t="shared" si="44"/>
        <v>101.99999999999996</v>
      </c>
      <c r="W28" s="16"/>
      <c r="X28" s="16"/>
      <c r="Y28" s="443"/>
      <c r="Z28" s="443"/>
      <c r="AA28" s="12">
        <f t="shared" si="2"/>
        <v>-122.35294117646981</v>
      </c>
      <c r="AB28" s="234">
        <f t="shared" si="46"/>
        <v>0.94901960784313755</v>
      </c>
      <c r="AC28" s="442"/>
    </row>
    <row r="29" spans="1:29" ht="15.75" customHeight="1">
      <c r="A29" s="463" t="s">
        <v>1003</v>
      </c>
      <c r="B29" s="31" t="s">
        <v>1000</v>
      </c>
      <c r="C29" s="446"/>
      <c r="D29" s="446"/>
      <c r="E29" s="233"/>
      <c r="F29" s="242"/>
      <c r="G29" s="232"/>
      <c r="H29" s="242"/>
      <c r="I29" s="19">
        <v>17.666666666666668</v>
      </c>
      <c r="J29" s="26">
        <v>2400</v>
      </c>
      <c r="K29" s="10">
        <f t="shared" si="45"/>
        <v>135.84905660377356</v>
      </c>
      <c r="L29" s="19">
        <v>17.666666666666668</v>
      </c>
      <c r="M29" s="11">
        <f>AVERAGE(M23:M28)</f>
        <v>2274.0311903966144</v>
      </c>
      <c r="N29" s="10">
        <f>M29/L29</f>
        <v>128.71874662622344</v>
      </c>
      <c r="O29" s="12">
        <f>L29-I29</f>
        <v>0</v>
      </c>
      <c r="P29" s="13">
        <f>N29-K29</f>
        <v>-7.1303099775501266</v>
      </c>
      <c r="Q29" s="234">
        <f>N29/K29</f>
        <v>0.94751299599858929</v>
      </c>
      <c r="R29" s="442"/>
      <c r="S29" s="28"/>
      <c r="T29" s="28"/>
      <c r="U29" s="232"/>
      <c r="V29" s="241"/>
      <c r="W29" s="232"/>
      <c r="X29" s="232"/>
      <c r="Y29" s="443"/>
      <c r="Z29" s="443"/>
      <c r="AA29" s="12">
        <f t="shared" si="2"/>
        <v>-125.96880960338558</v>
      </c>
      <c r="AB29" s="234">
        <f>M29/J29</f>
        <v>0.94751299599858929</v>
      </c>
      <c r="AC29" s="442"/>
    </row>
    <row r="30" spans="1:29" ht="15.75" customHeight="1">
      <c r="A30" s="461" t="s">
        <v>1004</v>
      </c>
      <c r="B30" s="31" t="s">
        <v>67</v>
      </c>
      <c r="C30" s="441" t="s">
        <v>73</v>
      </c>
      <c r="D30" s="441"/>
      <c r="E30" s="31">
        <v>26.2</v>
      </c>
      <c r="F30" s="242">
        <v>5070</v>
      </c>
      <c r="G30" s="232">
        <f t="shared" ref="G30:G35" si="48">E30*F30</f>
        <v>132834</v>
      </c>
      <c r="H30" s="243" t="s">
        <v>103</v>
      </c>
      <c r="I30" s="240">
        <v>18</v>
      </c>
      <c r="J30" s="26">
        <v>2400</v>
      </c>
      <c r="K30" s="10">
        <f>J30/I30</f>
        <v>133.33333333333334</v>
      </c>
      <c r="L30" s="240">
        <v>18</v>
      </c>
      <c r="M30" s="11">
        <f>F30/V30*60</f>
        <v>2270.1492537313434</v>
      </c>
      <c r="N30" s="10">
        <f>M30/L30</f>
        <v>126.11940298507463</v>
      </c>
      <c r="O30" s="12">
        <f t="shared" ref="O30:O35" si="49">L30-I30</f>
        <v>0</v>
      </c>
      <c r="P30" s="13">
        <f t="shared" ref="P30:P46" si="50">N30-K30</f>
        <v>-7.2139303482587138</v>
      </c>
      <c r="Q30" s="234">
        <f t="shared" ref="Q30:Q40" si="51">N30/K30</f>
        <v>0.94589552238805963</v>
      </c>
      <c r="R30" s="442">
        <f>Q36</f>
        <v>0.94691531951115071</v>
      </c>
      <c r="S30" s="28">
        <v>0.125</v>
      </c>
      <c r="T30" s="28">
        <v>0.21805555555555556</v>
      </c>
      <c r="U30" s="232"/>
      <c r="V30" s="241">
        <f t="shared" ref="V30:V35" si="52">(T30-S30)*24*60</f>
        <v>134</v>
      </c>
      <c r="W30" s="18">
        <f>T30</f>
        <v>0.21805555555555556</v>
      </c>
      <c r="X30" s="18">
        <f>S31</f>
        <v>0.23680555555555555</v>
      </c>
      <c r="Y30" s="443"/>
      <c r="Z30" s="443"/>
      <c r="AA30" s="12">
        <f t="shared" si="2"/>
        <v>-129.85074626865662</v>
      </c>
      <c r="AB30" s="234">
        <f>M30/J30</f>
        <v>0.94589552238805974</v>
      </c>
      <c r="AC30" s="442">
        <f>AB36</f>
        <v>0.94691531951115071</v>
      </c>
    </row>
    <row r="31" spans="1:29" ht="15.75" customHeight="1">
      <c r="A31" s="461" t="s">
        <v>1004</v>
      </c>
      <c r="B31" s="31" t="s">
        <v>67</v>
      </c>
      <c r="C31" s="441" t="s">
        <v>74</v>
      </c>
      <c r="D31" s="441"/>
      <c r="E31" s="31">
        <v>24.45</v>
      </c>
      <c r="F31" s="242">
        <v>1862</v>
      </c>
      <c r="G31" s="232">
        <f t="shared" si="48"/>
        <v>45525.9</v>
      </c>
      <c r="H31" s="243" t="s">
        <v>103</v>
      </c>
      <c r="I31" s="240">
        <v>20</v>
      </c>
      <c r="J31" s="26">
        <v>2400</v>
      </c>
      <c r="K31" s="10">
        <f t="shared" ref="K31:K45" si="53">J31/I31</f>
        <v>120</v>
      </c>
      <c r="L31" s="240">
        <v>20</v>
      </c>
      <c r="M31" s="11">
        <f t="shared" ref="M31:M35" si="54">F31/V31*60</f>
        <v>2280.0000000000009</v>
      </c>
      <c r="N31" s="10">
        <f t="shared" ref="N31:N35" si="55">M31/L31</f>
        <v>114.00000000000004</v>
      </c>
      <c r="O31" s="12">
        <f t="shared" si="49"/>
        <v>0</v>
      </c>
      <c r="P31" s="13">
        <f t="shared" si="50"/>
        <v>-5.9999999999999574</v>
      </c>
      <c r="Q31" s="234">
        <f t="shared" si="51"/>
        <v>0.9500000000000004</v>
      </c>
      <c r="R31" s="442"/>
      <c r="S31" s="28">
        <v>0.23680555555555555</v>
      </c>
      <c r="T31" s="28">
        <v>0.27083333333333331</v>
      </c>
      <c r="U31" s="232">
        <f>(S31-T30)*24*60</f>
        <v>26.999999999999986</v>
      </c>
      <c r="V31" s="241">
        <f t="shared" si="52"/>
        <v>48.999999999999986</v>
      </c>
      <c r="W31" s="232"/>
      <c r="X31" s="232"/>
      <c r="Y31" s="443"/>
      <c r="Z31" s="443"/>
      <c r="AA31" s="12">
        <f t="shared" si="2"/>
        <v>-119.99999999999909</v>
      </c>
      <c r="AB31" s="234">
        <f t="shared" ref="AB31:AB60" si="56">M31/J31</f>
        <v>0.9500000000000004</v>
      </c>
      <c r="AC31" s="442"/>
    </row>
    <row r="32" spans="1:29">
      <c r="A32" s="462" t="s">
        <v>1004</v>
      </c>
      <c r="B32" s="31" t="s">
        <v>67</v>
      </c>
      <c r="C32" s="441" t="s">
        <v>75</v>
      </c>
      <c r="D32" s="441"/>
      <c r="E32" s="31">
        <v>26.39</v>
      </c>
      <c r="F32" s="242">
        <v>4635</v>
      </c>
      <c r="G32" s="232">
        <f t="shared" si="48"/>
        <v>122317.65000000001</v>
      </c>
      <c r="H32" s="243" t="s">
        <v>103</v>
      </c>
      <c r="I32" s="240">
        <v>19</v>
      </c>
      <c r="J32" s="26">
        <v>2400</v>
      </c>
      <c r="K32" s="10">
        <f t="shared" si="53"/>
        <v>126.31578947368421</v>
      </c>
      <c r="L32" s="240">
        <v>19</v>
      </c>
      <c r="M32" s="11">
        <f t="shared" si="54"/>
        <v>2260.975609756098</v>
      </c>
      <c r="N32" s="10">
        <f t="shared" si="55"/>
        <v>118.99871630295253</v>
      </c>
      <c r="O32" s="12">
        <f t="shared" si="49"/>
        <v>0</v>
      </c>
      <c r="P32" s="13">
        <f t="shared" si="50"/>
        <v>-7.3170731707316747</v>
      </c>
      <c r="Q32" s="234">
        <f t="shared" si="51"/>
        <v>0.9420731707317076</v>
      </c>
      <c r="R32" s="442"/>
      <c r="S32" s="28">
        <v>0.27569444444444441</v>
      </c>
      <c r="T32" s="28">
        <v>0.36111111111111105</v>
      </c>
      <c r="U32" s="232">
        <f t="shared" ref="U32:U35" si="57">(S32-T31)*24*60</f>
        <v>6.9999999999999751</v>
      </c>
      <c r="V32" s="241">
        <f t="shared" si="52"/>
        <v>122.99999999999996</v>
      </c>
      <c r="W32" s="232"/>
      <c r="X32" s="232"/>
      <c r="Y32" s="443"/>
      <c r="Z32" s="443"/>
      <c r="AA32" s="12">
        <f t="shared" si="2"/>
        <v>-139.02439024390196</v>
      </c>
      <c r="AB32" s="234">
        <f t="shared" si="56"/>
        <v>0.94207317073170749</v>
      </c>
      <c r="AC32" s="442"/>
    </row>
    <row r="33" spans="1:29">
      <c r="A33" s="462" t="s">
        <v>1004</v>
      </c>
      <c r="B33" s="31" t="s">
        <v>67</v>
      </c>
      <c r="C33" s="441" t="s">
        <v>76</v>
      </c>
      <c r="D33" s="441"/>
      <c r="E33" s="31">
        <v>20.52</v>
      </c>
      <c r="F33" s="242">
        <v>2816</v>
      </c>
      <c r="G33" s="232">
        <f t="shared" si="48"/>
        <v>57784.32</v>
      </c>
      <c r="H33" s="243" t="s">
        <v>103</v>
      </c>
      <c r="I33" s="240">
        <v>18</v>
      </c>
      <c r="J33" s="26">
        <v>2400</v>
      </c>
      <c r="K33" s="10">
        <f t="shared" si="53"/>
        <v>133.33333333333334</v>
      </c>
      <c r="L33" s="240">
        <v>18</v>
      </c>
      <c r="M33" s="11">
        <f t="shared" si="54"/>
        <v>2283.2432432432443</v>
      </c>
      <c r="N33" s="10">
        <f t="shared" si="55"/>
        <v>126.8468468468469</v>
      </c>
      <c r="O33" s="12">
        <f t="shared" si="49"/>
        <v>0</v>
      </c>
      <c r="P33" s="13">
        <f t="shared" si="50"/>
        <v>-6.4864864864864415</v>
      </c>
      <c r="Q33" s="234">
        <f t="shared" si="51"/>
        <v>0.95135135135135174</v>
      </c>
      <c r="R33" s="442"/>
      <c r="S33" s="28">
        <v>0.36666666666666659</v>
      </c>
      <c r="T33" s="28">
        <v>0.41805555555555546</v>
      </c>
      <c r="U33" s="232">
        <f t="shared" si="57"/>
        <v>7.9999999999999716</v>
      </c>
      <c r="V33" s="241">
        <f t="shared" si="52"/>
        <v>73.999999999999972</v>
      </c>
      <c r="W33" s="16"/>
      <c r="X33" s="16"/>
      <c r="Y33" s="443"/>
      <c r="Z33" s="443"/>
      <c r="AA33" s="12">
        <f t="shared" si="2"/>
        <v>-116.75675675675575</v>
      </c>
      <c r="AB33" s="234">
        <f t="shared" si="56"/>
        <v>0.95135135135135174</v>
      </c>
      <c r="AC33" s="442"/>
    </row>
    <row r="34" spans="1:29">
      <c r="A34" s="462" t="s">
        <v>1004</v>
      </c>
      <c r="B34" s="31" t="s">
        <v>67</v>
      </c>
      <c r="C34" s="441" t="s">
        <v>77</v>
      </c>
      <c r="D34" s="441"/>
      <c r="E34" s="31">
        <v>26.2</v>
      </c>
      <c r="F34" s="242">
        <v>3673</v>
      </c>
      <c r="G34" s="232">
        <f t="shared" si="48"/>
        <v>96232.599999999991</v>
      </c>
      <c r="H34" s="243" t="s">
        <v>103</v>
      </c>
      <c r="I34" s="240">
        <v>19</v>
      </c>
      <c r="J34" s="26">
        <v>2400</v>
      </c>
      <c r="K34" s="10">
        <f t="shared" si="53"/>
        <v>126.31578947368421</v>
      </c>
      <c r="L34" s="240">
        <v>19</v>
      </c>
      <c r="M34" s="11">
        <f t="shared" si="54"/>
        <v>2271.9587628865984</v>
      </c>
      <c r="N34" s="10">
        <f t="shared" si="55"/>
        <v>119.57677699403149</v>
      </c>
      <c r="O34" s="12">
        <f t="shared" si="49"/>
        <v>0</v>
      </c>
      <c r="P34" s="13">
        <f t="shared" si="50"/>
        <v>-6.7390124796527147</v>
      </c>
      <c r="Q34" s="234">
        <f t="shared" si="51"/>
        <v>0.94664948453608266</v>
      </c>
      <c r="R34" s="442"/>
      <c r="S34" s="28">
        <v>0.42152777777777767</v>
      </c>
      <c r="T34" s="28">
        <v>0.48888888888888876</v>
      </c>
      <c r="U34" s="232">
        <f t="shared" si="57"/>
        <v>4.9999999999999822</v>
      </c>
      <c r="V34" s="241">
        <f t="shared" si="52"/>
        <v>96.999999999999972</v>
      </c>
      <c r="W34" s="16"/>
      <c r="X34" s="16"/>
      <c r="Y34" s="443"/>
      <c r="Z34" s="443"/>
      <c r="AA34" s="12">
        <f t="shared" si="2"/>
        <v>-128.04123711340162</v>
      </c>
      <c r="AB34" s="234">
        <f t="shared" si="56"/>
        <v>0.94664948453608266</v>
      </c>
      <c r="AC34" s="442"/>
    </row>
    <row r="35" spans="1:29">
      <c r="A35" s="462" t="s">
        <v>1004</v>
      </c>
      <c r="B35" s="31" t="s">
        <v>67</v>
      </c>
      <c r="C35" s="441" t="s">
        <v>78</v>
      </c>
      <c r="D35" s="441"/>
      <c r="E35" s="31">
        <v>25.98</v>
      </c>
      <c r="F35" s="242">
        <v>2534</v>
      </c>
      <c r="G35" s="232">
        <f t="shared" si="48"/>
        <v>65833.320000000007</v>
      </c>
      <c r="H35" s="243" t="s">
        <v>103</v>
      </c>
      <c r="I35" s="240">
        <v>17</v>
      </c>
      <c r="J35" s="26">
        <v>2400</v>
      </c>
      <c r="K35" s="10">
        <f t="shared" si="53"/>
        <v>141.1764705882353</v>
      </c>
      <c r="L35" s="240">
        <v>17</v>
      </c>
      <c r="M35" s="11">
        <f t="shared" si="54"/>
        <v>2269.2537313432836</v>
      </c>
      <c r="N35" s="10">
        <f t="shared" si="55"/>
        <v>133.48551360842845</v>
      </c>
      <c r="O35" s="12">
        <f t="shared" si="49"/>
        <v>0</v>
      </c>
      <c r="P35" s="13">
        <f t="shared" si="50"/>
        <v>-7.690956979806856</v>
      </c>
      <c r="Q35" s="234">
        <f t="shared" si="51"/>
        <v>0.94552238805970146</v>
      </c>
      <c r="R35" s="442"/>
      <c r="S35" s="28">
        <v>0.49236111111111097</v>
      </c>
      <c r="T35" s="28">
        <v>0.53888888888888875</v>
      </c>
      <c r="U35" s="232">
        <f t="shared" si="57"/>
        <v>4.9999999999999822</v>
      </c>
      <c r="V35" s="241">
        <f t="shared" si="52"/>
        <v>67</v>
      </c>
      <c r="W35" s="16"/>
      <c r="X35" s="16"/>
      <c r="Y35" s="443"/>
      <c r="Z35" s="443"/>
      <c r="AA35" s="12">
        <f t="shared" si="2"/>
        <v>-130.74626865671644</v>
      </c>
      <c r="AB35" s="234">
        <f t="shared" si="56"/>
        <v>0.94552238805970146</v>
      </c>
      <c r="AC35" s="442"/>
    </row>
    <row r="36" spans="1:29">
      <c r="A36" s="462" t="s">
        <v>1004</v>
      </c>
      <c r="B36" s="33" t="s">
        <v>1000</v>
      </c>
      <c r="C36" s="446"/>
      <c r="D36" s="446"/>
      <c r="E36" s="233"/>
      <c r="F36" s="33"/>
      <c r="G36" s="10"/>
      <c r="H36" s="242"/>
      <c r="I36" s="19">
        <v>18.5</v>
      </c>
      <c r="J36" s="26">
        <v>2400</v>
      </c>
      <c r="K36" s="10">
        <f t="shared" si="53"/>
        <v>129.72972972972974</v>
      </c>
      <c r="L36" s="19">
        <v>18.5</v>
      </c>
      <c r="M36" s="11">
        <f>AVERAGE(M30:M35)</f>
        <v>2272.5967668267617</v>
      </c>
      <c r="N36" s="10">
        <f>M36/L36</f>
        <v>122.84306847712226</v>
      </c>
      <c r="O36" s="12">
        <f>L36-I36</f>
        <v>0</v>
      </c>
      <c r="P36" s="13">
        <f t="shared" si="50"/>
        <v>-6.8866612526074817</v>
      </c>
      <c r="Q36" s="234">
        <f t="shared" si="51"/>
        <v>0.94691531951115071</v>
      </c>
      <c r="R36" s="442"/>
      <c r="S36" s="28"/>
      <c r="T36" s="28"/>
      <c r="U36" s="10"/>
      <c r="V36" s="241"/>
      <c r="W36" s="10"/>
      <c r="X36" s="10"/>
      <c r="Y36" s="443"/>
      <c r="Z36" s="443"/>
      <c r="AA36" s="12">
        <f t="shared" si="2"/>
        <v>-127.40323317323828</v>
      </c>
      <c r="AB36" s="234">
        <f t="shared" si="56"/>
        <v>0.94691531951115071</v>
      </c>
      <c r="AC36" s="442"/>
    </row>
    <row r="37" spans="1:29" ht="15.75" customHeight="1">
      <c r="A37" s="453" t="s">
        <v>1005</v>
      </c>
      <c r="B37" s="31" t="s">
        <v>79</v>
      </c>
      <c r="C37" s="444" t="s">
        <v>80</v>
      </c>
      <c r="D37" s="445"/>
      <c r="E37" s="31">
        <v>21.13</v>
      </c>
      <c r="F37" s="242">
        <v>3100</v>
      </c>
      <c r="G37" s="232">
        <f t="shared" ref="G37:G45" si="58">E37*F37</f>
        <v>65503</v>
      </c>
      <c r="H37" s="243">
        <v>2</v>
      </c>
      <c r="I37" s="240">
        <v>10</v>
      </c>
      <c r="J37" s="26">
        <v>3000</v>
      </c>
      <c r="K37" s="10">
        <f t="shared" si="53"/>
        <v>300</v>
      </c>
      <c r="L37" s="240">
        <v>10</v>
      </c>
      <c r="M37" s="11">
        <f t="shared" ref="M37:M38" si="59">F37/V37*60</f>
        <v>2861.5384615384628</v>
      </c>
      <c r="N37" s="11">
        <f t="shared" ref="N37:N46" si="60">M37/L37</f>
        <v>286.1538461538463</v>
      </c>
      <c r="O37" s="12">
        <f t="shared" ref="O37:O46" si="61">L37-I37</f>
        <v>0</v>
      </c>
      <c r="P37" s="13">
        <f t="shared" si="50"/>
        <v>-13.846153846153697</v>
      </c>
      <c r="Q37" s="234">
        <f t="shared" si="51"/>
        <v>0.95384615384615434</v>
      </c>
      <c r="R37" s="456">
        <f>Q46</f>
        <v>0.95267407371639456</v>
      </c>
      <c r="S37" s="28">
        <v>0.20833333333333334</v>
      </c>
      <c r="T37" s="28">
        <v>0.25347222222222221</v>
      </c>
      <c r="U37" s="18"/>
      <c r="V37" s="241">
        <f t="shared" ref="V37:V45" si="62">(T37-S37)*24*60</f>
        <v>64.999999999999972</v>
      </c>
      <c r="W37" s="16"/>
      <c r="X37" s="16"/>
      <c r="Y37" s="447"/>
      <c r="Z37" s="448"/>
      <c r="AA37" s="12">
        <f t="shared" si="2"/>
        <v>-138.4615384615372</v>
      </c>
      <c r="AB37" s="234">
        <f t="shared" si="56"/>
        <v>0.95384615384615423</v>
      </c>
      <c r="AC37" s="456">
        <f>AB46</f>
        <v>0.95267407371639468</v>
      </c>
    </row>
    <row r="38" spans="1:29" ht="15.75" customHeight="1">
      <c r="A38" s="454" t="s">
        <v>1005</v>
      </c>
      <c r="B38" s="31" t="s">
        <v>79</v>
      </c>
      <c r="C38" s="444" t="s">
        <v>81</v>
      </c>
      <c r="D38" s="445"/>
      <c r="E38" s="31">
        <v>27.17</v>
      </c>
      <c r="F38" s="242">
        <v>3800</v>
      </c>
      <c r="G38" s="232">
        <f t="shared" si="58"/>
        <v>103246</v>
      </c>
      <c r="H38" s="243">
        <v>2</v>
      </c>
      <c r="I38" s="240">
        <v>10</v>
      </c>
      <c r="J38" s="26">
        <v>3000</v>
      </c>
      <c r="K38" s="10">
        <f t="shared" si="53"/>
        <v>300</v>
      </c>
      <c r="L38" s="240">
        <v>10</v>
      </c>
      <c r="M38" s="11">
        <f t="shared" si="59"/>
        <v>2849.9999999999991</v>
      </c>
      <c r="N38" s="11">
        <f t="shared" si="60"/>
        <v>284.99999999999989</v>
      </c>
      <c r="O38" s="12">
        <f t="shared" si="61"/>
        <v>0</v>
      </c>
      <c r="P38" s="13">
        <f t="shared" si="50"/>
        <v>-15.000000000000114</v>
      </c>
      <c r="Q38" s="234">
        <f t="shared" si="51"/>
        <v>0.94999999999999962</v>
      </c>
      <c r="R38" s="457"/>
      <c r="S38" s="28">
        <v>0.25694444444444442</v>
      </c>
      <c r="T38" s="28">
        <v>0.3125</v>
      </c>
      <c r="U38" s="232">
        <f>(S38-T37)*24*60</f>
        <v>4.9999999999999822</v>
      </c>
      <c r="V38" s="241">
        <f t="shared" si="62"/>
        <v>80.000000000000028</v>
      </c>
      <c r="W38" s="16"/>
      <c r="X38" s="16"/>
      <c r="Y38" s="447"/>
      <c r="Z38" s="448"/>
      <c r="AA38" s="12">
        <f t="shared" si="2"/>
        <v>-150.00000000000091</v>
      </c>
      <c r="AB38" s="234">
        <f t="shared" si="56"/>
        <v>0.94999999999999973</v>
      </c>
      <c r="AC38" s="457"/>
    </row>
    <row r="39" spans="1:29" ht="15.75" customHeight="1">
      <c r="A39" s="454" t="s">
        <v>1005</v>
      </c>
      <c r="B39" s="31" t="s">
        <v>79</v>
      </c>
      <c r="C39" s="444" t="s">
        <v>82</v>
      </c>
      <c r="D39" s="445"/>
      <c r="E39" s="31">
        <v>35.119999999999997</v>
      </c>
      <c r="F39" s="242">
        <v>3785</v>
      </c>
      <c r="G39" s="232">
        <f t="shared" si="58"/>
        <v>132929.19999999998</v>
      </c>
      <c r="H39" s="243" t="s">
        <v>103</v>
      </c>
      <c r="I39" s="240">
        <v>10</v>
      </c>
      <c r="J39" s="26">
        <v>3000</v>
      </c>
      <c r="K39" s="10">
        <f t="shared" si="53"/>
        <v>300</v>
      </c>
      <c r="L39" s="240">
        <v>10</v>
      </c>
      <c r="M39" s="11">
        <f>F39/V39*60</f>
        <v>2838.7499999999991</v>
      </c>
      <c r="N39" s="11">
        <f t="shared" si="60"/>
        <v>283.87499999999989</v>
      </c>
      <c r="O39" s="12">
        <f t="shared" si="61"/>
        <v>0</v>
      </c>
      <c r="P39" s="13">
        <f t="shared" si="50"/>
        <v>-16.125000000000114</v>
      </c>
      <c r="Q39" s="234">
        <f t="shared" si="51"/>
        <v>0.94624999999999959</v>
      </c>
      <c r="R39" s="457"/>
      <c r="S39" s="28">
        <v>0.31597222222222221</v>
      </c>
      <c r="T39" s="28">
        <v>0.37152777777777779</v>
      </c>
      <c r="U39" s="232">
        <f t="shared" ref="U39:U45" si="63">(S39-T38)*24*60</f>
        <v>4.9999999999999822</v>
      </c>
      <c r="V39" s="241">
        <f t="shared" si="62"/>
        <v>80.000000000000028</v>
      </c>
      <c r="W39" s="16"/>
      <c r="X39" s="16"/>
      <c r="Y39" s="447"/>
      <c r="Z39" s="448"/>
      <c r="AA39" s="12">
        <f t="shared" si="2"/>
        <v>-161.25000000000091</v>
      </c>
      <c r="AB39" s="234">
        <f t="shared" si="56"/>
        <v>0.9462499999999997</v>
      </c>
      <c r="AC39" s="457"/>
    </row>
    <row r="40" spans="1:29" ht="15.75" customHeight="1">
      <c r="A40" s="454" t="s">
        <v>1005</v>
      </c>
      <c r="B40" s="31" t="s">
        <v>79</v>
      </c>
      <c r="C40" s="444" t="s">
        <v>83</v>
      </c>
      <c r="D40" s="445"/>
      <c r="E40" s="31">
        <v>40.18</v>
      </c>
      <c r="F40" s="242">
        <v>1652</v>
      </c>
      <c r="G40" s="232">
        <f t="shared" si="58"/>
        <v>66377.36</v>
      </c>
      <c r="H40" s="243" t="s">
        <v>103</v>
      </c>
      <c r="I40" s="240">
        <v>10</v>
      </c>
      <c r="J40" s="26">
        <v>3000</v>
      </c>
      <c r="K40" s="10">
        <f t="shared" si="53"/>
        <v>300</v>
      </c>
      <c r="L40" s="240">
        <v>10</v>
      </c>
      <c r="M40" s="11">
        <f t="shared" ref="M40:M45" si="64">F40/V40*60</f>
        <v>2831.9999999999973</v>
      </c>
      <c r="N40" s="11">
        <f t="shared" si="60"/>
        <v>283.1999999999997</v>
      </c>
      <c r="O40" s="12">
        <f t="shared" si="61"/>
        <v>0</v>
      </c>
      <c r="P40" s="13">
        <f t="shared" si="50"/>
        <v>-16.800000000000296</v>
      </c>
      <c r="Q40" s="234">
        <f t="shared" si="51"/>
        <v>0.94399999999999906</v>
      </c>
      <c r="R40" s="457"/>
      <c r="S40" s="28">
        <v>0.375</v>
      </c>
      <c r="T40" s="28">
        <v>0.39930555555555558</v>
      </c>
      <c r="U40" s="232">
        <f t="shared" si="63"/>
        <v>4.9999999999999822</v>
      </c>
      <c r="V40" s="241">
        <f t="shared" si="62"/>
        <v>35.000000000000036</v>
      </c>
      <c r="W40" s="16"/>
      <c r="X40" s="16"/>
      <c r="Y40" s="447"/>
      <c r="Z40" s="448"/>
      <c r="AA40" s="12">
        <f t="shared" si="2"/>
        <v>-168.00000000000273</v>
      </c>
      <c r="AB40" s="234">
        <f t="shared" si="56"/>
        <v>0.94399999999999906</v>
      </c>
      <c r="AC40" s="457"/>
    </row>
    <row r="41" spans="1:29" ht="15.75" customHeight="1">
      <c r="A41" s="454" t="s">
        <v>1005</v>
      </c>
      <c r="B41" s="31" t="s">
        <v>79</v>
      </c>
      <c r="C41" s="444" t="s">
        <v>84</v>
      </c>
      <c r="D41" s="445"/>
      <c r="E41" s="31">
        <v>28.5</v>
      </c>
      <c r="F41" s="242">
        <v>954</v>
      </c>
      <c r="G41" s="232">
        <f t="shared" si="58"/>
        <v>27189</v>
      </c>
      <c r="H41" s="243" t="s">
        <v>103</v>
      </c>
      <c r="I41" s="240">
        <v>10</v>
      </c>
      <c r="J41" s="26">
        <v>3000</v>
      </c>
      <c r="K41" s="10">
        <f t="shared" si="53"/>
        <v>300</v>
      </c>
      <c r="L41" s="240">
        <v>10</v>
      </c>
      <c r="M41" s="11">
        <f t="shared" si="64"/>
        <v>2861.9999999999991</v>
      </c>
      <c r="N41" s="11">
        <f t="shared" si="60"/>
        <v>286.19999999999993</v>
      </c>
      <c r="O41" s="12">
        <f t="shared" si="61"/>
        <v>0</v>
      </c>
      <c r="P41" s="13">
        <f t="shared" si="50"/>
        <v>-13.800000000000068</v>
      </c>
      <c r="Q41" s="234">
        <f>N41/K41</f>
        <v>0.95399999999999974</v>
      </c>
      <c r="R41" s="457"/>
      <c r="S41" s="28">
        <v>0.40416666666666667</v>
      </c>
      <c r="T41" s="28">
        <v>0.41805555555555557</v>
      </c>
      <c r="U41" s="232">
        <f t="shared" si="63"/>
        <v>6.9999999999999751</v>
      </c>
      <c r="V41" s="241">
        <f t="shared" si="62"/>
        <v>20.000000000000007</v>
      </c>
      <c r="W41" s="16"/>
      <c r="X41" s="16"/>
      <c r="Y41" s="447"/>
      <c r="Z41" s="448"/>
      <c r="AA41" s="12">
        <f t="shared" si="2"/>
        <v>-138.00000000000091</v>
      </c>
      <c r="AB41" s="234">
        <f t="shared" si="56"/>
        <v>0.95399999999999974</v>
      </c>
      <c r="AC41" s="457"/>
    </row>
    <row r="42" spans="1:29" ht="15.75" customHeight="1">
      <c r="A42" s="454" t="s">
        <v>1005</v>
      </c>
      <c r="B42" s="31" t="s">
        <v>79</v>
      </c>
      <c r="C42" s="444" t="s">
        <v>85</v>
      </c>
      <c r="D42" s="445"/>
      <c r="E42" s="31">
        <v>35.869999999999997</v>
      </c>
      <c r="F42" s="242">
        <v>2666</v>
      </c>
      <c r="G42" s="232">
        <f t="shared" si="58"/>
        <v>95629.42</v>
      </c>
      <c r="H42" s="243" t="s">
        <v>103</v>
      </c>
      <c r="I42" s="240">
        <v>10</v>
      </c>
      <c r="J42" s="26">
        <v>3000</v>
      </c>
      <c r="K42" s="10">
        <f t="shared" si="53"/>
        <v>300</v>
      </c>
      <c r="L42" s="240">
        <v>10</v>
      </c>
      <c r="M42" s="11">
        <f t="shared" si="64"/>
        <v>2856.4285714285693</v>
      </c>
      <c r="N42" s="11">
        <f t="shared" si="60"/>
        <v>285.64285714285694</v>
      </c>
      <c r="O42" s="12">
        <f t="shared" si="61"/>
        <v>0</v>
      </c>
      <c r="P42" s="13">
        <f t="shared" si="50"/>
        <v>-14.35714285714306</v>
      </c>
      <c r="Q42" s="234">
        <f t="shared" ref="Q42:Q46" si="65">N42/K42</f>
        <v>0.95214285714285651</v>
      </c>
      <c r="R42" s="457"/>
      <c r="S42" s="28">
        <v>0.42291666666666666</v>
      </c>
      <c r="T42" s="28">
        <v>0.46180555555555558</v>
      </c>
      <c r="U42" s="232">
        <f t="shared" si="63"/>
        <v>6.9999999999999751</v>
      </c>
      <c r="V42" s="241">
        <f t="shared" si="62"/>
        <v>56.000000000000043</v>
      </c>
      <c r="W42" s="16"/>
      <c r="X42" s="16"/>
      <c r="Y42" s="447"/>
      <c r="Z42" s="448"/>
      <c r="AA42" s="12">
        <f t="shared" si="2"/>
        <v>-143.57142857143072</v>
      </c>
      <c r="AB42" s="234">
        <f t="shared" si="56"/>
        <v>0.9521428571428564</v>
      </c>
      <c r="AC42" s="457"/>
    </row>
    <row r="43" spans="1:29" ht="15.75" customHeight="1">
      <c r="A43" s="454" t="s">
        <v>1005</v>
      </c>
      <c r="B43" s="31" t="s">
        <v>79</v>
      </c>
      <c r="C43" s="444" t="s">
        <v>86</v>
      </c>
      <c r="D43" s="445"/>
      <c r="E43" s="31">
        <v>36.14</v>
      </c>
      <c r="F43" s="242">
        <v>2258</v>
      </c>
      <c r="G43" s="232">
        <f t="shared" si="58"/>
        <v>81604.12</v>
      </c>
      <c r="H43" s="243" t="s">
        <v>103</v>
      </c>
      <c r="I43" s="240">
        <v>8</v>
      </c>
      <c r="J43" s="26">
        <v>3000</v>
      </c>
      <c r="K43" s="10">
        <f t="shared" si="53"/>
        <v>375</v>
      </c>
      <c r="L43" s="240">
        <v>8</v>
      </c>
      <c r="M43" s="11">
        <f t="shared" si="64"/>
        <v>2882.5531914893622</v>
      </c>
      <c r="N43" s="11">
        <f t="shared" si="60"/>
        <v>360.31914893617028</v>
      </c>
      <c r="O43" s="12">
        <f t="shared" si="61"/>
        <v>0</v>
      </c>
      <c r="P43" s="13">
        <f t="shared" si="50"/>
        <v>-14.680851063829721</v>
      </c>
      <c r="Q43" s="234">
        <f t="shared" si="65"/>
        <v>0.96085106382978747</v>
      </c>
      <c r="R43" s="457"/>
      <c r="S43" s="28">
        <v>0.46666666666666667</v>
      </c>
      <c r="T43" s="28">
        <v>0.49930555555555556</v>
      </c>
      <c r="U43" s="232">
        <f t="shared" si="63"/>
        <v>6.9999999999999751</v>
      </c>
      <c r="V43" s="241">
        <f t="shared" si="62"/>
        <v>46.999999999999993</v>
      </c>
      <c r="W43" s="16">
        <f>T43</f>
        <v>0.49930555555555556</v>
      </c>
      <c r="X43" s="16">
        <f>S44</f>
        <v>0.5395833333333333</v>
      </c>
      <c r="Y43" s="447"/>
      <c r="Z43" s="448"/>
      <c r="AA43" s="12">
        <f t="shared" si="2"/>
        <v>-117.44680851063777</v>
      </c>
      <c r="AB43" s="234">
        <f t="shared" si="56"/>
        <v>0.96085106382978747</v>
      </c>
      <c r="AC43" s="457"/>
    </row>
    <row r="44" spans="1:29" ht="15.75" customHeight="1">
      <c r="A44" s="454" t="s">
        <v>1005</v>
      </c>
      <c r="B44" s="31" t="s">
        <v>79</v>
      </c>
      <c r="C44" s="444" t="s">
        <v>81</v>
      </c>
      <c r="D44" s="445"/>
      <c r="E44" s="31">
        <v>27.17</v>
      </c>
      <c r="F44" s="242">
        <v>1240</v>
      </c>
      <c r="G44" s="232">
        <f t="shared" si="58"/>
        <v>33690.800000000003</v>
      </c>
      <c r="H44" s="243" t="s">
        <v>103</v>
      </c>
      <c r="I44" s="240">
        <v>10</v>
      </c>
      <c r="J44" s="26">
        <v>3000</v>
      </c>
      <c r="K44" s="10">
        <f t="shared" si="53"/>
        <v>300</v>
      </c>
      <c r="L44" s="240">
        <v>10</v>
      </c>
      <c r="M44" s="11">
        <f t="shared" si="64"/>
        <v>2861.5384615384537</v>
      </c>
      <c r="N44" s="11">
        <f t="shared" si="60"/>
        <v>286.15384615384539</v>
      </c>
      <c r="O44" s="12">
        <f t="shared" si="61"/>
        <v>0</v>
      </c>
      <c r="P44" s="13">
        <f t="shared" si="50"/>
        <v>-13.846153846154607</v>
      </c>
      <c r="Q44" s="234">
        <f t="shared" si="65"/>
        <v>0.95384615384615135</v>
      </c>
      <c r="R44" s="457"/>
      <c r="S44" s="28">
        <v>0.5395833333333333</v>
      </c>
      <c r="T44" s="28">
        <v>0.55763888888888891</v>
      </c>
      <c r="U44" s="232">
        <f t="shared" si="63"/>
        <v>57.999999999999957</v>
      </c>
      <c r="V44" s="241">
        <f t="shared" si="62"/>
        <v>26.000000000000068</v>
      </c>
      <c r="W44" s="16"/>
      <c r="X44" s="16"/>
      <c r="Y44" s="447"/>
      <c r="Z44" s="448"/>
      <c r="AA44" s="12">
        <f t="shared" si="2"/>
        <v>-138.4615384615463</v>
      </c>
      <c r="AB44" s="234">
        <f t="shared" si="56"/>
        <v>0.95384615384615123</v>
      </c>
      <c r="AC44" s="457"/>
    </row>
    <row r="45" spans="1:29" ht="15.75" customHeight="1">
      <c r="A45" s="454" t="s">
        <v>1005</v>
      </c>
      <c r="B45" s="31" t="s">
        <v>79</v>
      </c>
      <c r="C45" s="444" t="s">
        <v>80</v>
      </c>
      <c r="D45" s="445"/>
      <c r="E45" s="31">
        <v>21.13</v>
      </c>
      <c r="F45" s="242">
        <v>1103</v>
      </c>
      <c r="G45" s="232">
        <f t="shared" si="58"/>
        <v>23306.39</v>
      </c>
      <c r="H45" s="243" t="s">
        <v>103</v>
      </c>
      <c r="I45" s="240">
        <v>10</v>
      </c>
      <c r="J45" s="26">
        <v>3000</v>
      </c>
      <c r="K45" s="10">
        <f t="shared" si="53"/>
        <v>300</v>
      </c>
      <c r="L45" s="240">
        <v>10</v>
      </c>
      <c r="M45" s="11">
        <f t="shared" si="64"/>
        <v>2877.3913043478165</v>
      </c>
      <c r="N45" s="11">
        <f t="shared" si="60"/>
        <v>287.73913043478166</v>
      </c>
      <c r="O45" s="12">
        <f t="shared" si="61"/>
        <v>0</v>
      </c>
      <c r="P45" s="13">
        <f t="shared" si="50"/>
        <v>-12.260869565218343</v>
      </c>
      <c r="Q45" s="234">
        <f t="shared" si="65"/>
        <v>0.95913043478260551</v>
      </c>
      <c r="R45" s="457"/>
      <c r="S45" s="28">
        <v>0.56180555555555556</v>
      </c>
      <c r="T45" s="28">
        <v>0.57777777777777783</v>
      </c>
      <c r="U45" s="232">
        <f t="shared" si="63"/>
        <v>5.9999999999999787</v>
      </c>
      <c r="V45" s="241">
        <f t="shared" si="62"/>
        <v>23.000000000000078</v>
      </c>
      <c r="W45" s="16"/>
      <c r="X45" s="16"/>
      <c r="Y45" s="447"/>
      <c r="Z45" s="448"/>
      <c r="AA45" s="12">
        <f t="shared" si="2"/>
        <v>-122.60869565218354</v>
      </c>
      <c r="AB45" s="234">
        <f t="shared" si="56"/>
        <v>0.95913043478260551</v>
      </c>
      <c r="AC45" s="457"/>
    </row>
    <row r="46" spans="1:29" ht="15.75" customHeight="1">
      <c r="A46" s="455" t="s">
        <v>1005</v>
      </c>
      <c r="B46" s="31" t="s">
        <v>1000</v>
      </c>
      <c r="C46" s="459"/>
      <c r="D46" s="460"/>
      <c r="E46" s="239"/>
      <c r="F46" s="242"/>
      <c r="G46" s="232"/>
      <c r="H46" s="242"/>
      <c r="I46" s="19">
        <v>9.7777777777777786</v>
      </c>
      <c r="J46" s="26">
        <v>3000</v>
      </c>
      <c r="K46" s="10">
        <f>J46/I46</f>
        <v>306.81818181818181</v>
      </c>
      <c r="L46" s="19">
        <v>9.7777777777777786</v>
      </c>
      <c r="M46" s="11">
        <f>AVERAGE(M37:M45)</f>
        <v>2858.0222211491841</v>
      </c>
      <c r="N46" s="10">
        <f t="shared" si="60"/>
        <v>292.2977271629847</v>
      </c>
      <c r="O46" s="12">
        <f t="shared" si="61"/>
        <v>0</v>
      </c>
      <c r="P46" s="13">
        <f t="shared" si="50"/>
        <v>-14.520454655197113</v>
      </c>
      <c r="Q46" s="234">
        <f t="shared" si="65"/>
        <v>0.95267407371639456</v>
      </c>
      <c r="R46" s="458"/>
      <c r="S46" s="28"/>
      <c r="T46" s="28"/>
      <c r="U46" s="232"/>
      <c r="V46" s="241"/>
      <c r="W46" s="16"/>
      <c r="X46" s="16"/>
      <c r="Y46" s="447"/>
      <c r="Z46" s="448"/>
      <c r="AA46" s="12">
        <f t="shared" si="2"/>
        <v>-141.97777885081587</v>
      </c>
      <c r="AB46" s="234">
        <f t="shared" si="56"/>
        <v>0.95267407371639468</v>
      </c>
      <c r="AC46" s="458"/>
    </row>
    <row r="47" spans="1:29" ht="15.75" customHeight="1">
      <c r="A47" s="451" t="s">
        <v>1006</v>
      </c>
      <c r="B47" s="31" t="s">
        <v>53</v>
      </c>
      <c r="C47" s="441" t="s">
        <v>87</v>
      </c>
      <c r="D47" s="441"/>
      <c r="E47" s="31">
        <v>46</v>
      </c>
      <c r="F47" s="35">
        <v>2637</v>
      </c>
      <c r="G47" s="232">
        <f t="shared" ref="G47:G52" si="66">E47*F47</f>
        <v>121302</v>
      </c>
      <c r="H47" s="243" t="s">
        <v>103</v>
      </c>
      <c r="I47" s="240">
        <v>17</v>
      </c>
      <c r="J47" s="26">
        <v>2000</v>
      </c>
      <c r="K47" s="10">
        <f t="shared" ref="K47:K52" si="67">J47/I47</f>
        <v>117.64705882352941</v>
      </c>
      <c r="L47" s="240">
        <v>17</v>
      </c>
      <c r="M47" s="11">
        <f t="shared" ref="M47:M52" si="68">F47/V47*60</f>
        <v>1883.571428571428</v>
      </c>
      <c r="N47" s="11">
        <f>M47/L47</f>
        <v>110.79831932773106</v>
      </c>
      <c r="O47" s="12">
        <f>L47-I47</f>
        <v>0</v>
      </c>
      <c r="P47" s="13">
        <f>N47-K47</f>
        <v>-6.8487394957983412</v>
      </c>
      <c r="Q47" s="234">
        <f>N47/K47</f>
        <v>0.94178571428571412</v>
      </c>
      <c r="R47" s="442">
        <f>Q53</f>
        <v>0.94536885256912373</v>
      </c>
      <c r="S47" s="28">
        <v>0.25</v>
      </c>
      <c r="T47" s="28">
        <v>0.30833333333333335</v>
      </c>
      <c r="U47" s="18"/>
      <c r="V47" s="241">
        <f t="shared" ref="V47:V52" si="69">(T47-S47)*24*60</f>
        <v>84.000000000000028</v>
      </c>
      <c r="W47" s="18"/>
      <c r="X47" s="18"/>
      <c r="Y47" s="443"/>
      <c r="Z47" s="443"/>
      <c r="AA47" s="12">
        <f t="shared" si="2"/>
        <v>-116.42857142857201</v>
      </c>
      <c r="AB47" s="234">
        <f t="shared" si="56"/>
        <v>0.941785714285714</v>
      </c>
      <c r="AC47" s="442">
        <f>AB53</f>
        <v>0.94536885256912362</v>
      </c>
    </row>
    <row r="48" spans="1:29" ht="15.75" customHeight="1">
      <c r="A48" s="451" t="s">
        <v>1006</v>
      </c>
      <c r="B48" s="31" t="s">
        <v>53</v>
      </c>
      <c r="C48" s="441" t="s">
        <v>88</v>
      </c>
      <c r="D48" s="441"/>
      <c r="E48" s="31">
        <v>46</v>
      </c>
      <c r="F48" s="35">
        <v>2841</v>
      </c>
      <c r="G48" s="232">
        <f t="shared" si="66"/>
        <v>130686</v>
      </c>
      <c r="H48" s="243" t="s">
        <v>103</v>
      </c>
      <c r="I48" s="240">
        <v>17</v>
      </c>
      <c r="J48" s="26">
        <v>2000</v>
      </c>
      <c r="K48" s="10">
        <f t="shared" si="67"/>
        <v>117.64705882352941</v>
      </c>
      <c r="L48" s="240">
        <v>17</v>
      </c>
      <c r="M48" s="11">
        <f t="shared" si="68"/>
        <v>1894</v>
      </c>
      <c r="N48" s="11">
        <f t="shared" ref="N48:N52" si="70">M48/L48</f>
        <v>111.41176470588235</v>
      </c>
      <c r="O48" s="12">
        <f t="shared" ref="O48:O52" si="71">L48-I48</f>
        <v>0</v>
      </c>
      <c r="P48" s="13">
        <f t="shared" ref="P48:P52" si="72">N48-K48</f>
        <v>-6.235294117647058</v>
      </c>
      <c r="Q48" s="234">
        <f t="shared" ref="Q48:Q52" si="73">N48/K48</f>
        <v>0.94699999999999995</v>
      </c>
      <c r="R48" s="442"/>
      <c r="S48" s="28">
        <v>0.31388888888888888</v>
      </c>
      <c r="T48" s="28">
        <v>0.37638888888888888</v>
      </c>
      <c r="U48" s="232">
        <f>IF(S48=TIME(17,0,0),"",(S48-T47)*24*60)</f>
        <v>7.9999999999999716</v>
      </c>
      <c r="V48" s="241">
        <f t="shared" si="69"/>
        <v>90</v>
      </c>
      <c r="W48" s="16"/>
      <c r="X48" s="16"/>
      <c r="Y48" s="443"/>
      <c r="Z48" s="443"/>
      <c r="AA48" s="12">
        <f t="shared" si="2"/>
        <v>-106</v>
      </c>
      <c r="AB48" s="234">
        <f t="shared" si="56"/>
        <v>0.94699999999999995</v>
      </c>
      <c r="AC48" s="442"/>
    </row>
    <row r="49" spans="1:29" ht="15.75" customHeight="1">
      <c r="A49" s="451" t="s">
        <v>1006</v>
      </c>
      <c r="B49" s="31" t="s">
        <v>58</v>
      </c>
      <c r="C49" s="444" t="s">
        <v>168</v>
      </c>
      <c r="D49" s="445"/>
      <c r="E49" s="31">
        <v>54.09</v>
      </c>
      <c r="F49" s="35">
        <v>3640</v>
      </c>
      <c r="G49" s="232">
        <f t="shared" si="66"/>
        <v>196887.6</v>
      </c>
      <c r="H49" s="243" t="s">
        <v>103</v>
      </c>
      <c r="I49" s="240">
        <v>16</v>
      </c>
      <c r="J49" s="26">
        <v>2000</v>
      </c>
      <c r="K49" s="10">
        <f t="shared" si="67"/>
        <v>125</v>
      </c>
      <c r="L49" s="240">
        <v>16</v>
      </c>
      <c r="M49" s="11">
        <f t="shared" si="68"/>
        <v>1899.130434782609</v>
      </c>
      <c r="N49" s="11">
        <f t="shared" si="70"/>
        <v>118.69565217391306</v>
      </c>
      <c r="O49" s="12">
        <f t="shared" si="71"/>
        <v>0</v>
      </c>
      <c r="P49" s="13">
        <f t="shared" si="72"/>
        <v>-6.3043478260869392</v>
      </c>
      <c r="Q49" s="234">
        <f t="shared" si="73"/>
        <v>0.94956521739130451</v>
      </c>
      <c r="R49" s="442"/>
      <c r="S49" s="28">
        <v>0.38194444444444442</v>
      </c>
      <c r="T49" s="28">
        <v>0.46180555555555552</v>
      </c>
      <c r="U49" s="232">
        <f t="shared" ref="U49:U52" si="74">IF(S49=TIME(17,0,0),"",(S49-T48)*24*60)</f>
        <v>7.9999999999999716</v>
      </c>
      <c r="V49" s="241">
        <f t="shared" si="69"/>
        <v>114.99999999999999</v>
      </c>
      <c r="W49" s="16"/>
      <c r="X49" s="16"/>
      <c r="Y49" s="237"/>
      <c r="Z49" s="238"/>
      <c r="AA49" s="12">
        <f t="shared" si="2"/>
        <v>-100.86956521739103</v>
      </c>
      <c r="AB49" s="234">
        <f t="shared" si="56"/>
        <v>0.94956521739130451</v>
      </c>
      <c r="AC49" s="442"/>
    </row>
    <row r="50" spans="1:29" ht="15.75" customHeight="1">
      <c r="A50" s="451" t="s">
        <v>1006</v>
      </c>
      <c r="B50" s="31" t="s">
        <v>58</v>
      </c>
      <c r="C50" s="235" t="s">
        <v>89</v>
      </c>
      <c r="D50" s="236"/>
      <c r="E50" s="31">
        <v>55.56</v>
      </c>
      <c r="F50" s="35">
        <v>2197</v>
      </c>
      <c r="G50" s="232">
        <f t="shared" si="66"/>
        <v>122065.32</v>
      </c>
      <c r="H50" s="243" t="s">
        <v>103</v>
      </c>
      <c r="I50" s="240">
        <v>17</v>
      </c>
      <c r="J50" s="26">
        <v>2000</v>
      </c>
      <c r="K50" s="10">
        <f t="shared" si="67"/>
        <v>117.64705882352941</v>
      </c>
      <c r="L50" s="240">
        <v>17</v>
      </c>
      <c r="M50" s="11">
        <f t="shared" si="68"/>
        <v>1883.1428571428553</v>
      </c>
      <c r="N50" s="11">
        <f t="shared" si="70"/>
        <v>110.77310924369738</v>
      </c>
      <c r="O50" s="12">
        <f t="shared" si="71"/>
        <v>0</v>
      </c>
      <c r="P50" s="13">
        <f t="shared" si="72"/>
        <v>-6.8739495798320291</v>
      </c>
      <c r="Q50" s="234">
        <f t="shared" si="73"/>
        <v>0.94157142857142773</v>
      </c>
      <c r="R50" s="442"/>
      <c r="S50" s="28">
        <v>0.70833333333333337</v>
      </c>
      <c r="T50" s="28">
        <v>0.75694444444444453</v>
      </c>
      <c r="U50" s="232" t="str">
        <f t="shared" si="74"/>
        <v/>
      </c>
      <c r="V50" s="241">
        <f t="shared" si="69"/>
        <v>70.000000000000071</v>
      </c>
      <c r="W50" s="16"/>
      <c r="X50" s="16"/>
      <c r="Y50" s="237"/>
      <c r="Z50" s="238"/>
      <c r="AA50" s="12">
        <f t="shared" si="2"/>
        <v>-116.85714285714471</v>
      </c>
      <c r="AB50" s="234">
        <f t="shared" si="56"/>
        <v>0.94157142857142762</v>
      </c>
      <c r="AC50" s="442"/>
    </row>
    <row r="51" spans="1:29" ht="15.75" customHeight="1">
      <c r="A51" s="451" t="s">
        <v>1006</v>
      </c>
      <c r="B51" s="31" t="s">
        <v>58</v>
      </c>
      <c r="C51" s="235" t="s">
        <v>90</v>
      </c>
      <c r="D51" s="236"/>
      <c r="E51" s="31">
        <v>55.32</v>
      </c>
      <c r="F51" s="35">
        <v>1667</v>
      </c>
      <c r="G51" s="232">
        <f t="shared" si="66"/>
        <v>92218.44</v>
      </c>
      <c r="H51" s="243" t="s">
        <v>103</v>
      </c>
      <c r="I51" s="240">
        <v>15</v>
      </c>
      <c r="J51" s="26">
        <v>2000</v>
      </c>
      <c r="K51" s="10">
        <f t="shared" si="67"/>
        <v>133.33333333333334</v>
      </c>
      <c r="L51" s="240">
        <v>15</v>
      </c>
      <c r="M51" s="11">
        <f t="shared" si="68"/>
        <v>1887.1698113207556</v>
      </c>
      <c r="N51" s="11">
        <f t="shared" si="70"/>
        <v>125.81132075471704</v>
      </c>
      <c r="O51" s="12">
        <f t="shared" si="71"/>
        <v>0</v>
      </c>
      <c r="P51" s="13">
        <f t="shared" si="72"/>
        <v>-7.5220125786162981</v>
      </c>
      <c r="Q51" s="234">
        <f t="shared" si="73"/>
        <v>0.94358490566037778</v>
      </c>
      <c r="R51" s="442"/>
      <c r="S51" s="28">
        <v>0.76111111111111118</v>
      </c>
      <c r="T51" s="28">
        <v>0.79791666666666672</v>
      </c>
      <c r="U51" s="232">
        <f t="shared" si="74"/>
        <v>5.9999999999999787</v>
      </c>
      <c r="V51" s="241">
        <f t="shared" si="69"/>
        <v>52.999999999999972</v>
      </c>
      <c r="W51" s="16"/>
      <c r="X51" s="16"/>
      <c r="Y51" s="237"/>
      <c r="Z51" s="238"/>
      <c r="AA51" s="12">
        <f t="shared" si="2"/>
        <v>-112.83018867924443</v>
      </c>
      <c r="AB51" s="234">
        <f t="shared" si="56"/>
        <v>0.94358490566037778</v>
      </c>
      <c r="AC51" s="442"/>
    </row>
    <row r="52" spans="1:29" ht="15.75" customHeight="1">
      <c r="A52" s="451" t="s">
        <v>1006</v>
      </c>
      <c r="B52" s="31" t="s">
        <v>58</v>
      </c>
      <c r="C52" s="444" t="s">
        <v>91</v>
      </c>
      <c r="D52" s="445"/>
      <c r="E52" s="31">
        <v>57.73</v>
      </c>
      <c r="F52" s="35">
        <v>1306</v>
      </c>
      <c r="G52" s="232">
        <f t="shared" si="66"/>
        <v>75395.37999999999</v>
      </c>
      <c r="H52" s="243" t="s">
        <v>103</v>
      </c>
      <c r="I52" s="240">
        <v>16</v>
      </c>
      <c r="J52" s="26">
        <v>1500</v>
      </c>
      <c r="K52" s="10">
        <f t="shared" si="67"/>
        <v>93.75</v>
      </c>
      <c r="L52" s="240">
        <v>16</v>
      </c>
      <c r="M52" s="11">
        <f t="shared" si="68"/>
        <v>1424.7272727272737</v>
      </c>
      <c r="N52" s="11">
        <f t="shared" si="70"/>
        <v>89.045454545454604</v>
      </c>
      <c r="O52" s="12">
        <f t="shared" si="71"/>
        <v>0</v>
      </c>
      <c r="P52" s="13">
        <f t="shared" si="72"/>
        <v>-4.7045454545453964</v>
      </c>
      <c r="Q52" s="234">
        <f t="shared" si="73"/>
        <v>0.94981818181818245</v>
      </c>
      <c r="R52" s="442"/>
      <c r="S52" s="28">
        <v>0.80208333333333337</v>
      </c>
      <c r="T52" s="28">
        <v>0.84027777777777779</v>
      </c>
      <c r="U52" s="232">
        <f t="shared" si="74"/>
        <v>5.9999999999999787</v>
      </c>
      <c r="V52" s="241">
        <f t="shared" si="69"/>
        <v>54.999999999999964</v>
      </c>
      <c r="W52" s="16"/>
      <c r="X52" s="16"/>
      <c r="Y52" s="447"/>
      <c r="Z52" s="448"/>
      <c r="AA52" s="12">
        <f t="shared" si="2"/>
        <v>-75.272727272726343</v>
      </c>
      <c r="AB52" s="234">
        <f t="shared" si="56"/>
        <v>0.94981818181818245</v>
      </c>
      <c r="AC52" s="442"/>
    </row>
    <row r="53" spans="1:29">
      <c r="A53" s="452" t="s">
        <v>1006</v>
      </c>
      <c r="B53" s="31" t="s">
        <v>1000</v>
      </c>
      <c r="C53" s="446"/>
      <c r="D53" s="446"/>
      <c r="E53" s="233"/>
      <c r="F53" s="33"/>
      <c r="G53" s="10"/>
      <c r="H53" s="242"/>
      <c r="I53" s="19">
        <v>16.333333333333332</v>
      </c>
      <c r="J53" s="26">
        <v>1916.6666666666667</v>
      </c>
      <c r="K53" s="10">
        <f>J53/I53</f>
        <v>117.34693877551021</v>
      </c>
      <c r="L53" s="19">
        <v>16.333333333333332</v>
      </c>
      <c r="M53" s="11">
        <f>AVERAGE(M47:M52)</f>
        <v>1811.9569674241536</v>
      </c>
      <c r="N53" s="10">
        <f>M53/L53</f>
        <v>110.9361408627033</v>
      </c>
      <c r="O53" s="12">
        <f>L53-I53</f>
        <v>0</v>
      </c>
      <c r="P53" s="13">
        <f>N53-K53</f>
        <v>-6.4107979128069132</v>
      </c>
      <c r="Q53" s="234">
        <f>N53/K53</f>
        <v>0.94536885256912373</v>
      </c>
      <c r="R53" s="442"/>
      <c r="S53" s="29"/>
      <c r="T53" s="28"/>
      <c r="U53" s="10"/>
      <c r="V53" s="241"/>
      <c r="W53" s="10"/>
      <c r="X53" s="10"/>
      <c r="Y53" s="443"/>
      <c r="Z53" s="443"/>
      <c r="AA53" s="12">
        <f t="shared" si="2"/>
        <v>-104.70969924251312</v>
      </c>
      <c r="AB53" s="234">
        <f t="shared" si="56"/>
        <v>0.94536885256912362</v>
      </c>
      <c r="AC53" s="442"/>
    </row>
    <row r="54" spans="1:29" ht="15.75" customHeight="1">
      <c r="A54" s="449" t="s">
        <v>1007</v>
      </c>
      <c r="B54" s="242" t="s">
        <v>92</v>
      </c>
      <c r="C54" s="441" t="s">
        <v>93</v>
      </c>
      <c r="D54" s="441"/>
      <c r="E54" s="31">
        <v>84.51</v>
      </c>
      <c r="F54" s="35">
        <v>1049</v>
      </c>
      <c r="G54" s="232">
        <f t="shared" ref="G54:G59" si="75">E54*F54</f>
        <v>88650.99</v>
      </c>
      <c r="H54" s="243" t="s">
        <v>103</v>
      </c>
      <c r="I54" s="240">
        <v>17</v>
      </c>
      <c r="J54" s="26">
        <v>2400</v>
      </c>
      <c r="K54" s="10">
        <f t="shared" ref="K54:K59" si="76">J54/I54</f>
        <v>141.1764705882353</v>
      </c>
      <c r="L54" s="19">
        <v>17</v>
      </c>
      <c r="M54" s="11">
        <f t="shared" ref="M54:M59" si="77">F54/V54*60</f>
        <v>2331.1111111111122</v>
      </c>
      <c r="N54" s="10">
        <f>M54/L54</f>
        <v>137.12418300653601</v>
      </c>
      <c r="O54" s="12">
        <f t="shared" ref="O54:O59" si="78">L54-I54</f>
        <v>0</v>
      </c>
      <c r="P54" s="13">
        <f t="shared" ref="P54:P59" si="79">N54-K54</f>
        <v>-4.0522875816992894</v>
      </c>
      <c r="Q54" s="234">
        <f>N54/K54</f>
        <v>0.97129629629629666</v>
      </c>
      <c r="R54" s="442">
        <f>Q60</f>
        <v>0.95678288779609388</v>
      </c>
      <c r="S54" s="28">
        <v>0.16666666666666666</v>
      </c>
      <c r="T54" s="28">
        <v>0.18541666666666665</v>
      </c>
      <c r="U54" s="232"/>
      <c r="V54" s="241">
        <f t="shared" ref="V54:V59" si="80">(T54-S54)*24*60</f>
        <v>26.999999999999986</v>
      </c>
      <c r="W54" s="16">
        <f>T54</f>
        <v>0.18541666666666665</v>
      </c>
      <c r="X54" s="16">
        <f>S55</f>
        <v>0.20555555555555555</v>
      </c>
      <c r="Y54" s="443"/>
      <c r="Z54" s="443"/>
      <c r="AA54" s="12">
        <f t="shared" si="2"/>
        <v>-68.888888888887777</v>
      </c>
      <c r="AB54" s="234">
        <f t="shared" si="56"/>
        <v>0.97129629629629677</v>
      </c>
      <c r="AC54" s="442">
        <f>AB60</f>
        <v>0.95678288779609388</v>
      </c>
    </row>
    <row r="55" spans="1:29" ht="15.75" customHeight="1">
      <c r="A55" s="449" t="s">
        <v>1007</v>
      </c>
      <c r="B55" s="242" t="s">
        <v>79</v>
      </c>
      <c r="C55" s="441" t="s">
        <v>94</v>
      </c>
      <c r="D55" s="441"/>
      <c r="E55" s="31">
        <v>26.78</v>
      </c>
      <c r="F55" s="35">
        <v>2385</v>
      </c>
      <c r="G55" s="232">
        <f t="shared" si="75"/>
        <v>63870.3</v>
      </c>
      <c r="H55" s="243" t="s">
        <v>103</v>
      </c>
      <c r="I55" s="240">
        <v>10</v>
      </c>
      <c r="J55" s="26">
        <v>3000</v>
      </c>
      <c r="K55" s="10">
        <f t="shared" si="76"/>
        <v>300</v>
      </c>
      <c r="L55" s="19">
        <v>10</v>
      </c>
      <c r="M55" s="11">
        <f t="shared" si="77"/>
        <v>2862.0000000000009</v>
      </c>
      <c r="N55" s="10">
        <f t="shared" ref="N55:N59" si="81">M55/L55</f>
        <v>286.2000000000001</v>
      </c>
      <c r="O55" s="12">
        <f t="shared" si="78"/>
        <v>0</v>
      </c>
      <c r="P55" s="13">
        <f t="shared" si="79"/>
        <v>-13.799999999999898</v>
      </c>
      <c r="Q55" s="234">
        <f t="shared" ref="Q55:Q59" si="82">N55/K55</f>
        <v>0.95400000000000029</v>
      </c>
      <c r="R55" s="442"/>
      <c r="S55" s="28">
        <v>0.20555555555555555</v>
      </c>
      <c r="T55" s="28">
        <v>0.24027777777777776</v>
      </c>
      <c r="U55" s="232">
        <f>(S55-T54)*24*60</f>
        <v>29.000000000000018</v>
      </c>
      <c r="V55" s="241">
        <f t="shared" si="80"/>
        <v>49.999999999999986</v>
      </c>
      <c r="W55" s="232"/>
      <c r="X55" s="232"/>
      <c r="Y55" s="443"/>
      <c r="Z55" s="443"/>
      <c r="AA55" s="12">
        <f t="shared" si="2"/>
        <v>-137.99999999999909</v>
      </c>
      <c r="AB55" s="234">
        <f t="shared" si="56"/>
        <v>0.95400000000000029</v>
      </c>
      <c r="AC55" s="442"/>
    </row>
    <row r="56" spans="1:29" ht="15.75" customHeight="1">
      <c r="A56" s="449" t="s">
        <v>1007</v>
      </c>
      <c r="B56" s="242" t="s">
        <v>79</v>
      </c>
      <c r="C56" s="441" t="s">
        <v>95</v>
      </c>
      <c r="D56" s="441"/>
      <c r="E56" s="31">
        <v>35.369999999999997</v>
      </c>
      <c r="F56" s="35">
        <v>1457</v>
      </c>
      <c r="G56" s="232">
        <f t="shared" si="75"/>
        <v>51534.09</v>
      </c>
      <c r="H56" s="243" t="s">
        <v>103</v>
      </c>
      <c r="I56" s="240">
        <v>10</v>
      </c>
      <c r="J56" s="26">
        <v>3000</v>
      </c>
      <c r="K56" s="10">
        <f t="shared" si="76"/>
        <v>300</v>
      </c>
      <c r="L56" s="19">
        <v>10</v>
      </c>
      <c r="M56" s="11">
        <f t="shared" si="77"/>
        <v>2913.9999999999986</v>
      </c>
      <c r="N56" s="10">
        <f t="shared" si="81"/>
        <v>291.39999999999986</v>
      </c>
      <c r="O56" s="12">
        <f t="shared" si="78"/>
        <v>0</v>
      </c>
      <c r="P56" s="13">
        <f t="shared" si="79"/>
        <v>-8.6000000000001364</v>
      </c>
      <c r="Q56" s="234">
        <f t="shared" si="82"/>
        <v>0.97133333333333283</v>
      </c>
      <c r="R56" s="442"/>
      <c r="S56" s="28">
        <v>0.24583333333333332</v>
      </c>
      <c r="T56" s="28">
        <v>0.26666666666666666</v>
      </c>
      <c r="U56" s="232">
        <f t="shared" ref="U56:U59" si="83">(S56-T55)*24*60</f>
        <v>8.0000000000000107</v>
      </c>
      <c r="V56" s="241">
        <f t="shared" si="80"/>
        <v>30.000000000000014</v>
      </c>
      <c r="W56" s="232"/>
      <c r="X56" s="232"/>
      <c r="Y56" s="443"/>
      <c r="Z56" s="443"/>
      <c r="AA56" s="12">
        <f t="shared" si="2"/>
        <v>-86.000000000001364</v>
      </c>
      <c r="AB56" s="234">
        <f t="shared" si="56"/>
        <v>0.97133333333333283</v>
      </c>
      <c r="AC56" s="442"/>
    </row>
    <row r="57" spans="1:29" ht="15.75" customHeight="1">
      <c r="A57" s="449" t="s">
        <v>1007</v>
      </c>
      <c r="B57" s="242" t="s">
        <v>53</v>
      </c>
      <c r="C57" s="441" t="s">
        <v>96</v>
      </c>
      <c r="D57" s="441"/>
      <c r="E57" s="31">
        <v>26.97</v>
      </c>
      <c r="F57" s="35">
        <v>2939</v>
      </c>
      <c r="G57" s="232">
        <f t="shared" si="75"/>
        <v>79264.83</v>
      </c>
      <c r="H57" s="243" t="s">
        <v>103</v>
      </c>
      <c r="I57" s="240">
        <v>8</v>
      </c>
      <c r="J57" s="26">
        <v>1500</v>
      </c>
      <c r="K57" s="10">
        <f t="shared" si="76"/>
        <v>187.5</v>
      </c>
      <c r="L57" s="19">
        <v>8</v>
      </c>
      <c r="M57" s="11">
        <f t="shared" si="77"/>
        <v>1422.0967741935478</v>
      </c>
      <c r="N57" s="10">
        <f t="shared" si="81"/>
        <v>177.76209677419348</v>
      </c>
      <c r="O57" s="12">
        <f t="shared" si="78"/>
        <v>0</v>
      </c>
      <c r="P57" s="13">
        <f t="shared" si="79"/>
        <v>-9.7379032258065195</v>
      </c>
      <c r="Q57" s="234">
        <f t="shared" si="82"/>
        <v>0.94806451612903186</v>
      </c>
      <c r="R57" s="442"/>
      <c r="S57" s="28">
        <v>0.27152777777777776</v>
      </c>
      <c r="T57" s="28">
        <v>0.3576388888888889</v>
      </c>
      <c r="U57" s="232">
        <f t="shared" si="83"/>
        <v>6.9999999999999751</v>
      </c>
      <c r="V57" s="241">
        <f t="shared" si="80"/>
        <v>124.00000000000004</v>
      </c>
      <c r="W57" s="232"/>
      <c r="X57" s="232"/>
      <c r="Y57" s="443"/>
      <c r="Z57" s="443"/>
      <c r="AA57" s="12">
        <f t="shared" si="2"/>
        <v>-77.903225806452156</v>
      </c>
      <c r="AB57" s="234">
        <f t="shared" si="56"/>
        <v>0.94806451612903186</v>
      </c>
      <c r="AC57" s="442"/>
    </row>
    <row r="58" spans="1:29">
      <c r="A58" s="450" t="s">
        <v>1007</v>
      </c>
      <c r="B58" s="242" t="s">
        <v>79</v>
      </c>
      <c r="C58" s="441" t="s">
        <v>97</v>
      </c>
      <c r="D58" s="441"/>
      <c r="E58" s="31">
        <v>35.119999999999997</v>
      </c>
      <c r="F58" s="35">
        <v>1110</v>
      </c>
      <c r="G58" s="232">
        <f t="shared" si="75"/>
        <v>38983.199999999997</v>
      </c>
      <c r="H58" s="243" t="s">
        <v>103</v>
      </c>
      <c r="I58" s="240">
        <v>13</v>
      </c>
      <c r="J58" s="26">
        <v>2000</v>
      </c>
      <c r="K58" s="10">
        <f t="shared" si="76"/>
        <v>153.84615384615384</v>
      </c>
      <c r="L58" s="19">
        <v>13</v>
      </c>
      <c r="M58" s="11">
        <f t="shared" si="77"/>
        <v>1902.8571428571411</v>
      </c>
      <c r="N58" s="10">
        <f t="shared" si="81"/>
        <v>146.37362637362622</v>
      </c>
      <c r="O58" s="12">
        <f t="shared" si="78"/>
        <v>0</v>
      </c>
      <c r="P58" s="13">
        <f t="shared" si="79"/>
        <v>-7.4725274725276165</v>
      </c>
      <c r="Q58" s="234">
        <f t="shared" si="82"/>
        <v>0.95142857142857051</v>
      </c>
      <c r="R58" s="442"/>
      <c r="S58" s="28">
        <v>0.36180555555555555</v>
      </c>
      <c r="T58" s="28">
        <v>0.38611111111111113</v>
      </c>
      <c r="U58" s="232">
        <f t="shared" si="83"/>
        <v>5.9999999999999787</v>
      </c>
      <c r="V58" s="241">
        <f t="shared" si="80"/>
        <v>35.000000000000036</v>
      </c>
      <c r="W58" s="16"/>
      <c r="X58" s="16"/>
      <c r="Y58" s="443"/>
      <c r="Z58" s="443"/>
      <c r="AA58" s="12">
        <f t="shared" si="2"/>
        <v>-97.142857142858929</v>
      </c>
      <c r="AB58" s="234">
        <f t="shared" si="56"/>
        <v>0.95142857142857051</v>
      </c>
      <c r="AC58" s="442"/>
    </row>
    <row r="59" spans="1:29" ht="15" customHeight="1">
      <c r="A59" s="450" t="s">
        <v>1007</v>
      </c>
      <c r="B59" s="242" t="s">
        <v>79</v>
      </c>
      <c r="C59" s="444" t="s">
        <v>98</v>
      </c>
      <c r="D59" s="445"/>
      <c r="E59" s="31">
        <v>35.869999999999997</v>
      </c>
      <c r="F59" s="35">
        <v>2118</v>
      </c>
      <c r="G59" s="232">
        <f t="shared" si="75"/>
        <v>75972.659999999989</v>
      </c>
      <c r="H59" s="243" t="s">
        <v>103</v>
      </c>
      <c r="I59" s="240">
        <v>10</v>
      </c>
      <c r="J59" s="26">
        <v>3000</v>
      </c>
      <c r="K59" s="10">
        <f t="shared" si="76"/>
        <v>300</v>
      </c>
      <c r="L59" s="19">
        <v>10</v>
      </c>
      <c r="M59" s="11">
        <f t="shared" si="77"/>
        <v>2824</v>
      </c>
      <c r="N59" s="10">
        <f t="shared" si="81"/>
        <v>282.39999999999998</v>
      </c>
      <c r="O59" s="12">
        <f t="shared" si="78"/>
        <v>0</v>
      </c>
      <c r="P59" s="13">
        <f t="shared" si="79"/>
        <v>-17.600000000000023</v>
      </c>
      <c r="Q59" s="234">
        <f t="shared" si="82"/>
        <v>0.94133333333333324</v>
      </c>
      <c r="R59" s="442"/>
      <c r="S59" s="28">
        <v>0.38958333333333334</v>
      </c>
      <c r="T59" s="28">
        <v>0.42083333333333334</v>
      </c>
      <c r="U59" s="232">
        <f t="shared" si="83"/>
        <v>4.9999999999999822</v>
      </c>
      <c r="V59" s="241">
        <f t="shared" si="80"/>
        <v>45</v>
      </c>
      <c r="W59" s="232"/>
      <c r="X59" s="232"/>
      <c r="Y59" s="447"/>
      <c r="Z59" s="448"/>
      <c r="AA59" s="12">
        <f t="shared" si="2"/>
        <v>-176</v>
      </c>
      <c r="AB59" s="234">
        <f t="shared" si="56"/>
        <v>0.94133333333333336</v>
      </c>
      <c r="AC59" s="442"/>
    </row>
    <row r="60" spans="1:29">
      <c r="A60" s="450" t="s">
        <v>1007</v>
      </c>
      <c r="B60" s="31" t="s">
        <v>1000</v>
      </c>
      <c r="C60" s="446"/>
      <c r="D60" s="446"/>
      <c r="E60" s="233"/>
      <c r="F60" s="33"/>
      <c r="G60" s="10"/>
      <c r="H60" s="242"/>
      <c r="I60" s="19">
        <v>11.333333333333334</v>
      </c>
      <c r="J60" s="26">
        <v>2483.3333333333335</v>
      </c>
      <c r="K60" s="10">
        <f>J60/I60</f>
        <v>219.11764705882354</v>
      </c>
      <c r="L60" s="19">
        <v>11.333333333333334</v>
      </c>
      <c r="M60" s="11">
        <f>AVERAGE(M54:M59)</f>
        <v>2376.0108380269667</v>
      </c>
      <c r="N60" s="10">
        <f>M60/L60</f>
        <v>209.64801512002646</v>
      </c>
      <c r="O60" s="12">
        <f>L60-I60</f>
        <v>0</v>
      </c>
      <c r="P60" s="13">
        <f>N60-K60</f>
        <v>-9.4696319387970789</v>
      </c>
      <c r="Q60" s="234">
        <f>N60/K60</f>
        <v>0.95678288779609388</v>
      </c>
      <c r="R60" s="442"/>
      <c r="S60" s="28"/>
      <c r="T60" s="28"/>
      <c r="U60" s="10"/>
      <c r="V60" s="241"/>
      <c r="W60" s="10"/>
      <c r="X60" s="10"/>
      <c r="Y60" s="443"/>
      <c r="Z60" s="443"/>
      <c r="AA60" s="12">
        <f t="shared" si="2"/>
        <v>-107.32249530636682</v>
      </c>
      <c r="AB60" s="234">
        <f t="shared" si="56"/>
        <v>0.95678288779609388</v>
      </c>
      <c r="AC60" s="442"/>
    </row>
    <row r="61" spans="1:29" ht="15.75" customHeight="1">
      <c r="A61" s="439" t="s">
        <v>1008</v>
      </c>
      <c r="B61" s="242" t="s">
        <v>67</v>
      </c>
      <c r="C61" s="441" t="s">
        <v>99</v>
      </c>
      <c r="D61" s="441"/>
      <c r="E61" s="31">
        <v>20.2</v>
      </c>
      <c r="F61" s="242">
        <v>2065</v>
      </c>
      <c r="G61" s="232">
        <f t="shared" ref="G61:G65" si="84">E61*F61</f>
        <v>41713</v>
      </c>
      <c r="H61" s="243" t="s">
        <v>103</v>
      </c>
      <c r="I61" s="240">
        <v>19</v>
      </c>
      <c r="J61" s="26">
        <v>2400</v>
      </c>
      <c r="K61" s="10">
        <f t="shared" ref="K61:K63" si="85">J61/I61</f>
        <v>126.31578947368421</v>
      </c>
      <c r="L61" s="19">
        <v>19</v>
      </c>
      <c r="M61" s="11">
        <f>F61/V61*60</f>
        <v>2294.4444444444439</v>
      </c>
      <c r="N61" s="10">
        <f t="shared" ref="N61:N65" si="86">M61/L61</f>
        <v>120.76023391812862</v>
      </c>
      <c r="O61" s="12">
        <f t="shared" ref="O61:O65" si="87">L61-I61</f>
        <v>0</v>
      </c>
      <c r="P61" s="13">
        <f t="shared" ref="P61:P65" si="88">N61-K61</f>
        <v>-5.5555555555555856</v>
      </c>
      <c r="Q61" s="234">
        <f>N61/K61</f>
        <v>0.95601851851851827</v>
      </c>
      <c r="R61" s="442">
        <f>Q66</f>
        <v>0.94638509168494855</v>
      </c>
      <c r="S61" s="28">
        <v>0.125</v>
      </c>
      <c r="T61" s="28">
        <v>0.16250000000000001</v>
      </c>
      <c r="U61" s="18"/>
      <c r="V61" s="241">
        <f t="shared" ref="V61:V65" si="89">(T61-S61)*24*60</f>
        <v>54.000000000000007</v>
      </c>
      <c r="W61" s="16">
        <f>T61</f>
        <v>0.16250000000000001</v>
      </c>
      <c r="X61" s="16">
        <f>S62</f>
        <v>0.18124999999999999</v>
      </c>
      <c r="Y61" s="443"/>
      <c r="Z61" s="443"/>
      <c r="AA61" s="12">
        <f t="shared" si="2"/>
        <v>-105.55555555555611</v>
      </c>
      <c r="AB61" s="234">
        <f>M61/J61</f>
        <v>0.95601851851851827</v>
      </c>
      <c r="AC61" s="442">
        <f>AB66</f>
        <v>0.94638509168494844</v>
      </c>
    </row>
    <row r="62" spans="1:29" ht="15.75" customHeight="1">
      <c r="A62" s="439" t="s">
        <v>1008</v>
      </c>
      <c r="B62" s="242" t="s">
        <v>67</v>
      </c>
      <c r="C62" s="441" t="s">
        <v>100</v>
      </c>
      <c r="D62" s="441"/>
      <c r="E62" s="31">
        <v>19.02</v>
      </c>
      <c r="F62" s="242">
        <v>8247</v>
      </c>
      <c r="G62" s="232">
        <f t="shared" si="84"/>
        <v>156857.94</v>
      </c>
      <c r="H62" s="243" t="s">
        <v>103</v>
      </c>
      <c r="I62" s="240">
        <v>15</v>
      </c>
      <c r="J62" s="26">
        <v>2400</v>
      </c>
      <c r="K62" s="10">
        <f t="shared" si="85"/>
        <v>160</v>
      </c>
      <c r="L62" s="19">
        <v>15</v>
      </c>
      <c r="M62" s="11">
        <f t="shared" ref="M62:M65" si="90">F62/V62*60</f>
        <v>2259.4520547945208</v>
      </c>
      <c r="N62" s="10">
        <f t="shared" si="86"/>
        <v>150.63013698630138</v>
      </c>
      <c r="O62" s="12">
        <f t="shared" si="87"/>
        <v>0</v>
      </c>
      <c r="P62" s="13">
        <f t="shared" si="88"/>
        <v>-9.3698630136986196</v>
      </c>
      <c r="Q62" s="234">
        <f t="shared" ref="Q62:Q66" si="91">N62/K62</f>
        <v>0.94143835616438365</v>
      </c>
      <c r="R62" s="442"/>
      <c r="S62" s="28">
        <v>0.18124999999999999</v>
      </c>
      <c r="T62" s="28">
        <v>0.33333333333333331</v>
      </c>
      <c r="U62" s="232">
        <f>(S62-T61)*24*60</f>
        <v>26.999999999999986</v>
      </c>
      <c r="V62" s="241">
        <f t="shared" si="89"/>
        <v>218.99999999999997</v>
      </c>
      <c r="W62" s="16"/>
      <c r="X62" s="16"/>
      <c r="Y62" s="443"/>
      <c r="Z62" s="443"/>
      <c r="AA62" s="12">
        <f t="shared" si="2"/>
        <v>-140.54794520547921</v>
      </c>
      <c r="AB62" s="234">
        <f t="shared" ref="AB62:AB66" si="92">M62/J62</f>
        <v>0.94143835616438365</v>
      </c>
      <c r="AC62" s="442"/>
    </row>
    <row r="63" spans="1:29" ht="15.75" customHeight="1">
      <c r="A63" s="439" t="s">
        <v>1008</v>
      </c>
      <c r="B63" s="242" t="s">
        <v>67</v>
      </c>
      <c r="C63" s="441" t="s">
        <v>101</v>
      </c>
      <c r="D63" s="441"/>
      <c r="E63" s="31">
        <v>25</v>
      </c>
      <c r="F63" s="242">
        <v>3314</v>
      </c>
      <c r="G63" s="232">
        <f t="shared" si="84"/>
        <v>82850</v>
      </c>
      <c r="H63" s="243" t="s">
        <v>103</v>
      </c>
      <c r="I63" s="240">
        <v>15</v>
      </c>
      <c r="J63" s="26">
        <v>2400</v>
      </c>
      <c r="K63" s="10">
        <f t="shared" si="85"/>
        <v>160</v>
      </c>
      <c r="L63" s="19">
        <v>15</v>
      </c>
      <c r="M63" s="11">
        <f t="shared" si="90"/>
        <v>2259.5454545454545</v>
      </c>
      <c r="N63" s="10">
        <f t="shared" si="86"/>
        <v>150.63636363636363</v>
      </c>
      <c r="O63" s="12">
        <f t="shared" si="87"/>
        <v>0</v>
      </c>
      <c r="P63" s="13">
        <f t="shared" si="88"/>
        <v>-9.363636363636374</v>
      </c>
      <c r="Q63" s="234">
        <f t="shared" si="91"/>
        <v>0.94147727272727266</v>
      </c>
      <c r="R63" s="442"/>
      <c r="S63" s="28">
        <v>0.33888888888888885</v>
      </c>
      <c r="T63" s="28">
        <v>0.39999999999999997</v>
      </c>
      <c r="U63" s="232">
        <f t="shared" ref="U63:U65" si="93">(S63-T62)*24*60</f>
        <v>7.9999999999999716</v>
      </c>
      <c r="V63" s="241">
        <f t="shared" si="89"/>
        <v>88</v>
      </c>
      <c r="W63" s="16"/>
      <c r="X63" s="16"/>
      <c r="Y63" s="443"/>
      <c r="Z63" s="443"/>
      <c r="AA63" s="12">
        <f t="shared" si="2"/>
        <v>-140.4545454545455</v>
      </c>
      <c r="AB63" s="234">
        <f t="shared" si="92"/>
        <v>0.94147727272727266</v>
      </c>
      <c r="AC63" s="442"/>
    </row>
    <row r="64" spans="1:29" ht="15.75" customHeight="1">
      <c r="A64" s="439" t="s">
        <v>1008</v>
      </c>
      <c r="B64" s="242" t="s">
        <v>67</v>
      </c>
      <c r="C64" s="441" t="s">
        <v>102</v>
      </c>
      <c r="D64" s="441"/>
      <c r="E64" s="31">
        <v>20.52</v>
      </c>
      <c r="F64" s="242">
        <v>3460</v>
      </c>
      <c r="G64" s="232">
        <f t="shared" si="84"/>
        <v>70999.199999999997</v>
      </c>
      <c r="H64" s="243" t="s">
        <v>103</v>
      </c>
      <c r="I64" s="240">
        <v>18</v>
      </c>
      <c r="J64" s="26">
        <v>2400</v>
      </c>
      <c r="K64" s="10">
        <f>J64/I64</f>
        <v>133.33333333333334</v>
      </c>
      <c r="L64" s="19">
        <v>18</v>
      </c>
      <c r="M64" s="11">
        <f t="shared" si="90"/>
        <v>2281.3186813186812</v>
      </c>
      <c r="N64" s="10">
        <f t="shared" si="86"/>
        <v>126.73992673992673</v>
      </c>
      <c r="O64" s="12">
        <f t="shared" si="87"/>
        <v>0</v>
      </c>
      <c r="P64" s="13">
        <f t="shared" si="88"/>
        <v>-6.5934065934066126</v>
      </c>
      <c r="Q64" s="234">
        <f t="shared" si="91"/>
        <v>0.95054945054945039</v>
      </c>
      <c r="R64" s="442"/>
      <c r="S64" s="28">
        <v>0.40416666666666662</v>
      </c>
      <c r="T64" s="28">
        <v>0.46736111111111106</v>
      </c>
      <c r="U64" s="232">
        <f t="shared" si="93"/>
        <v>5.9999999999999787</v>
      </c>
      <c r="V64" s="241">
        <f t="shared" si="89"/>
        <v>91</v>
      </c>
      <c r="W64" s="16"/>
      <c r="X64" s="16"/>
      <c r="Y64" s="443"/>
      <c r="Z64" s="443"/>
      <c r="AA64" s="12">
        <f t="shared" si="2"/>
        <v>-118.68131868131877</v>
      </c>
      <c r="AB64" s="234">
        <f t="shared" si="92"/>
        <v>0.9505494505494505</v>
      </c>
      <c r="AC64" s="442"/>
    </row>
    <row r="65" spans="1:29" ht="15.75" customHeight="1">
      <c r="A65" s="439" t="s">
        <v>1008</v>
      </c>
      <c r="B65" s="242" t="s">
        <v>67</v>
      </c>
      <c r="C65" s="441" t="s">
        <v>71</v>
      </c>
      <c r="D65" s="441"/>
      <c r="E65" s="31">
        <v>22.35</v>
      </c>
      <c r="F65" s="242">
        <v>1621</v>
      </c>
      <c r="G65" s="232">
        <f t="shared" si="84"/>
        <v>36229.350000000006</v>
      </c>
      <c r="H65" s="243" t="s">
        <v>103</v>
      </c>
      <c r="I65" s="240">
        <v>16</v>
      </c>
      <c r="J65" s="26">
        <v>2400</v>
      </c>
      <c r="K65" s="10">
        <f t="shared" ref="K65:K66" si="94">J65/I65</f>
        <v>150</v>
      </c>
      <c r="L65" s="19">
        <v>16</v>
      </c>
      <c r="M65" s="11">
        <f t="shared" si="90"/>
        <v>2261.8604651162827</v>
      </c>
      <c r="N65" s="10">
        <f t="shared" si="86"/>
        <v>141.36627906976767</v>
      </c>
      <c r="O65" s="12">
        <f t="shared" si="87"/>
        <v>0</v>
      </c>
      <c r="P65" s="13">
        <f t="shared" si="88"/>
        <v>-8.6337209302323288</v>
      </c>
      <c r="Q65" s="234">
        <f t="shared" si="91"/>
        <v>0.9424418604651178</v>
      </c>
      <c r="R65" s="442"/>
      <c r="S65" s="28">
        <v>0.47152777777777771</v>
      </c>
      <c r="T65" s="28">
        <v>0.50138888888888877</v>
      </c>
      <c r="U65" s="232">
        <f t="shared" si="93"/>
        <v>5.9999999999999787</v>
      </c>
      <c r="V65" s="241">
        <f t="shared" si="89"/>
        <v>42.999999999999929</v>
      </c>
      <c r="W65" s="16"/>
      <c r="X65" s="16"/>
      <c r="Y65" s="443"/>
      <c r="Z65" s="443"/>
      <c r="AA65" s="12">
        <f t="shared" si="2"/>
        <v>-138.13953488371726</v>
      </c>
      <c r="AB65" s="234">
        <f t="shared" si="92"/>
        <v>0.9424418604651178</v>
      </c>
      <c r="AC65" s="442"/>
    </row>
    <row r="66" spans="1:29" ht="16.5" customHeight="1">
      <c r="A66" s="440" t="s">
        <v>1008</v>
      </c>
      <c r="B66" s="31" t="s">
        <v>1000</v>
      </c>
      <c r="C66" s="446"/>
      <c r="D66" s="446"/>
      <c r="E66" s="233"/>
      <c r="F66" s="33"/>
      <c r="G66" s="10"/>
      <c r="H66" s="242"/>
      <c r="I66" s="19">
        <v>16.600000000000001</v>
      </c>
      <c r="J66" s="26">
        <v>2400</v>
      </c>
      <c r="K66" s="10">
        <f t="shared" si="94"/>
        <v>144.57831325301203</v>
      </c>
      <c r="L66" s="19">
        <v>16.600000000000001</v>
      </c>
      <c r="M66" s="11">
        <f>AVERAGE(M61:M65)</f>
        <v>2271.3242200438763</v>
      </c>
      <c r="N66" s="10">
        <f>M66/L66</f>
        <v>136.826760243607</v>
      </c>
      <c r="O66" s="12">
        <f>L66-I66</f>
        <v>0</v>
      </c>
      <c r="P66" s="13">
        <f>N66-K66</f>
        <v>-7.7515530094050291</v>
      </c>
      <c r="Q66" s="234">
        <f t="shared" si="91"/>
        <v>0.94638509168494855</v>
      </c>
      <c r="R66" s="442"/>
      <c r="S66" s="28"/>
      <c r="T66" s="28"/>
      <c r="U66" s="10"/>
      <c r="V66" s="241"/>
      <c r="W66" s="10"/>
      <c r="X66" s="10"/>
      <c r="Y66" s="443"/>
      <c r="Z66" s="443"/>
      <c r="AA66" s="12">
        <f t="shared" si="2"/>
        <v>-128.67577995612373</v>
      </c>
      <c r="AB66" s="234">
        <f t="shared" si="92"/>
        <v>0.94638509168494844</v>
      </c>
      <c r="AC66" s="442"/>
    </row>
    <row r="67" spans="1:29">
      <c r="D67" s="22"/>
      <c r="E67" s="22"/>
    </row>
  </sheetData>
  <mergeCells count="180">
    <mergeCell ref="A61:A66"/>
    <mergeCell ref="C61:D61"/>
    <mergeCell ref="R61:R66"/>
    <mergeCell ref="Y61:Z61"/>
    <mergeCell ref="AC61:AC66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66:Z66"/>
    <mergeCell ref="AC54:AC60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A54:A60"/>
    <mergeCell ref="C54:D54"/>
    <mergeCell ref="R54:R60"/>
    <mergeCell ref="Y54:Z54"/>
    <mergeCell ref="Y59:Z59"/>
    <mergeCell ref="C60:D60"/>
    <mergeCell ref="Y60:Z60"/>
    <mergeCell ref="A47:A53"/>
    <mergeCell ref="C47:D47"/>
    <mergeCell ref="R47:R53"/>
    <mergeCell ref="Y47:Z47"/>
    <mergeCell ref="AC47:AC53"/>
    <mergeCell ref="C48:D48"/>
    <mergeCell ref="Y48:Z48"/>
    <mergeCell ref="C49:D49"/>
    <mergeCell ref="C52:D52"/>
    <mergeCell ref="Y52:Z52"/>
    <mergeCell ref="C44:D44"/>
    <mergeCell ref="Y44:Z44"/>
    <mergeCell ref="C45:D45"/>
    <mergeCell ref="Y45:Z45"/>
    <mergeCell ref="C46:D46"/>
    <mergeCell ref="Y46:Z46"/>
    <mergeCell ref="AC37:AC46"/>
    <mergeCell ref="C53:D53"/>
    <mergeCell ref="Y53:Z53"/>
    <mergeCell ref="C43:D43"/>
    <mergeCell ref="Y43:Z43"/>
    <mergeCell ref="A30:A36"/>
    <mergeCell ref="C30:D30"/>
    <mergeCell ref="R30:R36"/>
    <mergeCell ref="Y30:Z30"/>
    <mergeCell ref="Y40:Z40"/>
    <mergeCell ref="C41:D41"/>
    <mergeCell ref="Y41:Z41"/>
    <mergeCell ref="C42:D42"/>
    <mergeCell ref="Y42:Z42"/>
    <mergeCell ref="A37:A46"/>
    <mergeCell ref="C37:D37"/>
    <mergeCell ref="R37:R46"/>
    <mergeCell ref="Y37:Z37"/>
    <mergeCell ref="C38:D38"/>
    <mergeCell ref="Y38:Z38"/>
    <mergeCell ref="C39:D39"/>
    <mergeCell ref="Y39:Z39"/>
    <mergeCell ref="C40:D40"/>
    <mergeCell ref="AC30:AC36"/>
    <mergeCell ref="C31:D31"/>
    <mergeCell ref="Y31:Z31"/>
    <mergeCell ref="C32:D32"/>
    <mergeCell ref="Y32:Z32"/>
    <mergeCell ref="C33:D33"/>
    <mergeCell ref="Y26:Z26"/>
    <mergeCell ref="C27:D27"/>
    <mergeCell ref="Y27:Z27"/>
    <mergeCell ref="C28:D28"/>
    <mergeCell ref="Y28:Z28"/>
    <mergeCell ref="C29:D29"/>
    <mergeCell ref="Y29:Z29"/>
    <mergeCell ref="Y33:Z33"/>
    <mergeCell ref="C34:D34"/>
    <mergeCell ref="Y34:Z34"/>
    <mergeCell ref="C35:D35"/>
    <mergeCell ref="Y35:Z35"/>
    <mergeCell ref="C36:D36"/>
    <mergeCell ref="Y36:Z36"/>
    <mergeCell ref="A23:A29"/>
    <mergeCell ref="C23:D23"/>
    <mergeCell ref="R23:R29"/>
    <mergeCell ref="Y23:Z23"/>
    <mergeCell ref="AC23:AC29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7:O66 O5:O9 O11:O13 O46:O54 O16:O42">
    <cfRule type="cellIs" dxfId="710" priority="49" operator="greaterThan">
      <formula>0</formula>
    </cfRule>
  </conditionalFormatting>
  <conditionalFormatting sqref="P5:P7 P57:P59 AA57:AA59 P61:P65 P23:P28 P54 P9 P11:P13 P17:P21 P47:P52 P30:P42 AA5:AA54 AA61:AA66">
    <cfRule type="cellIs" dxfId="709" priority="53" operator="lessThan">
      <formula>0</formula>
    </cfRule>
  </conditionalFormatting>
  <conditionalFormatting sqref="AB57:AB59 Q57:Q66 Q5:Q9 Q11:Q13 Q46:Q54 Q16:Q42 AB5:AB54 AB61:AB66">
    <cfRule type="cellIs" dxfId="708" priority="50" operator="greaterThan">
      <formula>1</formula>
    </cfRule>
    <cfRule type="cellIs" dxfId="707" priority="51" operator="lessThan">
      <formula>0.8</formula>
    </cfRule>
  </conditionalFormatting>
  <conditionalFormatting sqref="AC12:AC13 R12:R13 AC57 R57:R66 AC5:AC9 R5:R9 R16:R42 AC16:AC42 AC46:AC54 R46:R54">
    <cfRule type="cellIs" dxfId="706" priority="55" operator="lessThan">
      <formula>0.8</formula>
    </cfRule>
  </conditionalFormatting>
  <conditionalFormatting sqref="AC37">
    <cfRule type="cellIs" dxfId="705" priority="57" operator="lessThan">
      <formula>0.8</formula>
    </cfRule>
  </conditionalFormatting>
  <conditionalFormatting sqref="AC17:AC21">
    <cfRule type="cellIs" dxfId="704" priority="54" operator="lessThan">
      <formula>0.8</formula>
    </cfRule>
  </conditionalFormatting>
  <conditionalFormatting sqref="AC23">
    <cfRule type="cellIs" dxfId="703" priority="56" operator="lessThan">
      <formula>0.8</formula>
    </cfRule>
  </conditionalFormatting>
  <conditionalFormatting sqref="AC30:AC35">
    <cfRule type="cellIs" dxfId="702" priority="52" operator="lessThan">
      <formula>0.8</formula>
    </cfRule>
  </conditionalFormatting>
  <conditionalFormatting sqref="AA60">
    <cfRule type="cellIs" dxfId="701" priority="48" operator="lessThan">
      <formula>0</formula>
    </cfRule>
  </conditionalFormatting>
  <conditionalFormatting sqref="AB60">
    <cfRule type="cellIs" dxfId="700" priority="46" operator="greaterThan">
      <formula>1</formula>
    </cfRule>
    <cfRule type="cellIs" dxfId="699" priority="47" operator="lessThan">
      <formula>0.8</formula>
    </cfRule>
  </conditionalFormatting>
  <conditionalFormatting sqref="O14:O15">
    <cfRule type="cellIs" dxfId="698" priority="41" operator="greaterThan">
      <formula>0</formula>
    </cfRule>
  </conditionalFormatting>
  <conditionalFormatting sqref="P14:P15">
    <cfRule type="cellIs" dxfId="697" priority="44" operator="lessThan">
      <formula>0</formula>
    </cfRule>
  </conditionalFormatting>
  <conditionalFormatting sqref="Q14:Q15">
    <cfRule type="cellIs" dxfId="696" priority="42" operator="greaterThan">
      <formula>1</formula>
    </cfRule>
    <cfRule type="cellIs" dxfId="695" priority="43" operator="lessThan">
      <formula>0.8</formula>
    </cfRule>
  </conditionalFormatting>
  <conditionalFormatting sqref="R14:R15 AC14:AC15">
    <cfRule type="cellIs" dxfId="694" priority="45" operator="lessThan">
      <formula>0.8</formula>
    </cfRule>
  </conditionalFormatting>
  <conditionalFormatting sqref="O10">
    <cfRule type="cellIs" dxfId="693" priority="37" operator="greaterThan">
      <formula>0</formula>
    </cfRule>
  </conditionalFormatting>
  <conditionalFormatting sqref="P10">
    <cfRule type="cellIs" dxfId="692" priority="40" operator="lessThan">
      <formula>0</formula>
    </cfRule>
  </conditionalFormatting>
  <conditionalFormatting sqref="Q10">
    <cfRule type="cellIs" dxfId="691" priority="38" operator="greaterThan">
      <formula>1</formula>
    </cfRule>
    <cfRule type="cellIs" dxfId="690" priority="39" operator="lessThan">
      <formula>0.8</formula>
    </cfRule>
  </conditionalFormatting>
  <conditionalFormatting sqref="O56">
    <cfRule type="cellIs" dxfId="689" priority="32" operator="greaterThan">
      <formula>0</formula>
    </cfRule>
  </conditionalFormatting>
  <conditionalFormatting sqref="P56 AA56">
    <cfRule type="cellIs" dxfId="688" priority="35" operator="lessThan">
      <formula>0</formula>
    </cfRule>
  </conditionalFormatting>
  <conditionalFormatting sqref="Q56 AB56">
    <cfRule type="cellIs" dxfId="687" priority="33" operator="greaterThan">
      <formula>1</formula>
    </cfRule>
    <cfRule type="cellIs" dxfId="686" priority="34" operator="lessThan">
      <formula>0.8</formula>
    </cfRule>
  </conditionalFormatting>
  <conditionalFormatting sqref="R56 AC56">
    <cfRule type="cellIs" dxfId="685" priority="36" operator="lessThan">
      <formula>0.8</formula>
    </cfRule>
  </conditionalFormatting>
  <conditionalFormatting sqref="O43">
    <cfRule type="cellIs" dxfId="684" priority="26" operator="greaterThan">
      <formula>0</formula>
    </cfRule>
  </conditionalFormatting>
  <conditionalFormatting sqref="P43">
    <cfRule type="cellIs" dxfId="683" priority="30" operator="lessThan">
      <formula>0</formula>
    </cfRule>
  </conditionalFormatting>
  <conditionalFormatting sqref="Q43">
    <cfRule type="cellIs" dxfId="682" priority="27" operator="greaterThan">
      <formula>1</formula>
    </cfRule>
    <cfRule type="cellIs" dxfId="681" priority="28" operator="lessThan">
      <formula>0.8</formula>
    </cfRule>
  </conditionalFormatting>
  <conditionalFormatting sqref="R43 AC43">
    <cfRule type="cellIs" dxfId="680" priority="31" operator="lessThan">
      <formula>0.8</formula>
    </cfRule>
  </conditionalFormatting>
  <conditionalFormatting sqref="AC43">
    <cfRule type="cellIs" dxfId="679" priority="29" operator="lessThan">
      <formula>0.8</formula>
    </cfRule>
  </conditionalFormatting>
  <conditionalFormatting sqref="O44">
    <cfRule type="cellIs" dxfId="678" priority="20" operator="greaterThan">
      <formula>0</formula>
    </cfRule>
  </conditionalFormatting>
  <conditionalFormatting sqref="P44">
    <cfRule type="cellIs" dxfId="677" priority="24" operator="lessThan">
      <formula>0</formula>
    </cfRule>
  </conditionalFormatting>
  <conditionalFormatting sqref="Q44">
    <cfRule type="cellIs" dxfId="676" priority="21" operator="greaterThan">
      <formula>1</formula>
    </cfRule>
    <cfRule type="cellIs" dxfId="675" priority="22" operator="lessThan">
      <formula>0.8</formula>
    </cfRule>
  </conditionalFormatting>
  <conditionalFormatting sqref="R44 AC44">
    <cfRule type="cellIs" dxfId="674" priority="25" operator="lessThan">
      <formula>0.8</formula>
    </cfRule>
  </conditionalFormatting>
  <conditionalFormatting sqref="AC44">
    <cfRule type="cellIs" dxfId="673" priority="23" operator="lessThan">
      <formula>0.8</formula>
    </cfRule>
  </conditionalFormatting>
  <conditionalFormatting sqref="O45">
    <cfRule type="cellIs" dxfId="672" priority="14" operator="greaterThan">
      <formula>0</formula>
    </cfRule>
  </conditionalFormatting>
  <conditionalFormatting sqref="P45">
    <cfRule type="cellIs" dxfId="671" priority="18" operator="lessThan">
      <formula>0</formula>
    </cfRule>
  </conditionalFormatting>
  <conditionalFormatting sqref="Q45">
    <cfRule type="cellIs" dxfId="670" priority="15" operator="greaterThan">
      <formula>1</formula>
    </cfRule>
    <cfRule type="cellIs" dxfId="669" priority="16" operator="lessThan">
      <formula>0.8</formula>
    </cfRule>
  </conditionalFormatting>
  <conditionalFormatting sqref="R45 AC45">
    <cfRule type="cellIs" dxfId="668" priority="19" operator="lessThan">
      <formula>0.8</formula>
    </cfRule>
  </conditionalFormatting>
  <conditionalFormatting sqref="AC45">
    <cfRule type="cellIs" dxfId="667" priority="17" operator="lessThan">
      <formula>0.8</formula>
    </cfRule>
  </conditionalFormatting>
  <conditionalFormatting sqref="O55">
    <cfRule type="cellIs" dxfId="666" priority="9" operator="greaterThan">
      <formula>0</formula>
    </cfRule>
  </conditionalFormatting>
  <conditionalFormatting sqref="P55 AA55">
    <cfRule type="cellIs" dxfId="665" priority="12" operator="lessThan">
      <formula>0</formula>
    </cfRule>
  </conditionalFormatting>
  <conditionalFormatting sqref="Q55 AB55">
    <cfRule type="cellIs" dxfId="664" priority="10" operator="greaterThan">
      <formula>1</formula>
    </cfRule>
    <cfRule type="cellIs" dxfId="663" priority="11" operator="lessThan">
      <formula>0.8</formula>
    </cfRule>
  </conditionalFormatting>
  <conditionalFormatting sqref="R55 AC55">
    <cfRule type="cellIs" dxfId="662" priority="13" operator="lessThan">
      <formula>0.8</formula>
    </cfRule>
  </conditionalFormatting>
  <conditionalFormatting sqref="P8">
    <cfRule type="cellIs" dxfId="661" priority="8" operator="lessThan">
      <formula>0</formula>
    </cfRule>
  </conditionalFormatting>
  <conditionalFormatting sqref="P16">
    <cfRule type="cellIs" dxfId="660" priority="7" operator="lessThan">
      <formula>0</formula>
    </cfRule>
  </conditionalFormatting>
  <conditionalFormatting sqref="P22">
    <cfRule type="cellIs" dxfId="659" priority="6" operator="lessThan">
      <formula>0</formula>
    </cfRule>
  </conditionalFormatting>
  <conditionalFormatting sqref="P29">
    <cfRule type="cellIs" dxfId="658" priority="5" operator="lessThan">
      <formula>0</formula>
    </cfRule>
  </conditionalFormatting>
  <conditionalFormatting sqref="P46">
    <cfRule type="cellIs" dxfId="657" priority="4" operator="lessThan">
      <formula>0</formula>
    </cfRule>
  </conditionalFormatting>
  <conditionalFormatting sqref="P53">
    <cfRule type="cellIs" dxfId="656" priority="3" operator="lessThan">
      <formula>0</formula>
    </cfRule>
  </conditionalFormatting>
  <conditionalFormatting sqref="P60">
    <cfRule type="cellIs" dxfId="655" priority="2" operator="lessThan">
      <formula>0</formula>
    </cfRule>
  </conditionalFormatting>
  <conditionalFormatting sqref="P66">
    <cfRule type="cellIs" dxfId="654" priority="1" operator="lessThan">
      <formula>0</formula>
    </cfRule>
  </conditionalFormatting>
  <dataValidations count="1">
    <dataValidation type="list" allowBlank="1" showInputMessage="1" showErrorMessage="1" sqref="Z8 Z58:Z59 Y5:Z7 Y8:Y59 Z10:Z54 Y60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B1:Q28"/>
  <sheetViews>
    <sheetView zoomScale="70" zoomScaleNormal="70" workbookViewId="0">
      <selection activeCell="A3" sqref="A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857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217" t="s">
        <v>858</v>
      </c>
      <c r="C3" s="493" t="str">
        <f>TEXT('0912 4度C'!A2,"yyyy.mm.ddaaaa")</f>
        <v>2025.09.12星期五</v>
      </c>
      <c r="D3" s="493"/>
      <c r="E3" s="217" t="s">
        <v>859</v>
      </c>
      <c r="F3" s="494">
        <f>'0912 4度C'!D1</f>
        <v>134348</v>
      </c>
      <c r="G3" s="494"/>
      <c r="H3" s="217" t="s">
        <v>860</v>
      </c>
      <c r="I3" s="495">
        <f>'0912 4度C'!F1</f>
        <v>4572248.9600000009</v>
      </c>
      <c r="J3" s="495"/>
      <c r="K3" s="45"/>
      <c r="L3" s="46"/>
      <c r="M3" s="47"/>
      <c r="N3" s="47"/>
    </row>
    <row r="4" spans="2:17" ht="28.5" customHeight="1">
      <c r="B4" s="496" t="s">
        <v>861</v>
      </c>
      <c r="C4" s="496" t="s">
        <v>862</v>
      </c>
      <c r="D4" s="496"/>
      <c r="E4" s="497" t="s">
        <v>863</v>
      </c>
      <c r="F4" s="497"/>
      <c r="G4" s="497" t="s">
        <v>864</v>
      </c>
      <c r="H4" s="497"/>
      <c r="I4" s="497" t="s">
        <v>865</v>
      </c>
      <c r="J4" s="497"/>
      <c r="L4" s="47"/>
      <c r="M4" s="47"/>
      <c r="N4" s="47"/>
    </row>
    <row r="5" spans="2:17" ht="28.5" customHeight="1">
      <c r="B5" s="496"/>
      <c r="C5" s="496" t="s">
        <v>866</v>
      </c>
      <c r="D5" s="496"/>
      <c r="E5" s="496" t="s">
        <v>867</v>
      </c>
      <c r="F5" s="496"/>
      <c r="G5" s="498" t="s">
        <v>868</v>
      </c>
      <c r="H5" s="498"/>
      <c r="I5" s="499" t="s">
        <v>869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147.37706442051083</v>
      </c>
      <c r="F6" s="496">
        <f>AVERAGE(D27:O27,D13:J13)</f>
        <v>151.75876953817047</v>
      </c>
      <c r="G6" s="501">
        <f>AVERAGE(D13:J13)</f>
        <v>151.75876953817047</v>
      </c>
      <c r="H6" s="501"/>
      <c r="I6" s="501">
        <f>AVERAGE(K13:M13)</f>
        <v>137.15308581263832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139.84154954483034</v>
      </c>
      <c r="F7" s="506">
        <f>AVERAGE(D28:O28,D14:J14)</f>
        <v>144.64930614390633</v>
      </c>
      <c r="G7" s="507">
        <f>AVERAGE(D14:J14)</f>
        <v>144.64930614390633</v>
      </c>
      <c r="H7" s="507"/>
      <c r="I7" s="507">
        <f>AVERAGE(K14:M14)</f>
        <v>128.62345081365308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0.94741628479958173</v>
      </c>
      <c r="F8" s="504">
        <f>AVERAGE(D15:J15,D29:O29)</f>
        <v>0.95161688576503856</v>
      </c>
      <c r="G8" s="509">
        <f>AVERAGE(D15:J15)</f>
        <v>0.95161688576503856</v>
      </c>
      <c r="H8" s="509"/>
      <c r="I8" s="509">
        <f>AVERAGE(K15:M15)</f>
        <v>0.93761488254684933</v>
      </c>
      <c r="J8" s="509"/>
      <c r="K8" s="48" t="s">
        <v>870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871</v>
      </c>
      <c r="C10" s="414"/>
      <c r="D10" s="415" t="s">
        <v>872</v>
      </c>
      <c r="E10" s="416"/>
      <c r="F10" s="416"/>
      <c r="G10" s="416"/>
      <c r="H10" s="416"/>
      <c r="I10" s="416"/>
      <c r="J10" s="417"/>
      <c r="K10" s="389" t="s">
        <v>873</v>
      </c>
      <c r="L10" s="390"/>
      <c r="M10" s="391"/>
      <c r="P10" s="51"/>
      <c r="Q10" s="51"/>
    </row>
    <row r="11" spans="2:17" ht="17.25" customHeight="1">
      <c r="B11" s="503" t="s">
        <v>874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875</v>
      </c>
      <c r="C13" s="58" t="s">
        <v>876</v>
      </c>
      <c r="D13" s="59">
        <f>SUMIFS('0912 4度C'!$K:$K,'0912 4度C'!$A:$A,"新豐6線",'0912 4度C'!$B:$B,"平均")</f>
        <v>125</v>
      </c>
      <c r="E13" s="60">
        <f>SUMIFS('0912 4度C'!$K:$K,'0912 4度C'!$A:$A,"新豐2線",'0912 4度C'!$B:$B,"平均")</f>
        <v>83.333333333333329</v>
      </c>
      <c r="F13" s="61">
        <f>SUMIFS('0912 4度C'!$K:$K,'0912 4度C'!$A:$A,"新豐5線",'0912 4度C'!$B:$B,"平均")</f>
        <v>90.909090909090907</v>
      </c>
      <c r="G13" s="61">
        <f>SUMIFS('0912 4度C'!$K:$K,'0912 4度C'!$A:$A,"新豐7線",'0912 4度C'!$B:$B,"平均")</f>
        <v>120.48192771084337</v>
      </c>
      <c r="H13" s="61">
        <f>SUMIFS('0912 4度C'!$K:$K,'0912 4度C'!$A:$A,"新豐3線",'0912 4度C'!$B:$B,"平均")</f>
        <v>306.12244897959181</v>
      </c>
      <c r="I13" s="61">
        <f>SUMIFS('0912 4度C'!$K:$K,'0912 4度C'!$A:$A,"新豐1線",'0912 4度C'!$B:$B,"平均")</f>
        <v>117.34693877551021</v>
      </c>
      <c r="J13" s="62">
        <f>SUMIFS('0912 4度C'!$K:$K,'0912 4度C'!$A:$A,"新豐10線",'0912 4度C'!$B:$B,"平均")</f>
        <v>219.11764705882354</v>
      </c>
      <c r="K13" s="63">
        <f>SUMIFS('0912 4度C'!$K:$K,'0912 4度C'!$A:$A,"新豐8線",'0912 4度C'!$B:$B,"平均")</f>
        <v>134.4</v>
      </c>
      <c r="L13" s="64">
        <f>SUMIFS('0912 4度C'!$K:$K,'0912 4度C'!$A:$A,"新豐9線",'0912 4度C'!$B:$B,"平均")</f>
        <v>130.12048192771084</v>
      </c>
      <c r="M13" s="62">
        <f>SUMIFS('0912 4度C'!$K:$K,'0912 4度C'!$A:$A,"新豐4線",'0912 4度C'!$B:$B,"平均")</f>
        <v>146.9387755102041</v>
      </c>
    </row>
    <row r="14" spans="2:17" ht="39.6" customHeight="1">
      <c r="B14" s="515"/>
      <c r="C14" s="65" t="s">
        <v>877</v>
      </c>
      <c r="D14" s="66">
        <f>SUMIFS('0912 4度C'!$N:$N,'0912 4度C'!$A:$A,"新豐6線",'0912 4度C'!$B:$B,"平均")</f>
        <v>119.0870098039215</v>
      </c>
      <c r="E14" s="67">
        <f>SUMIFS('0912 4度C'!$N:$N,'0912 4度C'!$A:$A,"新豐2線",'0912 4度C'!$B:$B,"平均")</f>
        <v>78.787891448254086</v>
      </c>
      <c r="F14" s="67">
        <f>SUMIFS('0912 4度C'!$N:$N,'0912 4度C'!$A:$A,"新豐5線",'0912 4度C'!$B:$B,"平均")</f>
        <v>86.253343521905933</v>
      </c>
      <c r="G14" s="67">
        <f>SUMIFS('0912 4度C'!$N:$N,'0912 4度C'!$A:$A,"新豐7線",'0912 4度C'!$B:$B,"平均")</f>
        <v>115.14512595837905</v>
      </c>
      <c r="H14" s="67">
        <f>SUMIFS('0912 4度C'!$N:$N,'0912 4度C'!$A:$A,"新豐3線",'0912 4度C'!$B:$B,"平均")</f>
        <v>292.63875547662309</v>
      </c>
      <c r="I14" s="67">
        <f>SUMIFS('0912 4度C'!$N:$N,'0912 4度C'!$A:$A,"新豐1線",'0912 4度C'!$B:$B,"平均")</f>
        <v>111.02409054204632</v>
      </c>
      <c r="J14" s="68">
        <f>SUMIFS('0912 4度C'!$N:$N,'0912 4度C'!$A:$A,"新豐10線",'0912 4度C'!$B:$B,"平均")</f>
        <v>209.60892625621435</v>
      </c>
      <c r="K14" s="69">
        <f>SUMIFS('0912 4度C'!$N:$N,'0912 4度C'!$A:$A,"新豐8線",'0912 4度C'!$B:$B,"平均")</f>
        <v>122.34938946335177</v>
      </c>
      <c r="L14" s="70">
        <f>SUMIFS('0912 4度C'!$N:$N,'0912 4度C'!$A:$A,"新豐9線",'0912 4度C'!$B:$B,"平均")</f>
        <v>124.02989979715817</v>
      </c>
      <c r="M14" s="68">
        <f>SUMIFS('0912 4度C'!$N:$N,'0912 4度C'!$A:$A,"新豐4線",'0912 4度C'!$B:$B,"平均")</f>
        <v>139.49106318044929</v>
      </c>
    </row>
    <row r="15" spans="2:17" ht="40.15" customHeight="1">
      <c r="B15" s="515"/>
      <c r="C15" s="71" t="s">
        <v>878</v>
      </c>
      <c r="D15" s="72">
        <f t="shared" ref="D15:M15" si="0">D14/D13</f>
        <v>0.95269607843137205</v>
      </c>
      <c r="E15" s="73">
        <f t="shared" si="0"/>
        <v>0.94545469737904908</v>
      </c>
      <c r="F15" s="73">
        <f t="shared" si="0"/>
        <v>0.94878677874096529</v>
      </c>
      <c r="G15" s="73">
        <f t="shared" si="0"/>
        <v>0.95570454545454619</v>
      </c>
      <c r="H15" s="73">
        <f t="shared" si="0"/>
        <v>0.95595326789030222</v>
      </c>
      <c r="I15" s="73">
        <f t="shared" si="0"/>
        <v>0.94611833679309032</v>
      </c>
      <c r="J15" s="74">
        <f t="shared" si="0"/>
        <v>0.95660449566594463</v>
      </c>
      <c r="K15" s="72">
        <f t="shared" si="0"/>
        <v>0.9103377192213673</v>
      </c>
      <c r="L15" s="73">
        <f t="shared" si="0"/>
        <v>0.95319274844112301</v>
      </c>
      <c r="M15" s="74">
        <f t="shared" si="0"/>
        <v>0.94931417997805756</v>
      </c>
    </row>
    <row r="16" spans="2:17" ht="17.25" customHeight="1">
      <c r="B16" s="502" t="s">
        <v>879</v>
      </c>
      <c r="C16" s="216" t="s">
        <v>880</v>
      </c>
      <c r="D16" s="76">
        <f>VLOOKUP("新豐6線",'0912 4度C'!$A:$T,19,0)</f>
        <v>0.70833333333333337</v>
      </c>
      <c r="E16" s="28">
        <f>VLOOKUP("新豐2線",'0912 4度C'!$A:$T,19,0)</f>
        <v>0.125</v>
      </c>
      <c r="F16" s="28">
        <f>VLOOKUP("新豐5線",'0912 4度C'!$A:$T,19,0)</f>
        <v>0.20833333333333334</v>
      </c>
      <c r="G16" s="28">
        <f>VLOOKUP("新豐7線",'0912 4度C'!$A:$T,19,0)</f>
        <v>0.20833333333333334</v>
      </c>
      <c r="H16" s="28">
        <f>VLOOKUP("新豐3線",'0912 4度C'!$A:$T,19,0)</f>
        <v>0.20833333333333334</v>
      </c>
      <c r="I16" s="28">
        <f>VLOOKUP("新豐1線",'0912 4度C'!$A:$T,19,0)</f>
        <v>0.25</v>
      </c>
      <c r="J16" s="77">
        <f>VLOOKUP("新豐10線",'0912 4度C'!$A:$T,19,0)</f>
        <v>0.16666666666666666</v>
      </c>
      <c r="K16" s="78">
        <f>VLOOKUP("新豐8線",'0912 4度C'!$A:$T,19,0)</f>
        <v>0.16666666666666666</v>
      </c>
      <c r="L16" s="79">
        <f>VLOOKUP("新豐9線",'0912 4度C'!$A:$T,19,0)</f>
        <v>0.125</v>
      </c>
      <c r="M16" s="80">
        <f>VLOOKUP("新豐4線",'0912 4度C'!$A:$T,19,0)</f>
        <v>0.125</v>
      </c>
    </row>
    <row r="17" spans="2:13" ht="17.25" customHeight="1">
      <c r="B17" s="503"/>
      <c r="C17" s="216" t="s">
        <v>881</v>
      </c>
      <c r="D17" s="78">
        <f>LOOKUP(2,1/(('0912 4度C'!$A:$A="新豐6線")*('0912 4度C'!$T:$T&lt;&gt;"")),'0912 4度C'!$T:$T)</f>
        <v>0.80902777777777779</v>
      </c>
      <c r="E17" s="28">
        <f>LOOKUP(2,1/(('0912 4度C'!$A:$A="新豐2線")*('0912 4度C'!$T:$T&lt;&gt;"")),'0912 4度C'!$T:$T)</f>
        <v>0.41041666666666665</v>
      </c>
      <c r="F17" s="28">
        <f>LOOKUP(2,1/(('0912 4度C'!$A:$A="新豐5線")*('0912 4度C'!$T:$T&lt;&gt;"")),'0912 4度C'!$T:$T)</f>
        <v>0.81666666666666676</v>
      </c>
      <c r="G17" s="28">
        <f>LOOKUP(2,1/(('0912 4度C'!$A:$A="新豐7線")*('0912 4度C'!$T:$T&lt;&gt;"")),'0912 4度C'!$T:$T)</f>
        <v>0.77500000000000002</v>
      </c>
      <c r="H17" s="28">
        <f>LOOKUP(2,1/(('0912 4度C'!$A:$A="新豐3線")*('0912 4度C'!$T:$T&lt;&gt;"")),'0912 4度C'!$T:$T)</f>
        <v>0.5743055555555554</v>
      </c>
      <c r="I17" s="28">
        <f>LOOKUP(2,1/(('0912 4度C'!$A:$A="新豐1線")*('0912 4度C'!$T:$T&lt;&gt;"")),'0912 4度C'!$T:$T)</f>
        <v>0.82430555555555551</v>
      </c>
      <c r="J17" s="77">
        <f>LOOKUP(2,1/(('0912 4度C'!$A:$A="新豐10線")*('0912 4度C'!$T:$T&lt;&gt;"")),'0912 4度C'!$T:$T)</f>
        <v>0.40624999999999989</v>
      </c>
      <c r="K17" s="76">
        <f>LOOKUP(2,1/(('0912 4度C'!$A:$A="新豐8線")*('0912 4度C'!$T:$T&lt;&gt;"")),'0912 4度C'!$T:$T)</f>
        <v>0.65069444444444435</v>
      </c>
      <c r="L17" s="28">
        <f>LOOKUP(2,1/(('0912 4度C'!$A:$A="新豐9線")*('0912 4度C'!$T:$T&lt;&gt;"")),'0912 4度C'!$T:$T)</f>
        <v>0.58194444444444415</v>
      </c>
      <c r="M17" s="77">
        <f>LOOKUP(2,1/(('0912 4度C'!$A:$A="新豐4線")*('0912 4度C'!$T:$T&lt;&gt;"")),'0912 4度C'!$T:$T)</f>
        <v>0.54166666666666663</v>
      </c>
    </row>
    <row r="18" spans="2:13" ht="17.25" customHeight="1">
      <c r="B18" s="503" t="s">
        <v>882</v>
      </c>
      <c r="C18" s="514"/>
      <c r="D18" s="81">
        <f>SUMIFS('0912 4度C'!$I:$I,'0912 4度C'!$A:$A,"新豐6線",'0912 4度C'!$B:$B,"平均")</f>
        <v>16</v>
      </c>
      <c r="E18" s="82">
        <f>SUMIFS('0912 4度C'!$I:$I,'0912 4度C'!$A:$A,"新豐2線",'0912 4度C'!$B:$B,"平均")</f>
        <v>18</v>
      </c>
      <c r="F18" s="82">
        <f>SUMIFS('0912 4度C'!$I:$I,'0912 4度C'!$A:$A,"新豐5線",'0912 4度C'!$B:$B,"平均")</f>
        <v>19.25</v>
      </c>
      <c r="G18" s="82">
        <f>SUMIFS('0912 4度C'!$I:$I,'0912 4度C'!$A:$A,"新豐7線",'0912 4度C'!$B:$B,"平均")</f>
        <v>16.600000000000001</v>
      </c>
      <c r="H18" s="82">
        <f>SUMIFS('0912 4度C'!$I:$I,'0912 4度C'!$A:$A,"新豐3線",'0912 4度C'!$B:$B,"平均")</f>
        <v>9.8000000000000007</v>
      </c>
      <c r="I18" s="82">
        <f>SUMIFS('0912 4度C'!$I:$I,'0912 4度C'!$A:$A,"新豐1線",'0912 4度C'!$B:$B,"平均")</f>
        <v>16.333333333333332</v>
      </c>
      <c r="J18" s="83">
        <f>SUMIFS('0912 4度C'!$I:$I,'0912 4度C'!$A:$A,"新豐10線",'0912 4度C'!$B:$B,"平均")</f>
        <v>11.333333333333334</v>
      </c>
      <c r="K18" s="81">
        <f>SUMIFS('0912 4度C'!$I:$I,'0912 4度C'!$A:$A,"新豐8線",'0912 4度C'!$B:$B,"平均")</f>
        <v>17.857142857142858</v>
      </c>
      <c r="L18" s="82">
        <f>SUMIFS('0912 4度C'!$I:$I,'0912 4度C'!$A:$A,"新豐9線",'0912 4度C'!$B:$B,"平均")</f>
        <v>18.444444444444443</v>
      </c>
      <c r="M18" s="83">
        <f>SUMIFS('0912 4度C'!$I:$I,'0912 4度C'!$A:$A,"新豐4線",'0912 4度C'!$B:$B,"平均")</f>
        <v>16.333333333333332</v>
      </c>
    </row>
    <row r="19" spans="2:13" ht="17.25" customHeight="1">
      <c r="B19" s="510" t="s">
        <v>883</v>
      </c>
      <c r="C19" s="511"/>
      <c r="D19" s="84" t="s">
        <v>148</v>
      </c>
      <c r="E19" s="85" t="s">
        <v>149</v>
      </c>
      <c r="F19" s="85" t="s">
        <v>884</v>
      </c>
      <c r="G19" s="85" t="s">
        <v>884</v>
      </c>
      <c r="H19" s="85" t="s">
        <v>151</v>
      </c>
      <c r="I19" s="85" t="s">
        <v>148</v>
      </c>
      <c r="J19" s="86" t="s">
        <v>151</v>
      </c>
      <c r="K19" s="84" t="s">
        <v>885</v>
      </c>
      <c r="L19" s="85" t="s">
        <v>885</v>
      </c>
      <c r="M19" s="86" t="s">
        <v>885</v>
      </c>
    </row>
    <row r="20" spans="2:13" ht="17.25" customHeight="1">
      <c r="B20" s="510" t="s">
        <v>886</v>
      </c>
      <c r="C20" s="511"/>
      <c r="D20" s="84"/>
      <c r="E20" s="85"/>
      <c r="F20" s="85" t="s">
        <v>887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888</v>
      </c>
      <c r="C21" s="513"/>
      <c r="D21" s="87"/>
      <c r="E21" s="88" t="s">
        <v>889</v>
      </c>
      <c r="F21" s="387" t="s">
        <v>890</v>
      </c>
      <c r="G21" s="388"/>
      <c r="H21" s="88" t="s">
        <v>891</v>
      </c>
      <c r="I21" s="88" t="s">
        <v>892</v>
      </c>
      <c r="J21" s="89" t="s">
        <v>891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65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>
    <pageSetUpPr fitToPage="1"/>
  </sheetPr>
  <dimension ref="A1:AC73"/>
  <sheetViews>
    <sheetView zoomScale="80" zoomScaleNormal="80" workbookViewId="0">
      <pane ySplit="4" topLeftCell="A35" activePane="bottomLeft" state="frozen"/>
      <selection activeCell="AO33" activeCellId="2" sqref="AO26 AO28:AO31 AO33:AO3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206</v>
      </c>
      <c r="B1" s="1"/>
      <c r="C1" s="2" t="s">
        <v>893</v>
      </c>
      <c r="D1" s="3">
        <f>SUM(F5:F72)</f>
        <v>134348</v>
      </c>
      <c r="E1" s="218" t="s">
        <v>894</v>
      </c>
      <c r="F1" s="1">
        <f>SUM(G5:G72)</f>
        <v>4572248.9600000009</v>
      </c>
      <c r="G1" s="1" t="s">
        <v>895</v>
      </c>
      <c r="H1" s="38">
        <f>L11+L16+L51+L58+L22+L65+L77+L40+L30+L72+L8</f>
        <v>159.9515873015873</v>
      </c>
      <c r="I1" s="482" t="s">
        <v>896</v>
      </c>
      <c r="J1" s="482"/>
      <c r="K1" s="482"/>
      <c r="L1" s="482" t="s">
        <v>897</v>
      </c>
      <c r="M1" s="482"/>
      <c r="N1" s="482"/>
      <c r="O1" s="482" t="s">
        <v>898</v>
      </c>
      <c r="P1" s="482"/>
      <c r="Q1" s="482"/>
      <c r="R1" s="482"/>
      <c r="S1" s="482" t="s">
        <v>899</v>
      </c>
      <c r="T1" s="482"/>
      <c r="U1" s="482"/>
      <c r="V1" s="482"/>
      <c r="W1" s="482"/>
      <c r="X1" s="482"/>
      <c r="Y1" s="482" t="s">
        <v>900</v>
      </c>
      <c r="Z1" s="482"/>
      <c r="AA1" s="482" t="s">
        <v>901</v>
      </c>
      <c r="AB1" s="483"/>
      <c r="AC1" s="483"/>
    </row>
    <row r="2" spans="1:29" ht="26.25" customHeight="1">
      <c r="A2" s="24">
        <v>45912</v>
      </c>
      <c r="B2" s="25" t="s">
        <v>1009</v>
      </c>
      <c r="C2" s="2" t="s">
        <v>902</v>
      </c>
      <c r="D2" s="6">
        <f>AVERAGE(N8,N11,N51,N58,N16,N65,N22,N30,N40,N72)</f>
        <v>139.84154954483034</v>
      </c>
      <c r="E2" s="7" t="s">
        <v>11</v>
      </c>
      <c r="F2" s="8">
        <f>F1/D1</f>
        <v>34.032877005984467</v>
      </c>
      <c r="G2" s="1" t="s">
        <v>903</v>
      </c>
      <c r="H2" s="344">
        <f>COUNT(H5:H72)</f>
        <v>9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904</v>
      </c>
      <c r="B3" s="443" t="s">
        <v>905</v>
      </c>
      <c r="C3" s="443" t="s">
        <v>906</v>
      </c>
      <c r="D3" s="443"/>
      <c r="E3" s="484" t="s">
        <v>907</v>
      </c>
      <c r="F3" s="443" t="s">
        <v>216</v>
      </c>
      <c r="G3" s="484" t="s">
        <v>908</v>
      </c>
      <c r="H3" s="487" t="s">
        <v>909</v>
      </c>
      <c r="I3" s="474" t="s">
        <v>910</v>
      </c>
      <c r="J3" s="479" t="s">
        <v>911</v>
      </c>
      <c r="K3" s="481" t="s">
        <v>10</v>
      </c>
      <c r="L3" s="474" t="s">
        <v>910</v>
      </c>
      <c r="M3" s="479" t="s">
        <v>911</v>
      </c>
      <c r="N3" s="481" t="s">
        <v>902</v>
      </c>
      <c r="O3" s="474" t="s">
        <v>910</v>
      </c>
      <c r="P3" s="481" t="s">
        <v>10</v>
      </c>
      <c r="Q3" s="480" t="s">
        <v>912</v>
      </c>
      <c r="R3" s="451" t="s">
        <v>913</v>
      </c>
      <c r="S3" s="486" t="s">
        <v>25</v>
      </c>
      <c r="T3" s="486"/>
      <c r="U3" s="476" t="s">
        <v>26</v>
      </c>
      <c r="V3" s="476" t="s">
        <v>914</v>
      </c>
      <c r="W3" s="443" t="s">
        <v>915</v>
      </c>
      <c r="X3" s="443"/>
      <c r="Y3" s="477" t="s">
        <v>916</v>
      </c>
      <c r="Z3" s="478"/>
      <c r="AA3" s="479" t="s">
        <v>917</v>
      </c>
      <c r="AB3" s="480" t="s">
        <v>918</v>
      </c>
      <c r="AC3" s="451" t="s">
        <v>919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28" t="s">
        <v>31</v>
      </c>
      <c r="T4" s="228" t="s">
        <v>32</v>
      </c>
      <c r="U4" s="476"/>
      <c r="V4" s="476"/>
      <c r="W4" s="218" t="s">
        <v>920</v>
      </c>
      <c r="X4" s="218" t="s">
        <v>921</v>
      </c>
      <c r="Y4" s="478"/>
      <c r="Z4" s="478"/>
      <c r="AA4" s="479"/>
      <c r="AB4" s="480"/>
      <c r="AC4" s="451"/>
    </row>
    <row r="5" spans="1:29">
      <c r="A5" s="473" t="s">
        <v>922</v>
      </c>
      <c r="B5" s="31" t="s">
        <v>58</v>
      </c>
      <c r="C5" s="475" t="s">
        <v>104</v>
      </c>
      <c r="D5" s="475"/>
      <c r="E5" s="31">
        <v>46.93</v>
      </c>
      <c r="F5" s="228">
        <v>753</v>
      </c>
      <c r="G5" s="218">
        <f>E5*F5</f>
        <v>35338.29</v>
      </c>
      <c r="H5" s="229" t="s">
        <v>103</v>
      </c>
      <c r="I5" s="226">
        <v>16</v>
      </c>
      <c r="J5" s="26">
        <v>2000</v>
      </c>
      <c r="K5" s="10">
        <f>J5/I5</f>
        <v>125</v>
      </c>
      <c r="L5" s="226">
        <v>16</v>
      </c>
      <c r="M5" s="11">
        <f>F5/V5*60</f>
        <v>1882.4999999999943</v>
      </c>
      <c r="N5" s="10">
        <f>M5/L5</f>
        <v>117.65624999999964</v>
      </c>
      <c r="O5" s="12">
        <f t="shared" ref="O5:O7" si="0">L5-I5</f>
        <v>0</v>
      </c>
      <c r="P5" s="13">
        <f t="shared" ref="P5:P7" si="1">N5-K5</f>
        <v>-7.3437500000003553</v>
      </c>
      <c r="Q5" s="220">
        <f>N5/K5</f>
        <v>0.94124999999999714</v>
      </c>
      <c r="R5" s="442">
        <f>Q8</f>
        <v>0.95269607843137205</v>
      </c>
      <c r="S5" s="28">
        <v>0.70833333333333337</v>
      </c>
      <c r="T5" s="28">
        <v>0.72500000000000009</v>
      </c>
      <c r="U5" s="218"/>
      <c r="V5" s="227">
        <f>(T5-S5)*24*60</f>
        <v>24.000000000000075</v>
      </c>
      <c r="W5" s="16"/>
      <c r="X5" s="17"/>
      <c r="Y5" s="443"/>
      <c r="Z5" s="443"/>
      <c r="AA5" s="12">
        <f t="shared" ref="AA5:AA68" si="2">M5-J5</f>
        <v>-117.50000000000568</v>
      </c>
      <c r="AB5" s="220">
        <f t="shared" ref="AB5:AB7" si="3">M5/J5</f>
        <v>0.94124999999999714</v>
      </c>
      <c r="AC5" s="442">
        <f>AB8</f>
        <v>0.95269607843137205</v>
      </c>
    </row>
    <row r="6" spans="1:29">
      <c r="A6" s="474" t="s">
        <v>35</v>
      </c>
      <c r="B6" s="31" t="s">
        <v>58</v>
      </c>
      <c r="C6" s="475" t="s">
        <v>105</v>
      </c>
      <c r="D6" s="475"/>
      <c r="E6" s="31">
        <v>50.49</v>
      </c>
      <c r="F6" s="228">
        <v>1785</v>
      </c>
      <c r="G6" s="218">
        <f t="shared" ref="G6:G7" si="4">E6*F6</f>
        <v>90124.650000000009</v>
      </c>
      <c r="H6" s="229" t="s">
        <v>103</v>
      </c>
      <c r="I6" s="226">
        <v>15</v>
      </c>
      <c r="J6" s="26">
        <v>2000</v>
      </c>
      <c r="K6" s="10">
        <f t="shared" ref="K6:K7" si="5">J6/I6</f>
        <v>133.33333333333334</v>
      </c>
      <c r="L6" s="226">
        <v>15</v>
      </c>
      <c r="M6" s="11">
        <f>F6/V6*60</f>
        <v>1912.5000000000016</v>
      </c>
      <c r="N6" s="10">
        <f t="shared" ref="N6:N7" si="6">M6/L6</f>
        <v>127.5000000000001</v>
      </c>
      <c r="O6" s="12">
        <f t="shared" si="0"/>
        <v>0</v>
      </c>
      <c r="P6" s="13">
        <f t="shared" si="1"/>
        <v>-5.8333333333332433</v>
      </c>
      <c r="Q6" s="220">
        <f t="shared" ref="Q6:Q7" si="7">N6/K6</f>
        <v>0.95625000000000071</v>
      </c>
      <c r="R6" s="442"/>
      <c r="S6" s="28">
        <v>0.72916666666666674</v>
      </c>
      <c r="T6" s="28">
        <v>0.7680555555555556</v>
      </c>
      <c r="U6" s="218">
        <f>(S6-T5)*24*60</f>
        <v>5.9999999999999787</v>
      </c>
      <c r="V6" s="227">
        <f>(T6-S6)*24*60</f>
        <v>55.999999999999957</v>
      </c>
      <c r="W6" s="16"/>
      <c r="X6" s="16"/>
      <c r="Y6" s="443"/>
      <c r="Z6" s="443"/>
      <c r="AA6" s="12">
        <f t="shared" si="2"/>
        <v>-87.499999999998408</v>
      </c>
      <c r="AB6" s="220">
        <f t="shared" si="3"/>
        <v>0.95625000000000082</v>
      </c>
      <c r="AC6" s="442"/>
    </row>
    <row r="7" spans="1:29">
      <c r="A7" s="474" t="s">
        <v>35</v>
      </c>
      <c r="B7" s="31" t="s">
        <v>58</v>
      </c>
      <c r="C7" s="471" t="s">
        <v>106</v>
      </c>
      <c r="D7" s="472"/>
      <c r="E7" s="31">
        <v>50.67</v>
      </c>
      <c r="F7" s="228">
        <v>1633</v>
      </c>
      <c r="G7" s="218">
        <f t="shared" si="4"/>
        <v>82744.11</v>
      </c>
      <c r="H7" s="229" t="s">
        <v>103</v>
      </c>
      <c r="I7" s="226">
        <v>17</v>
      </c>
      <c r="J7" s="26">
        <v>2000</v>
      </c>
      <c r="K7" s="10">
        <f t="shared" si="5"/>
        <v>117.64705882352941</v>
      </c>
      <c r="L7" s="226">
        <v>17</v>
      </c>
      <c r="M7" s="11">
        <f t="shared" ref="M7" si="8">F7/V7*60</f>
        <v>1921.176470588236</v>
      </c>
      <c r="N7" s="10">
        <f t="shared" si="6"/>
        <v>113.01038062283742</v>
      </c>
      <c r="O7" s="12">
        <f t="shared" si="0"/>
        <v>0</v>
      </c>
      <c r="P7" s="13">
        <f t="shared" si="1"/>
        <v>-4.6366782006919891</v>
      </c>
      <c r="Q7" s="220">
        <f t="shared" si="7"/>
        <v>0.96058823529411808</v>
      </c>
      <c r="R7" s="442"/>
      <c r="S7" s="28">
        <v>0.77361111111111114</v>
      </c>
      <c r="T7" s="28">
        <v>0.80902777777777779</v>
      </c>
      <c r="U7" s="218">
        <f t="shared" ref="U7" si="9">(S7-T6)*24*60</f>
        <v>7.9999999999999716</v>
      </c>
      <c r="V7" s="227">
        <f t="shared" ref="V7" si="10">(T7-S7)*24*60</f>
        <v>50.999999999999979</v>
      </c>
      <c r="W7" s="16"/>
      <c r="X7" s="16"/>
      <c r="Y7" s="447"/>
      <c r="Z7" s="448"/>
      <c r="AA7" s="12">
        <f t="shared" si="2"/>
        <v>-78.823529411763957</v>
      </c>
      <c r="AB7" s="220">
        <f t="shared" si="3"/>
        <v>0.96058823529411808</v>
      </c>
      <c r="AC7" s="442"/>
    </row>
    <row r="8" spans="1:29">
      <c r="A8" s="474" t="s">
        <v>35</v>
      </c>
      <c r="B8" s="31" t="s">
        <v>39</v>
      </c>
      <c r="C8" s="446"/>
      <c r="D8" s="446"/>
      <c r="E8" s="219"/>
      <c r="F8" s="33"/>
      <c r="G8" s="10"/>
      <c r="H8" s="228"/>
      <c r="I8" s="19">
        <v>16</v>
      </c>
      <c r="J8" s="26">
        <v>2000</v>
      </c>
      <c r="K8" s="10">
        <f>J8/I8</f>
        <v>125</v>
      </c>
      <c r="L8" s="19">
        <v>16</v>
      </c>
      <c r="M8" s="11">
        <f>AVERAGE(M5:M7)</f>
        <v>1905.3921568627441</v>
      </c>
      <c r="N8" s="10">
        <f>M8/L8</f>
        <v>119.0870098039215</v>
      </c>
      <c r="O8" s="12">
        <f>L8-I8</f>
        <v>0</v>
      </c>
      <c r="P8" s="13">
        <f>N8-K8</f>
        <v>-5.9129901960784963</v>
      </c>
      <c r="Q8" s="220">
        <f>N8/K8</f>
        <v>0.95269607843137205</v>
      </c>
      <c r="R8" s="442"/>
      <c r="S8" s="28"/>
      <c r="T8" s="28"/>
      <c r="U8" s="218"/>
      <c r="V8" s="227"/>
      <c r="W8" s="10"/>
      <c r="X8" s="10"/>
      <c r="Y8" s="443"/>
      <c r="Z8" s="443"/>
      <c r="AA8" s="12">
        <f t="shared" si="2"/>
        <v>-94.607843137255941</v>
      </c>
      <c r="AB8" s="220">
        <f>M8/J8</f>
        <v>0.95269607843137205</v>
      </c>
      <c r="AC8" s="442"/>
    </row>
    <row r="9" spans="1:29" ht="15.75" customHeight="1">
      <c r="A9" s="439" t="s">
        <v>37</v>
      </c>
      <c r="B9" s="31" t="s">
        <v>53</v>
      </c>
      <c r="C9" s="471" t="s">
        <v>107</v>
      </c>
      <c r="D9" s="472"/>
      <c r="E9" s="31">
        <v>39.619999999999997</v>
      </c>
      <c r="F9" s="228">
        <v>3809</v>
      </c>
      <c r="G9" s="218">
        <f t="shared" ref="G9:G10" si="11">E9*F9</f>
        <v>150912.57999999999</v>
      </c>
      <c r="H9" s="229" t="s">
        <v>103</v>
      </c>
      <c r="I9" s="226">
        <v>19</v>
      </c>
      <c r="J9" s="26">
        <v>1500</v>
      </c>
      <c r="K9" s="10">
        <f t="shared" ref="K9:K10" si="12">J9/I9</f>
        <v>78.94736842105263</v>
      </c>
      <c r="L9" s="226">
        <v>19</v>
      </c>
      <c r="M9" s="11">
        <f t="shared" ref="M9:M10" si="13">F9/V9*60</f>
        <v>1419.5031055900622</v>
      </c>
      <c r="N9" s="10">
        <f t="shared" ref="N9:N10" si="14">M9/L9</f>
        <v>74.710689767898018</v>
      </c>
      <c r="O9" s="12">
        <f t="shared" ref="O9:O10" si="15">L9-I9</f>
        <v>0</v>
      </c>
      <c r="P9" s="13">
        <f>N9-K9</f>
        <v>-4.2366786531546126</v>
      </c>
      <c r="Q9" s="220">
        <f>N9/K9</f>
        <v>0.94633540372670821</v>
      </c>
      <c r="R9" s="442">
        <f>Q11</f>
        <v>0.94545469737904908</v>
      </c>
      <c r="S9" s="28">
        <v>0.125</v>
      </c>
      <c r="T9" s="28">
        <v>0.23680555555555555</v>
      </c>
      <c r="U9" s="218"/>
      <c r="V9" s="227">
        <f t="shared" ref="V9:V10" si="16">(T9-S9)*24*60</f>
        <v>161</v>
      </c>
      <c r="W9" s="16">
        <f>T9</f>
        <v>0.23680555555555555</v>
      </c>
      <c r="X9" s="16">
        <f>S10</f>
        <v>0.25555555555555554</v>
      </c>
      <c r="Y9" s="443"/>
      <c r="Z9" s="443"/>
      <c r="AA9" s="12">
        <f t="shared" si="2"/>
        <v>-80.496894409937795</v>
      </c>
      <c r="AB9" s="220">
        <f>M9/J9</f>
        <v>0.9463354037267081</v>
      </c>
      <c r="AC9" s="442">
        <f>AB11</f>
        <v>0.94545469737904897</v>
      </c>
    </row>
    <row r="10" spans="1:29" ht="15.75" customHeight="1">
      <c r="A10" s="439" t="s">
        <v>37</v>
      </c>
      <c r="B10" s="31" t="s">
        <v>53</v>
      </c>
      <c r="C10" s="471" t="s">
        <v>54</v>
      </c>
      <c r="D10" s="472"/>
      <c r="E10" s="31">
        <v>39.799999999999997</v>
      </c>
      <c r="F10" s="228">
        <v>5266</v>
      </c>
      <c r="G10" s="218">
        <f t="shared" si="11"/>
        <v>209586.8</v>
      </c>
      <c r="H10" s="229" t="s">
        <v>103</v>
      </c>
      <c r="I10" s="226">
        <v>17</v>
      </c>
      <c r="J10" s="26">
        <v>1500</v>
      </c>
      <c r="K10" s="10">
        <f t="shared" si="12"/>
        <v>88.235294117647058</v>
      </c>
      <c r="L10" s="226">
        <v>17</v>
      </c>
      <c r="M10" s="11">
        <f t="shared" si="13"/>
        <v>1416.8609865470851</v>
      </c>
      <c r="N10" s="10">
        <f t="shared" si="14"/>
        <v>83.344763914534411</v>
      </c>
      <c r="O10" s="12">
        <f t="shared" si="15"/>
        <v>0</v>
      </c>
      <c r="P10" s="13">
        <f t="shared" ref="P10" si="17">N10-K10</f>
        <v>-4.8905302031126467</v>
      </c>
      <c r="Q10" s="220">
        <f t="shared" ref="Q10" si="18">N10/K10</f>
        <v>0.94457399103138995</v>
      </c>
      <c r="R10" s="442"/>
      <c r="S10" s="28">
        <v>0.25555555555555554</v>
      </c>
      <c r="T10" s="28">
        <v>0.41041666666666665</v>
      </c>
      <c r="U10" s="218">
        <f>(S10-T9)*24*60</f>
        <v>26.999999999999986</v>
      </c>
      <c r="V10" s="227">
        <f t="shared" si="16"/>
        <v>223</v>
      </c>
      <c r="W10" s="16"/>
      <c r="X10" s="16"/>
      <c r="Y10" s="443"/>
      <c r="Z10" s="443"/>
      <c r="AA10" s="12">
        <f t="shared" si="2"/>
        <v>-83.139013452914924</v>
      </c>
      <c r="AB10" s="220">
        <f t="shared" ref="AB10:AB22" si="19">M10/J10</f>
        <v>0.94457399103139006</v>
      </c>
      <c r="AC10" s="442"/>
    </row>
    <row r="11" spans="1:29" ht="16.5" customHeight="1">
      <c r="A11" s="439" t="s">
        <v>37</v>
      </c>
      <c r="B11" s="31" t="s">
        <v>39</v>
      </c>
      <c r="C11" s="446"/>
      <c r="D11" s="446"/>
      <c r="E11" s="219"/>
      <c r="F11" s="26"/>
      <c r="G11" s="11"/>
      <c r="H11" s="228"/>
      <c r="I11" s="19">
        <v>18</v>
      </c>
      <c r="J11" s="26">
        <v>1500</v>
      </c>
      <c r="K11" s="10">
        <f>J11/I11</f>
        <v>83.333333333333329</v>
      </c>
      <c r="L11" s="19">
        <v>18</v>
      </c>
      <c r="M11" s="11">
        <f>AVERAGE(M9:M10)</f>
        <v>1418.1820460685735</v>
      </c>
      <c r="N11" s="10">
        <f>M11/L11</f>
        <v>78.787891448254086</v>
      </c>
      <c r="O11" s="12">
        <f>L11-I11</f>
        <v>0</v>
      </c>
      <c r="P11" s="13">
        <f>N11-K11</f>
        <v>-4.5454418850792422</v>
      </c>
      <c r="Q11" s="220">
        <f>N11/K11</f>
        <v>0.94545469737904908</v>
      </c>
      <c r="R11" s="442"/>
      <c r="S11" s="28"/>
      <c r="T11" s="28"/>
      <c r="U11" s="10"/>
      <c r="V11" s="227"/>
      <c r="W11" s="10"/>
      <c r="X11" s="10"/>
      <c r="Y11" s="443"/>
      <c r="Z11" s="443"/>
      <c r="AA11" s="12">
        <f t="shared" si="2"/>
        <v>-81.817953931426473</v>
      </c>
      <c r="AB11" s="220">
        <f t="shared" si="19"/>
        <v>0.94545469737904897</v>
      </c>
      <c r="AC11" s="442"/>
    </row>
    <row r="12" spans="1:29" ht="16.5" customHeight="1">
      <c r="A12" s="469" t="s">
        <v>40</v>
      </c>
      <c r="B12" s="228" t="s">
        <v>56</v>
      </c>
      <c r="C12" s="464" t="s">
        <v>57</v>
      </c>
      <c r="D12" s="464"/>
      <c r="E12" s="31">
        <v>41</v>
      </c>
      <c r="F12" s="228">
        <v>1609</v>
      </c>
      <c r="G12" s="218">
        <f t="shared" ref="G12:G15" si="20">E12*F12</f>
        <v>65969</v>
      </c>
      <c r="H12" s="229" t="s">
        <v>103</v>
      </c>
      <c r="I12" s="226">
        <v>26</v>
      </c>
      <c r="J12" s="26">
        <v>1500</v>
      </c>
      <c r="K12" s="10">
        <f>J12/I12</f>
        <v>57.692307692307693</v>
      </c>
      <c r="L12" s="226">
        <v>26</v>
      </c>
      <c r="M12" s="11">
        <f>F12/V12*60</f>
        <v>1419.7058823529421</v>
      </c>
      <c r="N12" s="10">
        <f t="shared" ref="N12:N21" si="21">M12/L12</f>
        <v>54.604072398190084</v>
      </c>
      <c r="O12" s="12">
        <f t="shared" ref="O12" si="22">L12-I12</f>
        <v>0</v>
      </c>
      <c r="P12" s="13">
        <f t="shared" ref="P12" si="23">N12-K12</f>
        <v>-3.0882352941176094</v>
      </c>
      <c r="Q12" s="220">
        <f>N12/K12</f>
        <v>0.94647058823529473</v>
      </c>
      <c r="R12" s="442">
        <f>Q16</f>
        <v>0.94878677874096529</v>
      </c>
      <c r="S12" s="28">
        <v>0.20833333333333334</v>
      </c>
      <c r="T12" s="28">
        <v>0.25555555555555554</v>
      </c>
      <c r="U12" s="218"/>
      <c r="V12" s="227">
        <f>(T12-S12)*24*60</f>
        <v>67.999999999999957</v>
      </c>
      <c r="W12" s="18"/>
      <c r="X12" s="18"/>
      <c r="Y12" s="443"/>
      <c r="Z12" s="443"/>
      <c r="AA12" s="12">
        <f t="shared" si="2"/>
        <v>-80.294117647057874</v>
      </c>
      <c r="AB12" s="220">
        <f t="shared" si="19"/>
        <v>0.94647058823529473</v>
      </c>
      <c r="AC12" s="442">
        <f>AB16</f>
        <v>0.94878677874096529</v>
      </c>
    </row>
    <row r="13" spans="1:29" ht="16.5" customHeight="1">
      <c r="A13" s="470" t="s">
        <v>40</v>
      </c>
      <c r="B13" s="228" t="s">
        <v>53</v>
      </c>
      <c r="C13" s="464" t="s">
        <v>163</v>
      </c>
      <c r="D13" s="464"/>
      <c r="E13" s="31">
        <v>39.36</v>
      </c>
      <c r="F13" s="228">
        <v>4079</v>
      </c>
      <c r="G13" s="218">
        <f t="shared" si="20"/>
        <v>160549.44</v>
      </c>
      <c r="H13" s="229" t="s">
        <v>103</v>
      </c>
      <c r="I13" s="226">
        <v>20</v>
      </c>
      <c r="J13" s="26">
        <v>1500</v>
      </c>
      <c r="K13" s="10">
        <f>J13/I13</f>
        <v>75</v>
      </c>
      <c r="L13" s="226">
        <v>20</v>
      </c>
      <c r="M13" s="11">
        <f>F13/V13*60</f>
        <v>1414.6820809248554</v>
      </c>
      <c r="N13" s="10">
        <f t="shared" si="21"/>
        <v>70.734104046242777</v>
      </c>
      <c r="O13" s="12">
        <f>L13-I13</f>
        <v>0</v>
      </c>
      <c r="P13" s="13">
        <f>N13-K13</f>
        <v>-4.265895953757223</v>
      </c>
      <c r="Q13" s="220">
        <f>N13/K13</f>
        <v>0.94312138728323702</v>
      </c>
      <c r="R13" s="442"/>
      <c r="S13" s="28">
        <v>0.26111111111111107</v>
      </c>
      <c r="T13" s="28">
        <v>0.38124999999999998</v>
      </c>
      <c r="U13" s="218">
        <f>IF(S13=TIME(17,0,0),"",(S13-T12)*24*60)</f>
        <v>7.9999999999999716</v>
      </c>
      <c r="V13" s="227">
        <f>(T13-S13)*24*60</f>
        <v>173.00000000000003</v>
      </c>
      <c r="W13" s="16"/>
      <c r="X13" s="16"/>
      <c r="Y13" s="443"/>
      <c r="Z13" s="443"/>
      <c r="AA13" s="12">
        <f t="shared" si="2"/>
        <v>-85.317919075144573</v>
      </c>
      <c r="AB13" s="220">
        <f t="shared" si="19"/>
        <v>0.94312138728323691</v>
      </c>
      <c r="AC13" s="442"/>
    </row>
    <row r="14" spans="1:29" ht="16.5" customHeight="1">
      <c r="A14" s="470" t="s">
        <v>40</v>
      </c>
      <c r="B14" s="228" t="s">
        <v>58</v>
      </c>
      <c r="C14" s="464" t="s">
        <v>59</v>
      </c>
      <c r="D14" s="464"/>
      <c r="E14" s="31">
        <v>50.98</v>
      </c>
      <c r="F14" s="228">
        <v>2344</v>
      </c>
      <c r="G14" s="218">
        <f t="shared" si="20"/>
        <v>119497.12</v>
      </c>
      <c r="H14" s="229" t="s">
        <v>103</v>
      </c>
      <c r="I14" s="226">
        <v>16</v>
      </c>
      <c r="J14" s="26">
        <v>2000</v>
      </c>
      <c r="K14" s="10">
        <f t="shared" ref="K14:K15" si="24">J14/I14</f>
        <v>125</v>
      </c>
      <c r="L14" s="226">
        <v>16</v>
      </c>
      <c r="M14" s="11">
        <f t="shared" ref="M14:M15" si="25">F14/V14*60</f>
        <v>1900.540540540539</v>
      </c>
      <c r="N14" s="10">
        <f t="shared" si="21"/>
        <v>118.78378378378369</v>
      </c>
      <c r="O14" s="12">
        <f t="shared" ref="O14:O15" si="26">L14-I14</f>
        <v>0</v>
      </c>
      <c r="P14" s="13">
        <f t="shared" ref="P14:P15" si="27">N14-K14</f>
        <v>-6.2162162162163099</v>
      </c>
      <c r="Q14" s="220">
        <f t="shared" ref="Q14:Q21" si="28">N14/K14</f>
        <v>0.95027027027026956</v>
      </c>
      <c r="R14" s="442"/>
      <c r="S14" s="28">
        <v>0.70833333333333337</v>
      </c>
      <c r="T14" s="28">
        <v>0.7597222222222223</v>
      </c>
      <c r="U14" s="218" t="str">
        <f t="shared" ref="U14:U15" si="29">IF(S14=TIME(17,0,0),"",(S14-T13)*24*60)</f>
        <v/>
      </c>
      <c r="V14" s="227">
        <f t="shared" ref="V14:V15" si="30">(T14-S14)*24*60</f>
        <v>74.000000000000057</v>
      </c>
      <c r="W14" s="16"/>
      <c r="X14" s="16"/>
      <c r="Y14" s="443"/>
      <c r="Z14" s="443"/>
      <c r="AA14" s="12">
        <f t="shared" si="2"/>
        <v>-99.459459459460959</v>
      </c>
      <c r="AB14" s="220">
        <f t="shared" si="19"/>
        <v>0.95027027027026956</v>
      </c>
      <c r="AC14" s="442"/>
    </row>
    <row r="15" spans="1:29" ht="16.149999999999999" customHeight="1">
      <c r="A15" s="470" t="s">
        <v>40</v>
      </c>
      <c r="B15" s="228" t="s">
        <v>58</v>
      </c>
      <c r="C15" s="464" t="s">
        <v>60</v>
      </c>
      <c r="D15" s="464"/>
      <c r="E15" s="31">
        <v>50.92</v>
      </c>
      <c r="F15" s="228">
        <v>2415</v>
      </c>
      <c r="G15" s="218">
        <f t="shared" si="20"/>
        <v>122971.8</v>
      </c>
      <c r="H15" s="229" t="s">
        <v>103</v>
      </c>
      <c r="I15" s="226">
        <v>15</v>
      </c>
      <c r="J15" s="26">
        <v>2000</v>
      </c>
      <c r="K15" s="10">
        <f t="shared" si="24"/>
        <v>133.33333333333334</v>
      </c>
      <c r="L15" s="226">
        <v>15</v>
      </c>
      <c r="M15" s="11">
        <f t="shared" si="25"/>
        <v>1906.5789473684197</v>
      </c>
      <c r="N15" s="10">
        <f t="shared" si="21"/>
        <v>127.10526315789464</v>
      </c>
      <c r="O15" s="12">
        <f t="shared" si="26"/>
        <v>0</v>
      </c>
      <c r="P15" s="13">
        <f t="shared" si="27"/>
        <v>-6.2280701754387024</v>
      </c>
      <c r="Q15" s="220">
        <f t="shared" si="28"/>
        <v>0.95328947368420969</v>
      </c>
      <c r="R15" s="442"/>
      <c r="S15" s="28">
        <v>0.76388888888888895</v>
      </c>
      <c r="T15" s="28">
        <v>0.81666666666666676</v>
      </c>
      <c r="U15" s="218">
        <f t="shared" si="29"/>
        <v>5.9999999999999787</v>
      </c>
      <c r="V15" s="227">
        <f t="shared" si="30"/>
        <v>76.000000000000057</v>
      </c>
      <c r="W15" s="16"/>
      <c r="X15" s="16"/>
      <c r="Y15" s="443"/>
      <c r="Z15" s="443"/>
      <c r="AA15" s="12">
        <f t="shared" si="2"/>
        <v>-93.421052631580324</v>
      </c>
      <c r="AB15" s="220">
        <f t="shared" si="19"/>
        <v>0.9532894736842098</v>
      </c>
      <c r="AC15" s="442"/>
    </row>
    <row r="16" spans="1:29" ht="16.5" customHeight="1">
      <c r="A16" s="470" t="s">
        <v>40</v>
      </c>
      <c r="B16" s="31" t="s">
        <v>39</v>
      </c>
      <c r="C16" s="446"/>
      <c r="D16" s="446"/>
      <c r="E16" s="219"/>
      <c r="F16" s="33"/>
      <c r="G16" s="10"/>
      <c r="H16" s="228"/>
      <c r="I16" s="19">
        <v>19.25</v>
      </c>
      <c r="J16" s="26">
        <v>1750</v>
      </c>
      <c r="K16" s="10">
        <f>J16/I16</f>
        <v>90.909090909090907</v>
      </c>
      <c r="L16" s="19">
        <v>19.25</v>
      </c>
      <c r="M16" s="11">
        <f>AVERAGE(M12:M15)</f>
        <v>1660.3768627966892</v>
      </c>
      <c r="N16" s="10">
        <f t="shared" si="21"/>
        <v>86.253343521905933</v>
      </c>
      <c r="O16" s="12">
        <f>L16-I16</f>
        <v>0</v>
      </c>
      <c r="P16" s="13">
        <f>N16-K16</f>
        <v>-4.6557473871849737</v>
      </c>
      <c r="Q16" s="220">
        <f t="shared" si="28"/>
        <v>0.94878677874096529</v>
      </c>
      <c r="R16" s="442"/>
      <c r="S16" s="28"/>
      <c r="T16" s="28"/>
      <c r="U16" s="218"/>
      <c r="V16" s="227"/>
      <c r="W16" s="10"/>
      <c r="X16" s="10"/>
      <c r="Y16" s="443"/>
      <c r="Z16" s="443"/>
      <c r="AA16" s="12">
        <f t="shared" si="2"/>
        <v>-89.623137203310762</v>
      </c>
      <c r="AB16" s="220">
        <f t="shared" si="19"/>
        <v>0.94878677874096529</v>
      </c>
      <c r="AC16" s="442"/>
    </row>
    <row r="17" spans="1:29" ht="15.75" customHeight="1">
      <c r="A17" s="467" t="s">
        <v>923</v>
      </c>
      <c r="B17" s="31" t="s">
        <v>56</v>
      </c>
      <c r="C17" s="464" t="s">
        <v>61</v>
      </c>
      <c r="D17" s="464"/>
      <c r="E17" s="31">
        <v>43.14</v>
      </c>
      <c r="F17" s="228">
        <v>1020</v>
      </c>
      <c r="G17" s="218">
        <f t="shared" ref="G17:G21" si="31">E17*F17</f>
        <v>44002.8</v>
      </c>
      <c r="H17" s="229" t="s">
        <v>103</v>
      </c>
      <c r="I17" s="226">
        <v>17</v>
      </c>
      <c r="J17" s="26">
        <v>2000</v>
      </c>
      <c r="K17" s="10">
        <f t="shared" ref="K17:K22" si="32">J17/I17</f>
        <v>117.64705882352941</v>
      </c>
      <c r="L17" s="226">
        <v>17</v>
      </c>
      <c r="M17" s="11">
        <f t="shared" ref="M17:M21" si="33">F17/V17*60</f>
        <v>1912.4999999999995</v>
      </c>
      <c r="N17" s="10">
        <f t="shared" si="21"/>
        <v>112.49999999999997</v>
      </c>
      <c r="O17" s="12">
        <f t="shared" ref="O17:O21" si="34">L17-I17</f>
        <v>0</v>
      </c>
      <c r="P17" s="13">
        <f t="shared" ref="P17:P21" si="35">N17-K17</f>
        <v>-5.1470588235294343</v>
      </c>
      <c r="Q17" s="220">
        <f t="shared" si="28"/>
        <v>0.95624999999999982</v>
      </c>
      <c r="R17" s="442">
        <f>Q22</f>
        <v>0.95570454545454619</v>
      </c>
      <c r="S17" s="28">
        <v>0.20833333333333334</v>
      </c>
      <c r="T17" s="28">
        <v>0.23055555555555557</v>
      </c>
      <c r="U17" s="218"/>
      <c r="V17" s="227">
        <f>(T17-S17)*24*60</f>
        <v>32.000000000000007</v>
      </c>
      <c r="W17" s="18"/>
      <c r="X17" s="18"/>
      <c r="Y17" s="443"/>
      <c r="Z17" s="443"/>
      <c r="AA17" s="12">
        <f t="shared" si="2"/>
        <v>-87.500000000000455</v>
      </c>
      <c r="AB17" s="220">
        <f t="shared" si="19"/>
        <v>0.95624999999999982</v>
      </c>
      <c r="AC17" s="442">
        <f>AB22</f>
        <v>0.95570454545454619</v>
      </c>
    </row>
    <row r="18" spans="1:29" ht="15.75" customHeight="1">
      <c r="A18" s="468" t="s">
        <v>923</v>
      </c>
      <c r="B18" s="31" t="s">
        <v>58</v>
      </c>
      <c r="C18" s="464" t="s">
        <v>62</v>
      </c>
      <c r="D18" s="464"/>
      <c r="E18" s="31">
        <v>57.73</v>
      </c>
      <c r="F18" s="228">
        <v>2084</v>
      </c>
      <c r="G18" s="218">
        <f t="shared" si="31"/>
        <v>120309.31999999999</v>
      </c>
      <c r="H18" s="229" t="s">
        <v>103</v>
      </c>
      <c r="I18" s="226">
        <v>15</v>
      </c>
      <c r="J18" s="26">
        <v>2000</v>
      </c>
      <c r="K18" s="10">
        <f t="shared" si="32"/>
        <v>133.33333333333334</v>
      </c>
      <c r="L18" s="226">
        <v>15</v>
      </c>
      <c r="M18" s="11">
        <f t="shared" si="33"/>
        <v>1894.5454545454554</v>
      </c>
      <c r="N18" s="10">
        <f t="shared" si="21"/>
        <v>126.30303030303035</v>
      </c>
      <c r="O18" s="12">
        <f t="shared" si="34"/>
        <v>0</v>
      </c>
      <c r="P18" s="13">
        <f t="shared" si="35"/>
        <v>-7.0303030303029885</v>
      </c>
      <c r="Q18" s="220">
        <f t="shared" si="28"/>
        <v>0.9472727272727276</v>
      </c>
      <c r="R18" s="442"/>
      <c r="S18" s="28">
        <v>0.23541666666666669</v>
      </c>
      <c r="T18" s="28">
        <v>0.28125</v>
      </c>
      <c r="U18" s="218">
        <f>IF(S18=TIME(17,0,0),"",(S18-T17)*24*60)</f>
        <v>7.0000000000000151</v>
      </c>
      <c r="V18" s="227">
        <f t="shared" ref="V18:V21" si="36">(T18-S18)*24*60</f>
        <v>65.999999999999972</v>
      </c>
      <c r="W18" s="16"/>
      <c r="X18" s="218"/>
      <c r="Y18" s="443"/>
      <c r="Z18" s="443"/>
      <c r="AA18" s="12">
        <f t="shared" si="2"/>
        <v>-105.45454545454459</v>
      </c>
      <c r="AB18" s="220">
        <f t="shared" si="19"/>
        <v>0.94727272727272771</v>
      </c>
      <c r="AC18" s="442"/>
    </row>
    <row r="19" spans="1:29" ht="15.75" customHeight="1">
      <c r="A19" s="468" t="s">
        <v>923</v>
      </c>
      <c r="B19" s="31" t="s">
        <v>58</v>
      </c>
      <c r="C19" s="464" t="s">
        <v>63</v>
      </c>
      <c r="D19" s="464"/>
      <c r="E19" s="31">
        <v>53.68</v>
      </c>
      <c r="F19" s="228">
        <v>1425</v>
      </c>
      <c r="G19" s="218">
        <f t="shared" si="31"/>
        <v>76494</v>
      </c>
      <c r="H19" s="229" t="s">
        <v>103</v>
      </c>
      <c r="I19" s="226">
        <v>16</v>
      </c>
      <c r="J19" s="26">
        <v>2000</v>
      </c>
      <c r="K19" s="10">
        <f t="shared" si="32"/>
        <v>125</v>
      </c>
      <c r="L19" s="226">
        <v>16</v>
      </c>
      <c r="M19" s="11">
        <f t="shared" si="33"/>
        <v>1900</v>
      </c>
      <c r="N19" s="10">
        <f t="shared" si="21"/>
        <v>118.75</v>
      </c>
      <c r="O19" s="12">
        <f t="shared" si="34"/>
        <v>0</v>
      </c>
      <c r="P19" s="13">
        <f t="shared" si="35"/>
        <v>-6.25</v>
      </c>
      <c r="Q19" s="220">
        <f t="shared" si="28"/>
        <v>0.95</v>
      </c>
      <c r="R19" s="442"/>
      <c r="S19" s="28">
        <v>0.28680555555555554</v>
      </c>
      <c r="T19" s="28">
        <v>0.31805555555555554</v>
      </c>
      <c r="U19" s="218">
        <f t="shared" ref="U19:U21" si="37">IF(S19=TIME(17,0,0),"",(S19-T18)*24*60)</f>
        <v>7.9999999999999716</v>
      </c>
      <c r="V19" s="227">
        <f t="shared" si="36"/>
        <v>45</v>
      </c>
      <c r="W19" s="16"/>
      <c r="X19" s="218"/>
      <c r="Y19" s="443"/>
      <c r="Z19" s="443"/>
      <c r="AA19" s="12">
        <f t="shared" si="2"/>
        <v>-100</v>
      </c>
      <c r="AB19" s="220">
        <f t="shared" si="19"/>
        <v>0.95</v>
      </c>
      <c r="AC19" s="442"/>
    </row>
    <row r="20" spans="1:29" ht="15.75" customHeight="1">
      <c r="A20" s="468" t="s">
        <v>923</v>
      </c>
      <c r="B20" s="31" t="s">
        <v>58</v>
      </c>
      <c r="C20" s="464" t="s">
        <v>65</v>
      </c>
      <c r="D20" s="464"/>
      <c r="E20" s="31">
        <v>54.09</v>
      </c>
      <c r="F20" s="228">
        <v>2455</v>
      </c>
      <c r="G20" s="218">
        <f t="shared" si="31"/>
        <v>132790.95000000001</v>
      </c>
      <c r="H20" s="229" t="s">
        <v>103</v>
      </c>
      <c r="I20" s="226">
        <v>19</v>
      </c>
      <c r="J20" s="26">
        <v>2000</v>
      </c>
      <c r="K20" s="10">
        <f t="shared" si="32"/>
        <v>105.26315789473684</v>
      </c>
      <c r="L20" s="226">
        <v>19</v>
      </c>
      <c r="M20" s="11">
        <f t="shared" si="33"/>
        <v>1888.4615384615374</v>
      </c>
      <c r="N20" s="10">
        <f t="shared" si="21"/>
        <v>99.392712550607229</v>
      </c>
      <c r="O20" s="12">
        <f t="shared" si="34"/>
        <v>0</v>
      </c>
      <c r="P20" s="13">
        <f t="shared" si="35"/>
        <v>-5.8704453441296067</v>
      </c>
      <c r="Q20" s="220">
        <f t="shared" si="28"/>
        <v>0.94423076923076876</v>
      </c>
      <c r="R20" s="442"/>
      <c r="S20" s="28">
        <v>0.70833333333333337</v>
      </c>
      <c r="T20" s="28">
        <v>0.76250000000000007</v>
      </c>
      <c r="U20" s="218" t="str">
        <f t="shared" si="37"/>
        <v/>
      </c>
      <c r="V20" s="227">
        <f t="shared" si="36"/>
        <v>78.000000000000043</v>
      </c>
      <c r="W20" s="16"/>
      <c r="X20" s="218"/>
      <c r="Y20" s="443"/>
      <c r="Z20" s="443"/>
      <c r="AA20" s="12">
        <f t="shared" si="2"/>
        <v>-111.53846153846257</v>
      </c>
      <c r="AB20" s="220">
        <f t="shared" si="19"/>
        <v>0.94423076923076876</v>
      </c>
      <c r="AC20" s="442"/>
    </row>
    <row r="21" spans="1:29" ht="15.75" customHeight="1">
      <c r="A21" s="468" t="s">
        <v>41</v>
      </c>
      <c r="B21" s="31" t="s">
        <v>58</v>
      </c>
      <c r="C21" s="464" t="s">
        <v>66</v>
      </c>
      <c r="D21" s="464"/>
      <c r="E21" s="31">
        <v>53.27</v>
      </c>
      <c r="F21" s="228">
        <v>425</v>
      </c>
      <c r="G21" s="218">
        <f t="shared" si="31"/>
        <v>22639.75</v>
      </c>
      <c r="H21" s="229" t="s">
        <v>103</v>
      </c>
      <c r="I21" s="226">
        <v>15</v>
      </c>
      <c r="J21" s="26">
        <v>2000</v>
      </c>
      <c r="K21" s="10">
        <f t="shared" si="32"/>
        <v>133.33333333333334</v>
      </c>
      <c r="L21" s="226">
        <v>15</v>
      </c>
      <c r="M21" s="11">
        <f t="shared" si="33"/>
        <v>1961.5384615384685</v>
      </c>
      <c r="N21" s="10">
        <f t="shared" si="21"/>
        <v>130.76923076923123</v>
      </c>
      <c r="O21" s="12">
        <f t="shared" si="34"/>
        <v>0</v>
      </c>
      <c r="P21" s="13">
        <f t="shared" si="35"/>
        <v>-2.5641025641021145</v>
      </c>
      <c r="Q21" s="220">
        <f t="shared" si="28"/>
        <v>0.98076923076923417</v>
      </c>
      <c r="R21" s="442"/>
      <c r="S21" s="28">
        <v>0.76597222222222228</v>
      </c>
      <c r="T21" s="28">
        <v>0.77500000000000002</v>
      </c>
      <c r="U21" s="218">
        <f t="shared" si="37"/>
        <v>4.9999999999999822</v>
      </c>
      <c r="V21" s="227">
        <f t="shared" si="36"/>
        <v>12.999999999999954</v>
      </c>
      <c r="W21" s="16"/>
      <c r="X21" s="218"/>
      <c r="Y21" s="443"/>
      <c r="Z21" s="443"/>
      <c r="AA21" s="12">
        <f t="shared" si="2"/>
        <v>-38.461538461531518</v>
      </c>
      <c r="AB21" s="220">
        <f t="shared" si="19"/>
        <v>0.98076923076923428</v>
      </c>
      <c r="AC21" s="442"/>
    </row>
    <row r="22" spans="1:29" ht="15.75" customHeight="1">
      <c r="A22" s="468" t="s">
        <v>41</v>
      </c>
      <c r="B22" s="31" t="s">
        <v>39</v>
      </c>
      <c r="C22" s="446"/>
      <c r="D22" s="446"/>
      <c r="E22" s="219"/>
      <c r="F22" s="228"/>
      <c r="G22" s="218"/>
      <c r="H22" s="228"/>
      <c r="I22" s="19">
        <v>16.600000000000001</v>
      </c>
      <c r="J22" s="26">
        <v>2000</v>
      </c>
      <c r="K22" s="10">
        <f t="shared" si="32"/>
        <v>120.48192771084337</v>
      </c>
      <c r="L22" s="19">
        <v>16.600000000000001</v>
      </c>
      <c r="M22" s="11">
        <f>AVERAGE(M17:M21)</f>
        <v>1911.4090909090924</v>
      </c>
      <c r="N22" s="10">
        <f>M22/L22</f>
        <v>115.14512595837905</v>
      </c>
      <c r="O22" s="12">
        <f>L22-I22</f>
        <v>0</v>
      </c>
      <c r="P22" s="13">
        <f>N22-K22</f>
        <v>-5.3368017524643108</v>
      </c>
      <c r="Q22" s="220">
        <f>N22/K22</f>
        <v>0.95570454545454619</v>
      </c>
      <c r="R22" s="442"/>
      <c r="S22" s="28"/>
      <c r="T22" s="28"/>
      <c r="U22" s="10"/>
      <c r="V22" s="227"/>
      <c r="W22" s="10"/>
      <c r="X22" s="10"/>
      <c r="Y22" s="443"/>
      <c r="Z22" s="443"/>
      <c r="AA22" s="12">
        <f t="shared" si="2"/>
        <v>-88.590909090907644</v>
      </c>
      <c r="AB22" s="220">
        <f t="shared" si="19"/>
        <v>0.95570454545454619</v>
      </c>
      <c r="AC22" s="442"/>
    </row>
    <row r="23" spans="1:29" ht="15.75" customHeight="1">
      <c r="A23" s="463" t="s">
        <v>924</v>
      </c>
      <c r="B23" s="31" t="s">
        <v>67</v>
      </c>
      <c r="C23" s="464" t="s">
        <v>68</v>
      </c>
      <c r="D23" s="464"/>
      <c r="E23" s="31">
        <v>26.2</v>
      </c>
      <c r="F23" s="228">
        <v>3455</v>
      </c>
      <c r="G23" s="218">
        <f t="shared" ref="G23:G29" si="38">E23*F23</f>
        <v>90521</v>
      </c>
      <c r="H23" s="229" t="s">
        <v>103</v>
      </c>
      <c r="I23" s="226">
        <v>20</v>
      </c>
      <c r="J23" s="26">
        <v>2400</v>
      </c>
      <c r="K23" s="10">
        <f>J23/I23</f>
        <v>120</v>
      </c>
      <c r="L23" s="226">
        <v>20</v>
      </c>
      <c r="M23" s="11">
        <f t="shared" ref="M23:M29" si="39">F23/V23*60</f>
        <v>2278.0219780219777</v>
      </c>
      <c r="N23" s="10">
        <f t="shared" ref="N23:N29" si="40">M23/L23</f>
        <v>113.90109890109889</v>
      </c>
      <c r="O23" s="12">
        <f t="shared" ref="O23:O29" si="41">L23-I23</f>
        <v>0</v>
      </c>
      <c r="P23" s="13">
        <f t="shared" ref="P23:P29" si="42">N23-K23</f>
        <v>-6.0989010989011092</v>
      </c>
      <c r="Q23" s="220">
        <f t="shared" ref="Q23:Q29" si="43">N23/K23</f>
        <v>0.94917582417582413</v>
      </c>
      <c r="R23" s="442">
        <f>Q30</f>
        <v>0.9103377192213673</v>
      </c>
      <c r="S23" s="28">
        <v>0.16666666666666666</v>
      </c>
      <c r="T23" s="28">
        <v>0.2298611111111111</v>
      </c>
      <c r="U23" s="218"/>
      <c r="V23" s="227">
        <f t="shared" ref="V23:V29" si="44">(T23-S23)*24*60</f>
        <v>91</v>
      </c>
      <c r="W23" s="16">
        <f>T23</f>
        <v>0.2298611111111111</v>
      </c>
      <c r="X23" s="16">
        <f>S24</f>
        <v>0.24791666666666665</v>
      </c>
      <c r="Y23" s="443"/>
      <c r="Z23" s="443"/>
      <c r="AA23" s="12">
        <f t="shared" si="2"/>
        <v>-121.9780219780223</v>
      </c>
      <c r="AB23" s="220">
        <f>M23/J23</f>
        <v>0.94917582417582402</v>
      </c>
      <c r="AC23" s="442">
        <f>AB30</f>
        <v>0.91033771922136741</v>
      </c>
    </row>
    <row r="24" spans="1:29" ht="15.75" customHeight="1">
      <c r="A24" s="463" t="s">
        <v>924</v>
      </c>
      <c r="B24" s="31" t="s">
        <v>67</v>
      </c>
      <c r="C24" s="464" t="s">
        <v>69</v>
      </c>
      <c r="D24" s="464"/>
      <c r="E24" s="31">
        <v>31.29</v>
      </c>
      <c r="F24" s="228">
        <v>2900</v>
      </c>
      <c r="G24" s="218">
        <f t="shared" si="38"/>
        <v>90741</v>
      </c>
      <c r="H24" s="229">
        <v>2</v>
      </c>
      <c r="I24" s="226">
        <v>16</v>
      </c>
      <c r="J24" s="26">
        <v>2400</v>
      </c>
      <c r="K24" s="10">
        <f t="shared" ref="K24:K30" si="45">J24/I24</f>
        <v>150</v>
      </c>
      <c r="L24" s="226">
        <v>16</v>
      </c>
      <c r="M24" s="11">
        <f t="shared" si="39"/>
        <v>2259.7402597402597</v>
      </c>
      <c r="N24" s="10">
        <f t="shared" si="40"/>
        <v>141.23376623376623</v>
      </c>
      <c r="O24" s="12">
        <f t="shared" si="41"/>
        <v>0</v>
      </c>
      <c r="P24" s="13">
        <f t="shared" si="42"/>
        <v>-8.7662337662337677</v>
      </c>
      <c r="Q24" s="220">
        <f t="shared" si="43"/>
        <v>0.94155844155844159</v>
      </c>
      <c r="R24" s="442"/>
      <c r="S24" s="28">
        <v>0.24791666666666665</v>
      </c>
      <c r="T24" s="28">
        <v>0.30138888888888887</v>
      </c>
      <c r="U24" s="218">
        <f>(S24-T23)*24*60</f>
        <v>25.999999999999986</v>
      </c>
      <c r="V24" s="227">
        <f t="shared" si="44"/>
        <v>77</v>
      </c>
      <c r="W24" s="16"/>
      <c r="X24" s="16"/>
      <c r="Y24" s="443"/>
      <c r="Z24" s="443"/>
      <c r="AA24" s="12">
        <f t="shared" si="2"/>
        <v>-140.25974025974028</v>
      </c>
      <c r="AB24" s="220">
        <f t="shared" ref="AB24:AB29" si="46">M24/J24</f>
        <v>0.94155844155844159</v>
      </c>
      <c r="AC24" s="442"/>
    </row>
    <row r="25" spans="1:29" ht="15.75" customHeight="1">
      <c r="A25" s="463" t="s">
        <v>924</v>
      </c>
      <c r="B25" s="31" t="s">
        <v>67</v>
      </c>
      <c r="C25" s="464" t="s">
        <v>70</v>
      </c>
      <c r="D25" s="464"/>
      <c r="E25" s="31">
        <v>24.25</v>
      </c>
      <c r="F25" s="228">
        <v>3085</v>
      </c>
      <c r="G25" s="218">
        <f t="shared" si="38"/>
        <v>74811.25</v>
      </c>
      <c r="H25" s="229" t="s">
        <v>103</v>
      </c>
      <c r="I25" s="226">
        <v>18</v>
      </c>
      <c r="J25" s="26">
        <v>2400</v>
      </c>
      <c r="K25" s="10">
        <f t="shared" si="45"/>
        <v>133.33333333333334</v>
      </c>
      <c r="L25" s="226">
        <v>18</v>
      </c>
      <c r="M25" s="11">
        <f t="shared" si="39"/>
        <v>2285.1851851851843</v>
      </c>
      <c r="N25" s="10">
        <f t="shared" si="40"/>
        <v>126.95473251028801</v>
      </c>
      <c r="O25" s="12">
        <f t="shared" si="41"/>
        <v>0</v>
      </c>
      <c r="P25" s="13">
        <f t="shared" si="42"/>
        <v>-6.3786008230453319</v>
      </c>
      <c r="Q25" s="220">
        <f t="shared" si="43"/>
        <v>0.95216049382716006</v>
      </c>
      <c r="R25" s="442"/>
      <c r="S25" s="28">
        <v>0.30555555555555552</v>
      </c>
      <c r="T25" s="28">
        <v>0.36180555555555555</v>
      </c>
      <c r="U25" s="218">
        <f t="shared" ref="U25:U29" si="47">(S25-T24)*24*60</f>
        <v>5.9999999999999787</v>
      </c>
      <c r="V25" s="227">
        <f t="shared" si="44"/>
        <v>81.000000000000028</v>
      </c>
      <c r="W25" s="16"/>
      <c r="X25" s="16"/>
      <c r="Y25" s="443"/>
      <c r="Z25" s="443"/>
      <c r="AA25" s="12">
        <f t="shared" si="2"/>
        <v>-114.81481481481569</v>
      </c>
      <c r="AB25" s="220">
        <f t="shared" si="46"/>
        <v>0.95216049382716017</v>
      </c>
      <c r="AC25" s="442"/>
    </row>
    <row r="26" spans="1:29" ht="15.75" customHeight="1">
      <c r="A26" s="463" t="s">
        <v>43</v>
      </c>
      <c r="B26" s="31" t="s">
        <v>67</v>
      </c>
      <c r="C26" s="464" t="s">
        <v>72</v>
      </c>
      <c r="D26" s="464"/>
      <c r="E26" s="31">
        <v>25.98</v>
      </c>
      <c r="F26" s="228">
        <v>2807</v>
      </c>
      <c r="G26" s="218">
        <f t="shared" si="38"/>
        <v>72925.86</v>
      </c>
      <c r="H26" s="229" t="s">
        <v>103</v>
      </c>
      <c r="I26" s="226">
        <v>17</v>
      </c>
      <c r="J26" s="26">
        <v>2400</v>
      </c>
      <c r="K26" s="10">
        <f t="shared" si="45"/>
        <v>141.1764705882353</v>
      </c>
      <c r="L26" s="226">
        <v>17</v>
      </c>
      <c r="M26" s="11">
        <f t="shared" si="39"/>
        <v>2275.9459459459467</v>
      </c>
      <c r="N26" s="10">
        <f t="shared" si="40"/>
        <v>133.87917329093804</v>
      </c>
      <c r="O26" s="12">
        <f t="shared" si="41"/>
        <v>0</v>
      </c>
      <c r="P26" s="13">
        <f t="shared" si="42"/>
        <v>-7.2972972972972627</v>
      </c>
      <c r="Q26" s="220">
        <f t="shared" si="43"/>
        <v>0.94831081081081103</v>
      </c>
      <c r="R26" s="442"/>
      <c r="S26" s="28">
        <v>0.3659722222222222</v>
      </c>
      <c r="T26" s="28">
        <v>0.41736111111111107</v>
      </c>
      <c r="U26" s="218">
        <f t="shared" si="47"/>
        <v>5.9999999999999787</v>
      </c>
      <c r="V26" s="227">
        <f t="shared" si="44"/>
        <v>73.999999999999972</v>
      </c>
      <c r="W26" s="16"/>
      <c r="X26" s="16"/>
      <c r="Y26" s="443"/>
      <c r="Z26" s="443"/>
      <c r="AA26" s="12">
        <f t="shared" si="2"/>
        <v>-124.05405405405327</v>
      </c>
      <c r="AB26" s="220">
        <f t="shared" si="46"/>
        <v>0.94831081081081114</v>
      </c>
      <c r="AC26" s="442"/>
    </row>
    <row r="27" spans="1:29" ht="15.75" customHeight="1">
      <c r="A27" s="463" t="s">
        <v>43</v>
      </c>
      <c r="B27" s="31" t="s">
        <v>67</v>
      </c>
      <c r="C27" s="464" t="s">
        <v>165</v>
      </c>
      <c r="D27" s="464"/>
      <c r="E27" s="31">
        <v>26.18</v>
      </c>
      <c r="F27" s="228">
        <v>4000</v>
      </c>
      <c r="G27" s="218">
        <f t="shared" si="38"/>
        <v>104720</v>
      </c>
      <c r="H27" s="229">
        <v>2</v>
      </c>
      <c r="I27" s="226">
        <v>19</v>
      </c>
      <c r="J27" s="26">
        <v>2400</v>
      </c>
      <c r="K27" s="10">
        <f t="shared" si="45"/>
        <v>126.31578947368421</v>
      </c>
      <c r="L27" s="226">
        <v>19</v>
      </c>
      <c r="M27" s="11">
        <f t="shared" si="39"/>
        <v>2264.1509433962256</v>
      </c>
      <c r="N27" s="10">
        <f t="shared" si="40"/>
        <v>119.16583912611713</v>
      </c>
      <c r="O27" s="12">
        <f t="shared" si="41"/>
        <v>0</v>
      </c>
      <c r="P27" s="13">
        <f t="shared" si="42"/>
        <v>-7.1499503475670707</v>
      </c>
      <c r="Q27" s="220">
        <f t="shared" si="43"/>
        <v>0.94339622641509402</v>
      </c>
      <c r="R27" s="442"/>
      <c r="S27" s="28">
        <v>0.42222222222222217</v>
      </c>
      <c r="T27" s="28">
        <v>0.49583333333333329</v>
      </c>
      <c r="U27" s="218">
        <f t="shared" si="47"/>
        <v>6.9999999999999751</v>
      </c>
      <c r="V27" s="227">
        <f t="shared" si="44"/>
        <v>106.00000000000003</v>
      </c>
      <c r="W27" s="16">
        <f>T27</f>
        <v>0.49583333333333329</v>
      </c>
      <c r="X27" s="16">
        <f>S28</f>
        <v>0.53541666666666665</v>
      </c>
      <c r="Y27" s="443"/>
      <c r="Z27" s="443"/>
      <c r="AA27" s="12">
        <f t="shared" si="2"/>
        <v>-135.84905660377444</v>
      </c>
      <c r="AB27" s="220">
        <f t="shared" si="46"/>
        <v>0.94339622641509402</v>
      </c>
      <c r="AC27" s="442"/>
    </row>
    <row r="28" spans="1:29" ht="15.75" customHeight="1">
      <c r="A28" s="463" t="s">
        <v>43</v>
      </c>
      <c r="B28" s="31" t="s">
        <v>67</v>
      </c>
      <c r="C28" s="464" t="s">
        <v>69</v>
      </c>
      <c r="D28" s="464"/>
      <c r="E28" s="31">
        <v>31.29</v>
      </c>
      <c r="F28" s="228">
        <v>3934</v>
      </c>
      <c r="G28" s="218">
        <f t="shared" si="38"/>
        <v>123094.86</v>
      </c>
      <c r="H28" s="229" t="s">
        <v>103</v>
      </c>
      <c r="I28" s="226">
        <v>16</v>
      </c>
      <c r="J28" s="26">
        <v>2400</v>
      </c>
      <c r="K28" s="10">
        <f t="shared" si="45"/>
        <v>150</v>
      </c>
      <c r="L28" s="226">
        <v>16</v>
      </c>
      <c r="M28" s="11">
        <f t="shared" si="39"/>
        <v>1650.6293706293711</v>
      </c>
      <c r="N28" s="10">
        <f t="shared" si="40"/>
        <v>103.1643356643357</v>
      </c>
      <c r="O28" s="12">
        <f t="shared" si="41"/>
        <v>0</v>
      </c>
      <c r="P28" s="13">
        <f t="shared" si="42"/>
        <v>-46.835664335664305</v>
      </c>
      <c r="Q28" s="220">
        <f t="shared" si="43"/>
        <v>0.68776223776223799</v>
      </c>
      <c r="R28" s="442"/>
      <c r="S28" s="28">
        <v>0.53541666666666665</v>
      </c>
      <c r="T28" s="28">
        <v>0.63472222222222219</v>
      </c>
      <c r="U28" s="218">
        <f t="shared" si="47"/>
        <v>57.000000000000036</v>
      </c>
      <c r="V28" s="227">
        <f t="shared" si="44"/>
        <v>142.99999999999997</v>
      </c>
      <c r="W28" s="16"/>
      <c r="X28" s="16"/>
      <c r="Y28" s="443"/>
      <c r="Z28" s="443"/>
      <c r="AA28" s="12">
        <f t="shared" si="2"/>
        <v>-749.37062937062888</v>
      </c>
      <c r="AB28" s="220">
        <f t="shared" si="46"/>
        <v>0.68776223776223799</v>
      </c>
      <c r="AC28" s="442"/>
    </row>
    <row r="29" spans="1:29" ht="15.75" customHeight="1">
      <c r="A29" s="463" t="s">
        <v>924</v>
      </c>
      <c r="B29" s="31" t="s">
        <v>67</v>
      </c>
      <c r="C29" s="464" t="s">
        <v>165</v>
      </c>
      <c r="D29" s="464"/>
      <c r="E29" s="31">
        <v>26.18</v>
      </c>
      <c r="F29" s="228">
        <v>646</v>
      </c>
      <c r="G29" s="218">
        <f t="shared" si="38"/>
        <v>16912.28</v>
      </c>
      <c r="H29" s="229" t="s">
        <v>103</v>
      </c>
      <c r="I29" s="226">
        <v>19</v>
      </c>
      <c r="J29" s="26">
        <v>2400</v>
      </c>
      <c r="K29" s="10">
        <f t="shared" si="45"/>
        <v>126.31578947368421</v>
      </c>
      <c r="L29" s="226">
        <v>19</v>
      </c>
      <c r="M29" s="11">
        <f t="shared" si="39"/>
        <v>2280.0000000000082</v>
      </c>
      <c r="N29" s="10">
        <f t="shared" si="40"/>
        <v>120.00000000000043</v>
      </c>
      <c r="O29" s="12">
        <f t="shared" si="41"/>
        <v>0</v>
      </c>
      <c r="P29" s="13">
        <f t="shared" si="42"/>
        <v>-6.315789473683779</v>
      </c>
      <c r="Q29" s="220">
        <f t="shared" si="43"/>
        <v>0.9500000000000034</v>
      </c>
      <c r="R29" s="442"/>
      <c r="S29" s="28">
        <v>0.63888888888888884</v>
      </c>
      <c r="T29" s="28">
        <v>0.65069444444444435</v>
      </c>
      <c r="U29" s="218">
        <f t="shared" si="47"/>
        <v>5.9999999999999787</v>
      </c>
      <c r="V29" s="227">
        <f t="shared" si="44"/>
        <v>16.99999999999994</v>
      </c>
      <c r="W29" s="16"/>
      <c r="X29" s="16"/>
      <c r="Y29" s="443"/>
      <c r="Z29" s="443"/>
      <c r="AA29" s="12">
        <f t="shared" si="2"/>
        <v>-119.99999999999181</v>
      </c>
      <c r="AB29" s="220">
        <f t="shared" si="46"/>
        <v>0.9500000000000034</v>
      </c>
      <c r="AC29" s="442"/>
    </row>
    <row r="30" spans="1:29" ht="15.75" customHeight="1">
      <c r="A30" s="463" t="s">
        <v>924</v>
      </c>
      <c r="B30" s="31" t="s">
        <v>39</v>
      </c>
      <c r="C30" s="446"/>
      <c r="D30" s="446"/>
      <c r="E30" s="219"/>
      <c r="F30" s="228"/>
      <c r="G30" s="218"/>
      <c r="H30" s="228"/>
      <c r="I30" s="19">
        <v>17.857142857142858</v>
      </c>
      <c r="J30" s="26">
        <v>2400</v>
      </c>
      <c r="K30" s="10">
        <f t="shared" si="45"/>
        <v>134.4</v>
      </c>
      <c r="L30" s="19">
        <v>17.857142857142858</v>
      </c>
      <c r="M30" s="11">
        <f>AVERAGE(M23:M29)</f>
        <v>2184.8105261312817</v>
      </c>
      <c r="N30" s="10">
        <f>M30/L30</f>
        <v>122.34938946335177</v>
      </c>
      <c r="O30" s="12">
        <f>L30-I30</f>
        <v>0</v>
      </c>
      <c r="P30" s="13">
        <f>N30-K30</f>
        <v>-12.050610536648236</v>
      </c>
      <c r="Q30" s="220">
        <f>N30/K30</f>
        <v>0.9103377192213673</v>
      </c>
      <c r="R30" s="442"/>
      <c r="S30" s="28"/>
      <c r="T30" s="28"/>
      <c r="U30" s="218"/>
      <c r="V30" s="227"/>
      <c r="W30" s="218"/>
      <c r="X30" s="218"/>
      <c r="Y30" s="443"/>
      <c r="Z30" s="443"/>
      <c r="AA30" s="12">
        <f t="shared" si="2"/>
        <v>-215.18947386871832</v>
      </c>
      <c r="AB30" s="220">
        <f>M30/J30</f>
        <v>0.91033771922136741</v>
      </c>
      <c r="AC30" s="442"/>
    </row>
    <row r="31" spans="1:29" ht="15.75" customHeight="1">
      <c r="A31" s="461" t="s">
        <v>44</v>
      </c>
      <c r="B31" s="31" t="s">
        <v>67</v>
      </c>
      <c r="C31" s="441" t="s">
        <v>73</v>
      </c>
      <c r="D31" s="441"/>
      <c r="E31" s="31">
        <v>26.2</v>
      </c>
      <c r="F31" s="228">
        <v>4995</v>
      </c>
      <c r="G31" s="218">
        <f t="shared" ref="G31:G39" si="48">E31*F31</f>
        <v>130869</v>
      </c>
      <c r="H31" s="229" t="s">
        <v>103</v>
      </c>
      <c r="I31" s="226">
        <v>18</v>
      </c>
      <c r="J31" s="26">
        <v>2400</v>
      </c>
      <c r="K31" s="10">
        <f>J31/I31</f>
        <v>133.33333333333334</v>
      </c>
      <c r="L31" s="226">
        <v>18</v>
      </c>
      <c r="M31" s="11">
        <f>F31/V31*60</f>
        <v>2270.4545454545455</v>
      </c>
      <c r="N31" s="10">
        <f>M31/L31</f>
        <v>126.13636363636364</v>
      </c>
      <c r="O31" s="12">
        <f t="shared" ref="O31:O39" si="49">L31-I31</f>
        <v>0</v>
      </c>
      <c r="P31" s="13">
        <f t="shared" ref="P31:P51" si="50">N31-K31</f>
        <v>-7.1969696969697026</v>
      </c>
      <c r="Q31" s="220">
        <f t="shared" ref="Q31:Q44" si="51">N31/K31</f>
        <v>0.94602272727272718</v>
      </c>
      <c r="R31" s="442">
        <f>Q40</f>
        <v>0.95319274844112301</v>
      </c>
      <c r="S31" s="28">
        <v>0.125</v>
      </c>
      <c r="T31" s="28">
        <v>0.21666666666666667</v>
      </c>
      <c r="U31" s="218"/>
      <c r="V31" s="227">
        <f t="shared" ref="V31:V39" si="52">(T31-S31)*24*60</f>
        <v>132</v>
      </c>
      <c r="W31" s="18">
        <f>T31</f>
        <v>0.21666666666666667</v>
      </c>
      <c r="X31" s="18">
        <f>S32</f>
        <v>0.23541666666666666</v>
      </c>
      <c r="Y31" s="443"/>
      <c r="Z31" s="443"/>
      <c r="AA31" s="12">
        <f t="shared" si="2"/>
        <v>-129.5454545454545</v>
      </c>
      <c r="AB31" s="220">
        <f>M31/J31</f>
        <v>0.94602272727272729</v>
      </c>
      <c r="AC31" s="442">
        <f>AB40</f>
        <v>0.95319274844112289</v>
      </c>
    </row>
    <row r="32" spans="1:29" ht="15.75" customHeight="1">
      <c r="A32" s="461" t="s">
        <v>925</v>
      </c>
      <c r="B32" s="31" t="s">
        <v>67</v>
      </c>
      <c r="C32" s="441" t="s">
        <v>74</v>
      </c>
      <c r="D32" s="441"/>
      <c r="E32" s="31">
        <v>24.45</v>
      </c>
      <c r="F32" s="228">
        <v>1915</v>
      </c>
      <c r="G32" s="218">
        <f t="shared" si="48"/>
        <v>46821.75</v>
      </c>
      <c r="H32" s="229" t="s">
        <v>103</v>
      </c>
      <c r="I32" s="226">
        <v>20</v>
      </c>
      <c r="J32" s="26">
        <v>2400</v>
      </c>
      <c r="K32" s="10">
        <f t="shared" ref="K32:K50" si="53">J32/I32</f>
        <v>120</v>
      </c>
      <c r="L32" s="226">
        <v>20</v>
      </c>
      <c r="M32" s="11">
        <f t="shared" ref="M32:M39" si="54">F32/V32*60</f>
        <v>2298.0000000000009</v>
      </c>
      <c r="N32" s="10">
        <f t="shared" ref="N32:N39" si="55">M32/L32</f>
        <v>114.90000000000005</v>
      </c>
      <c r="O32" s="12">
        <f t="shared" si="49"/>
        <v>0</v>
      </c>
      <c r="P32" s="13">
        <f t="shared" si="50"/>
        <v>-5.0999999999999517</v>
      </c>
      <c r="Q32" s="220">
        <f t="shared" si="51"/>
        <v>0.95750000000000035</v>
      </c>
      <c r="R32" s="442"/>
      <c r="S32" s="28">
        <v>0.23541666666666666</v>
      </c>
      <c r="T32" s="28">
        <v>0.27013888888888887</v>
      </c>
      <c r="U32" s="218">
        <f>(S32-T31)*24*60</f>
        <v>26.999999999999986</v>
      </c>
      <c r="V32" s="227">
        <f t="shared" si="52"/>
        <v>49.999999999999986</v>
      </c>
      <c r="W32" s="218"/>
      <c r="X32" s="218"/>
      <c r="Y32" s="443"/>
      <c r="Z32" s="443"/>
      <c r="AA32" s="12">
        <f t="shared" si="2"/>
        <v>-101.99999999999909</v>
      </c>
      <c r="AB32" s="220">
        <f t="shared" ref="AB32:AB65" si="56">M32/J32</f>
        <v>0.95750000000000035</v>
      </c>
      <c r="AC32" s="442"/>
    </row>
    <row r="33" spans="1:29">
      <c r="A33" s="462" t="s">
        <v>925</v>
      </c>
      <c r="B33" s="31" t="s">
        <v>67</v>
      </c>
      <c r="C33" s="441" t="s">
        <v>75</v>
      </c>
      <c r="D33" s="441"/>
      <c r="E33" s="31">
        <v>26.39</v>
      </c>
      <c r="F33" s="228">
        <v>4000</v>
      </c>
      <c r="G33" s="218">
        <f t="shared" si="48"/>
        <v>105560</v>
      </c>
      <c r="H33" s="229">
        <v>2</v>
      </c>
      <c r="I33" s="226">
        <v>19</v>
      </c>
      <c r="J33" s="26">
        <v>2400</v>
      </c>
      <c r="K33" s="10">
        <f t="shared" si="53"/>
        <v>126.31578947368421</v>
      </c>
      <c r="L33" s="226">
        <v>19</v>
      </c>
      <c r="M33" s="11">
        <f t="shared" si="54"/>
        <v>2264.1509433962256</v>
      </c>
      <c r="N33" s="10">
        <f t="shared" si="55"/>
        <v>119.16583912611713</v>
      </c>
      <c r="O33" s="12">
        <f t="shared" si="49"/>
        <v>0</v>
      </c>
      <c r="P33" s="13">
        <f t="shared" si="50"/>
        <v>-7.1499503475670707</v>
      </c>
      <c r="Q33" s="220">
        <f t="shared" si="51"/>
        <v>0.94339622641509402</v>
      </c>
      <c r="R33" s="442"/>
      <c r="S33" s="28">
        <v>0.27361111111111108</v>
      </c>
      <c r="T33" s="28">
        <v>0.34722222222222221</v>
      </c>
      <c r="U33" s="218">
        <f t="shared" ref="U33:U39" si="57">(S33-T32)*24*60</f>
        <v>4.9999999999999822</v>
      </c>
      <c r="V33" s="227">
        <f t="shared" si="52"/>
        <v>106.00000000000003</v>
      </c>
      <c r="W33" s="218"/>
      <c r="X33" s="218"/>
      <c r="Y33" s="443"/>
      <c r="Z33" s="443"/>
      <c r="AA33" s="12">
        <f t="shared" si="2"/>
        <v>-135.84905660377444</v>
      </c>
      <c r="AB33" s="220">
        <f t="shared" si="56"/>
        <v>0.94339622641509402</v>
      </c>
      <c r="AC33" s="442"/>
    </row>
    <row r="34" spans="1:29">
      <c r="A34" s="462" t="s">
        <v>925</v>
      </c>
      <c r="B34" s="31" t="s">
        <v>67</v>
      </c>
      <c r="C34" s="441" t="s">
        <v>76</v>
      </c>
      <c r="D34" s="441"/>
      <c r="E34" s="31">
        <v>20.52</v>
      </c>
      <c r="F34" s="228">
        <v>2766</v>
      </c>
      <c r="G34" s="218">
        <f t="shared" si="48"/>
        <v>56758.32</v>
      </c>
      <c r="H34" s="229" t="s">
        <v>103</v>
      </c>
      <c r="I34" s="226">
        <v>18</v>
      </c>
      <c r="J34" s="26">
        <v>2400</v>
      </c>
      <c r="K34" s="10">
        <f t="shared" si="53"/>
        <v>133.33333333333334</v>
      </c>
      <c r="L34" s="226">
        <v>18</v>
      </c>
      <c r="M34" s="11">
        <f t="shared" si="54"/>
        <v>2273.4246575342472</v>
      </c>
      <c r="N34" s="10">
        <f t="shared" si="55"/>
        <v>126.30136986301373</v>
      </c>
      <c r="O34" s="12">
        <f t="shared" si="49"/>
        <v>0</v>
      </c>
      <c r="P34" s="13">
        <f t="shared" si="50"/>
        <v>-7.0319634703196101</v>
      </c>
      <c r="Q34" s="220">
        <f t="shared" si="51"/>
        <v>0.94726027397260293</v>
      </c>
      <c r="R34" s="442"/>
      <c r="S34" s="28">
        <v>0.35069444444444442</v>
      </c>
      <c r="T34" s="28">
        <v>0.40138888888888885</v>
      </c>
      <c r="U34" s="218">
        <f t="shared" si="57"/>
        <v>4.9999999999999822</v>
      </c>
      <c r="V34" s="227">
        <f t="shared" si="52"/>
        <v>72.999999999999986</v>
      </c>
      <c r="W34" s="16"/>
      <c r="X34" s="16"/>
      <c r="Y34" s="443"/>
      <c r="Z34" s="443"/>
      <c r="AA34" s="12">
        <f t="shared" si="2"/>
        <v>-126.57534246575278</v>
      </c>
      <c r="AB34" s="220">
        <f t="shared" si="56"/>
        <v>0.94726027397260304</v>
      </c>
      <c r="AC34" s="442"/>
    </row>
    <row r="35" spans="1:29">
      <c r="A35" s="462" t="s">
        <v>925</v>
      </c>
      <c r="B35" s="31" t="s">
        <v>67</v>
      </c>
      <c r="C35" s="441" t="s">
        <v>77</v>
      </c>
      <c r="D35" s="441"/>
      <c r="E35" s="31">
        <v>26.2</v>
      </c>
      <c r="F35" s="228">
        <v>2900</v>
      </c>
      <c r="G35" s="218">
        <f t="shared" si="48"/>
        <v>75980</v>
      </c>
      <c r="H35" s="229">
        <v>2</v>
      </c>
      <c r="I35" s="226">
        <v>19</v>
      </c>
      <c r="J35" s="26">
        <v>2400</v>
      </c>
      <c r="K35" s="10">
        <f t="shared" si="53"/>
        <v>126.31578947368421</v>
      </c>
      <c r="L35" s="226">
        <v>19</v>
      </c>
      <c r="M35" s="11">
        <f t="shared" si="54"/>
        <v>2259.7402597402606</v>
      </c>
      <c r="N35" s="10">
        <f t="shared" si="55"/>
        <v>118.93369788106635</v>
      </c>
      <c r="O35" s="12">
        <f t="shared" si="49"/>
        <v>0</v>
      </c>
      <c r="P35" s="13">
        <f t="shared" si="50"/>
        <v>-7.3820915926178543</v>
      </c>
      <c r="Q35" s="220">
        <f t="shared" si="51"/>
        <v>0.94155844155844204</v>
      </c>
      <c r="R35" s="442"/>
      <c r="S35" s="28">
        <v>0.40486111111111106</v>
      </c>
      <c r="T35" s="28">
        <v>0.45833333333333326</v>
      </c>
      <c r="U35" s="218">
        <f t="shared" si="57"/>
        <v>4.9999999999999822</v>
      </c>
      <c r="V35" s="227">
        <f t="shared" si="52"/>
        <v>76.999999999999972</v>
      </c>
      <c r="W35" s="16"/>
      <c r="X35" s="16"/>
      <c r="Y35" s="443"/>
      <c r="Z35" s="443"/>
      <c r="AA35" s="12">
        <f t="shared" si="2"/>
        <v>-140.25974025973937</v>
      </c>
      <c r="AB35" s="220">
        <f t="shared" si="56"/>
        <v>0.94155844155844193</v>
      </c>
      <c r="AC35" s="442"/>
    </row>
    <row r="36" spans="1:29">
      <c r="A36" s="462" t="s">
        <v>925</v>
      </c>
      <c r="B36" s="31" t="s">
        <v>67</v>
      </c>
      <c r="C36" s="441" t="s">
        <v>78</v>
      </c>
      <c r="D36" s="441"/>
      <c r="E36" s="31">
        <v>25.98</v>
      </c>
      <c r="F36" s="228">
        <v>2000</v>
      </c>
      <c r="G36" s="218">
        <f t="shared" si="48"/>
        <v>51960</v>
      </c>
      <c r="H36" s="229">
        <v>2</v>
      </c>
      <c r="I36" s="226">
        <v>17</v>
      </c>
      <c r="J36" s="26">
        <v>2400</v>
      </c>
      <c r="K36" s="10">
        <f t="shared" si="53"/>
        <v>141.1764705882353</v>
      </c>
      <c r="L36" s="226">
        <v>17</v>
      </c>
      <c r="M36" s="11">
        <f t="shared" si="54"/>
        <v>2264.1509433962278</v>
      </c>
      <c r="N36" s="10">
        <f t="shared" si="55"/>
        <v>133.18534961154282</v>
      </c>
      <c r="O36" s="12">
        <f t="shared" si="49"/>
        <v>0</v>
      </c>
      <c r="P36" s="13">
        <f t="shared" si="50"/>
        <v>-7.9911209766924856</v>
      </c>
      <c r="Q36" s="220">
        <f t="shared" si="51"/>
        <v>0.94339622641509491</v>
      </c>
      <c r="R36" s="442"/>
      <c r="S36" s="28">
        <v>0.46249999999999991</v>
      </c>
      <c r="T36" s="28">
        <v>0.49930555555555545</v>
      </c>
      <c r="U36" s="218">
        <f t="shared" si="57"/>
        <v>5.9999999999999787</v>
      </c>
      <c r="V36" s="227">
        <f t="shared" si="52"/>
        <v>52.999999999999972</v>
      </c>
      <c r="W36" s="16">
        <f>T36</f>
        <v>0.49930555555555545</v>
      </c>
      <c r="X36" s="16">
        <f>S37</f>
        <v>0.53819444444444431</v>
      </c>
      <c r="Y36" s="443"/>
      <c r="Z36" s="443"/>
      <c r="AA36" s="12">
        <f t="shared" si="2"/>
        <v>-135.84905660377217</v>
      </c>
      <c r="AB36" s="220">
        <f t="shared" si="56"/>
        <v>0.94339622641509491</v>
      </c>
      <c r="AC36" s="442"/>
    </row>
    <row r="37" spans="1:29">
      <c r="A37" s="462" t="s">
        <v>925</v>
      </c>
      <c r="B37" s="31" t="s">
        <v>67</v>
      </c>
      <c r="C37" s="441" t="s">
        <v>75</v>
      </c>
      <c r="D37" s="441"/>
      <c r="E37" s="31">
        <v>26.39</v>
      </c>
      <c r="F37" s="228">
        <v>662</v>
      </c>
      <c r="G37" s="218">
        <f t="shared" si="48"/>
        <v>17470.18</v>
      </c>
      <c r="H37" s="229" t="s">
        <v>103</v>
      </c>
      <c r="I37" s="226">
        <v>19</v>
      </c>
      <c r="J37" s="26">
        <v>2400</v>
      </c>
      <c r="K37" s="10">
        <f t="shared" si="53"/>
        <v>126.31578947368421</v>
      </c>
      <c r="L37" s="226">
        <v>19</v>
      </c>
      <c r="M37" s="11">
        <f t="shared" si="54"/>
        <v>2336.4705882353023</v>
      </c>
      <c r="N37" s="10">
        <f t="shared" si="55"/>
        <v>122.97213622291065</v>
      </c>
      <c r="O37" s="12">
        <f t="shared" si="49"/>
        <v>0</v>
      </c>
      <c r="P37" s="13">
        <f t="shared" si="50"/>
        <v>-3.3436532507735564</v>
      </c>
      <c r="Q37" s="220">
        <f t="shared" si="51"/>
        <v>0.97352941176470931</v>
      </c>
      <c r="R37" s="442"/>
      <c r="S37" s="28">
        <v>0.53819444444444431</v>
      </c>
      <c r="T37" s="28">
        <v>0.54999999999999982</v>
      </c>
      <c r="U37" s="218">
        <f t="shared" si="57"/>
        <v>55.999999999999957</v>
      </c>
      <c r="V37" s="227">
        <f t="shared" si="52"/>
        <v>16.99999999999994</v>
      </c>
      <c r="W37" s="16"/>
      <c r="X37" s="16"/>
      <c r="Y37" s="447"/>
      <c r="Z37" s="448"/>
      <c r="AA37" s="12">
        <f t="shared" si="2"/>
        <v>-63.52941176469767</v>
      </c>
      <c r="AB37" s="220">
        <f t="shared" si="56"/>
        <v>0.97352941176470931</v>
      </c>
      <c r="AC37" s="442"/>
    </row>
    <row r="38" spans="1:29">
      <c r="A38" s="462" t="s">
        <v>925</v>
      </c>
      <c r="B38" s="31" t="s">
        <v>67</v>
      </c>
      <c r="C38" s="441" t="s">
        <v>78</v>
      </c>
      <c r="D38" s="441"/>
      <c r="E38" s="31">
        <v>25.98</v>
      </c>
      <c r="F38" s="228">
        <v>527</v>
      </c>
      <c r="G38" s="218">
        <f t="shared" si="48"/>
        <v>13691.460000000001</v>
      </c>
      <c r="H38" s="229" t="s">
        <v>103</v>
      </c>
      <c r="I38" s="226">
        <v>17</v>
      </c>
      <c r="J38" s="26">
        <v>2400</v>
      </c>
      <c r="K38" s="10">
        <f t="shared" si="53"/>
        <v>141.1764705882353</v>
      </c>
      <c r="L38" s="226">
        <v>17</v>
      </c>
      <c r="M38" s="11">
        <f t="shared" si="54"/>
        <v>2258.5714285714366</v>
      </c>
      <c r="N38" s="10">
        <f t="shared" si="55"/>
        <v>132.85714285714334</v>
      </c>
      <c r="O38" s="12">
        <f t="shared" si="49"/>
        <v>0</v>
      </c>
      <c r="P38" s="13">
        <f t="shared" si="50"/>
        <v>-8.3193277310919598</v>
      </c>
      <c r="Q38" s="220">
        <f t="shared" si="51"/>
        <v>0.941071428571432</v>
      </c>
      <c r="R38" s="442"/>
      <c r="S38" s="28">
        <v>0.55347222222222203</v>
      </c>
      <c r="T38" s="28">
        <v>0.56319444444444422</v>
      </c>
      <c r="U38" s="218">
        <f t="shared" si="57"/>
        <v>4.9999999999999822</v>
      </c>
      <c r="V38" s="227">
        <f t="shared" si="52"/>
        <v>13.99999999999995</v>
      </c>
      <c r="W38" s="16"/>
      <c r="X38" s="16"/>
      <c r="Y38" s="447"/>
      <c r="Z38" s="448"/>
      <c r="AA38" s="12">
        <f t="shared" si="2"/>
        <v>-141.42857142856337</v>
      </c>
      <c r="AB38" s="220">
        <f t="shared" si="56"/>
        <v>0.94107142857143189</v>
      </c>
      <c r="AC38" s="442"/>
    </row>
    <row r="39" spans="1:29">
      <c r="A39" s="462" t="s">
        <v>925</v>
      </c>
      <c r="B39" s="31" t="s">
        <v>67</v>
      </c>
      <c r="C39" s="441" t="s">
        <v>77</v>
      </c>
      <c r="D39" s="441"/>
      <c r="E39" s="31">
        <v>26.2</v>
      </c>
      <c r="F39" s="228">
        <v>788</v>
      </c>
      <c r="G39" s="218">
        <f t="shared" si="48"/>
        <v>20645.599999999999</v>
      </c>
      <c r="H39" s="229" t="s">
        <v>103</v>
      </c>
      <c r="I39" s="226">
        <v>19</v>
      </c>
      <c r="J39" s="26">
        <v>2400</v>
      </c>
      <c r="K39" s="10">
        <f t="shared" si="53"/>
        <v>126.31578947368421</v>
      </c>
      <c r="L39" s="226">
        <v>19</v>
      </c>
      <c r="M39" s="11">
        <f t="shared" si="54"/>
        <v>2364.0000000000086</v>
      </c>
      <c r="N39" s="10">
        <f t="shared" si="55"/>
        <v>124.4210526315794</v>
      </c>
      <c r="O39" s="12">
        <f t="shared" si="49"/>
        <v>0</v>
      </c>
      <c r="P39" s="13">
        <f t="shared" si="50"/>
        <v>-1.8947368421048054</v>
      </c>
      <c r="Q39" s="220">
        <f t="shared" si="51"/>
        <v>0.98500000000000365</v>
      </c>
      <c r="R39" s="442"/>
      <c r="S39" s="28">
        <v>0.56805555555555531</v>
      </c>
      <c r="T39" s="28">
        <v>0.58194444444444415</v>
      </c>
      <c r="U39" s="218">
        <f t="shared" si="57"/>
        <v>6.9999999999999751</v>
      </c>
      <c r="V39" s="227">
        <f t="shared" si="52"/>
        <v>19.999999999999929</v>
      </c>
      <c r="W39" s="16"/>
      <c r="X39" s="16"/>
      <c r="Y39" s="447"/>
      <c r="Z39" s="448"/>
      <c r="AA39" s="12">
        <f t="shared" si="2"/>
        <v>-35.99999999999136</v>
      </c>
      <c r="AB39" s="220">
        <f t="shared" si="56"/>
        <v>0.98500000000000365</v>
      </c>
      <c r="AC39" s="442"/>
    </row>
    <row r="40" spans="1:29">
      <c r="A40" s="462" t="s">
        <v>925</v>
      </c>
      <c r="B40" s="33" t="s">
        <v>926</v>
      </c>
      <c r="C40" s="446"/>
      <c r="D40" s="446"/>
      <c r="E40" s="219"/>
      <c r="F40" s="33"/>
      <c r="G40" s="10"/>
      <c r="H40" s="228"/>
      <c r="I40" s="19">
        <v>18.444444444444443</v>
      </c>
      <c r="J40" s="26">
        <v>2400</v>
      </c>
      <c r="K40" s="10">
        <f t="shared" si="53"/>
        <v>130.12048192771084</v>
      </c>
      <c r="L40" s="19">
        <v>18.444444444444443</v>
      </c>
      <c r="M40" s="11">
        <f>AVERAGE(M31:M39)</f>
        <v>2287.662596258695</v>
      </c>
      <c r="N40" s="10">
        <f>M40/L40</f>
        <v>124.02989979715817</v>
      </c>
      <c r="O40" s="12">
        <f>L40-I40</f>
        <v>0</v>
      </c>
      <c r="P40" s="13">
        <f t="shared" si="50"/>
        <v>-6.0905821305526757</v>
      </c>
      <c r="Q40" s="220">
        <f t="shared" si="51"/>
        <v>0.95319274844112301</v>
      </c>
      <c r="R40" s="442"/>
      <c r="S40" s="28"/>
      <c r="T40" s="28"/>
      <c r="U40" s="10"/>
      <c r="V40" s="227"/>
      <c r="W40" s="10"/>
      <c r="X40" s="10"/>
      <c r="Y40" s="443"/>
      <c r="Z40" s="443"/>
      <c r="AA40" s="12">
        <f t="shared" si="2"/>
        <v>-112.33740374130502</v>
      </c>
      <c r="AB40" s="220">
        <f t="shared" si="56"/>
        <v>0.95319274844112289</v>
      </c>
      <c r="AC40" s="442"/>
    </row>
    <row r="41" spans="1:29" ht="15.75" customHeight="1">
      <c r="A41" s="453" t="s">
        <v>927</v>
      </c>
      <c r="B41" s="31" t="s">
        <v>79</v>
      </c>
      <c r="C41" s="444" t="s">
        <v>80</v>
      </c>
      <c r="D41" s="445"/>
      <c r="E41" s="31">
        <v>21.13</v>
      </c>
      <c r="F41" s="228">
        <v>3100</v>
      </c>
      <c r="G41" s="218">
        <f t="shared" ref="G41:G50" si="58">E41*F41</f>
        <v>65503</v>
      </c>
      <c r="H41" s="229">
        <v>2</v>
      </c>
      <c r="I41" s="226">
        <v>10</v>
      </c>
      <c r="J41" s="26">
        <v>3000</v>
      </c>
      <c r="K41" s="10">
        <f t="shared" si="53"/>
        <v>300</v>
      </c>
      <c r="L41" s="226">
        <v>10</v>
      </c>
      <c r="M41" s="11">
        <f t="shared" ref="M41:M42" si="59">F41/V41*60</f>
        <v>2861.5384615384628</v>
      </c>
      <c r="N41" s="11">
        <f t="shared" ref="N41:N51" si="60">M41/L41</f>
        <v>286.1538461538463</v>
      </c>
      <c r="O41" s="12">
        <f t="shared" ref="O41:O51" si="61">L41-I41</f>
        <v>0</v>
      </c>
      <c r="P41" s="13">
        <f t="shared" si="50"/>
        <v>-13.846153846153697</v>
      </c>
      <c r="Q41" s="220">
        <f t="shared" si="51"/>
        <v>0.95384615384615434</v>
      </c>
      <c r="R41" s="456">
        <f>Q51</f>
        <v>0.95595326789030222</v>
      </c>
      <c r="S41" s="28">
        <v>0.20833333333333334</v>
      </c>
      <c r="T41" s="28">
        <v>0.25347222222222221</v>
      </c>
      <c r="U41" s="18"/>
      <c r="V41" s="227">
        <f t="shared" ref="V41:V50" si="62">(T41-S41)*24*60</f>
        <v>64.999999999999972</v>
      </c>
      <c r="W41" s="16"/>
      <c r="X41" s="16"/>
      <c r="Y41" s="447"/>
      <c r="Z41" s="448"/>
      <c r="AA41" s="12">
        <f t="shared" si="2"/>
        <v>-138.4615384615372</v>
      </c>
      <c r="AB41" s="220">
        <f t="shared" si="56"/>
        <v>0.95384615384615423</v>
      </c>
      <c r="AC41" s="456">
        <f>AB51</f>
        <v>0.95595326789030211</v>
      </c>
    </row>
    <row r="42" spans="1:29" ht="15.75" customHeight="1">
      <c r="A42" s="454" t="s">
        <v>927</v>
      </c>
      <c r="B42" s="31" t="s">
        <v>79</v>
      </c>
      <c r="C42" s="444" t="s">
        <v>81</v>
      </c>
      <c r="D42" s="445"/>
      <c r="E42" s="31">
        <v>27.17</v>
      </c>
      <c r="F42" s="228">
        <v>3800</v>
      </c>
      <c r="G42" s="218">
        <f t="shared" si="58"/>
        <v>103246</v>
      </c>
      <c r="H42" s="229">
        <v>2</v>
      </c>
      <c r="I42" s="226">
        <v>10</v>
      </c>
      <c r="J42" s="26">
        <v>3000</v>
      </c>
      <c r="K42" s="10">
        <f t="shared" si="53"/>
        <v>300</v>
      </c>
      <c r="L42" s="226">
        <v>10</v>
      </c>
      <c r="M42" s="11">
        <f t="shared" si="59"/>
        <v>2849.9999999999991</v>
      </c>
      <c r="N42" s="11">
        <f t="shared" si="60"/>
        <v>284.99999999999989</v>
      </c>
      <c r="O42" s="12">
        <f t="shared" si="61"/>
        <v>0</v>
      </c>
      <c r="P42" s="13">
        <f t="shared" si="50"/>
        <v>-15.000000000000114</v>
      </c>
      <c r="Q42" s="220">
        <f t="shared" si="51"/>
        <v>0.94999999999999962</v>
      </c>
      <c r="R42" s="457"/>
      <c r="S42" s="28">
        <v>0.25902777777777775</v>
      </c>
      <c r="T42" s="28">
        <v>0.31458333333333333</v>
      </c>
      <c r="U42" s="218">
        <f>(S42-T41)*24*60</f>
        <v>7.9999999999999716</v>
      </c>
      <c r="V42" s="227">
        <f t="shared" si="62"/>
        <v>80.000000000000028</v>
      </c>
      <c r="W42" s="16"/>
      <c r="X42" s="16"/>
      <c r="Y42" s="447"/>
      <c r="Z42" s="448"/>
      <c r="AA42" s="12">
        <f t="shared" si="2"/>
        <v>-150.00000000000091</v>
      </c>
      <c r="AB42" s="220">
        <f t="shared" si="56"/>
        <v>0.94999999999999973</v>
      </c>
      <c r="AC42" s="457"/>
    </row>
    <row r="43" spans="1:29" ht="15.75" customHeight="1">
      <c r="A43" s="454" t="s">
        <v>927</v>
      </c>
      <c r="B43" s="31" t="s">
        <v>79</v>
      </c>
      <c r="C43" s="444" t="s">
        <v>82</v>
      </c>
      <c r="D43" s="445"/>
      <c r="E43" s="31">
        <v>35.119999999999997</v>
      </c>
      <c r="F43" s="228">
        <v>2800</v>
      </c>
      <c r="G43" s="218">
        <f t="shared" si="58"/>
        <v>98336</v>
      </c>
      <c r="H43" s="229">
        <v>2</v>
      </c>
      <c r="I43" s="226">
        <v>10</v>
      </c>
      <c r="J43" s="26">
        <v>3000</v>
      </c>
      <c r="K43" s="10">
        <f t="shared" si="53"/>
        <v>300</v>
      </c>
      <c r="L43" s="226">
        <v>10</v>
      </c>
      <c r="M43" s="11">
        <f>F43/V43*60</f>
        <v>2847.4576271186429</v>
      </c>
      <c r="N43" s="11">
        <f t="shared" si="60"/>
        <v>284.7457627118643</v>
      </c>
      <c r="O43" s="12">
        <f t="shared" si="61"/>
        <v>0</v>
      </c>
      <c r="P43" s="13">
        <f t="shared" si="50"/>
        <v>-15.254237288135698</v>
      </c>
      <c r="Q43" s="220">
        <f t="shared" si="51"/>
        <v>0.94915254237288105</v>
      </c>
      <c r="R43" s="457"/>
      <c r="S43" s="28">
        <v>0.31874999999999998</v>
      </c>
      <c r="T43" s="28">
        <v>0.35972222222222222</v>
      </c>
      <c r="U43" s="218">
        <f t="shared" ref="U43:U50" si="63">(S43-T42)*24*60</f>
        <v>5.9999999999999787</v>
      </c>
      <c r="V43" s="227">
        <f t="shared" si="62"/>
        <v>59.000000000000028</v>
      </c>
      <c r="W43" s="16"/>
      <c r="X43" s="16"/>
      <c r="Y43" s="447"/>
      <c r="Z43" s="448"/>
      <c r="AA43" s="12">
        <f t="shared" si="2"/>
        <v>-152.5423728813571</v>
      </c>
      <c r="AB43" s="220">
        <f t="shared" si="56"/>
        <v>0.94915254237288094</v>
      </c>
      <c r="AC43" s="457"/>
    </row>
    <row r="44" spans="1:29" ht="15.75" customHeight="1">
      <c r="A44" s="454" t="s">
        <v>927</v>
      </c>
      <c r="B44" s="31" t="s">
        <v>79</v>
      </c>
      <c r="C44" s="444" t="s">
        <v>83</v>
      </c>
      <c r="D44" s="445"/>
      <c r="E44" s="31">
        <v>40.18</v>
      </c>
      <c r="F44" s="228">
        <v>1568</v>
      </c>
      <c r="G44" s="218">
        <f t="shared" si="58"/>
        <v>63002.239999999998</v>
      </c>
      <c r="H44" s="229" t="s">
        <v>103</v>
      </c>
      <c r="I44" s="226">
        <v>10</v>
      </c>
      <c r="J44" s="26">
        <v>3000</v>
      </c>
      <c r="K44" s="10">
        <f t="shared" si="53"/>
        <v>300</v>
      </c>
      <c r="L44" s="226">
        <v>10</v>
      </c>
      <c r="M44" s="11">
        <f t="shared" ref="M44:M50" si="64">F44/V44*60</f>
        <v>2850.9090909090937</v>
      </c>
      <c r="N44" s="11">
        <f t="shared" si="60"/>
        <v>285.09090909090935</v>
      </c>
      <c r="O44" s="12">
        <f t="shared" si="61"/>
        <v>0</v>
      </c>
      <c r="P44" s="13">
        <f t="shared" si="50"/>
        <v>-14.909090909090651</v>
      </c>
      <c r="Q44" s="220">
        <f t="shared" si="51"/>
        <v>0.9503030303030312</v>
      </c>
      <c r="R44" s="457"/>
      <c r="S44" s="28">
        <v>0.36319444444444443</v>
      </c>
      <c r="T44" s="28">
        <v>0.38611111111111107</v>
      </c>
      <c r="U44" s="218">
        <f t="shared" si="63"/>
        <v>4.9999999999999822</v>
      </c>
      <c r="V44" s="227">
        <f t="shared" si="62"/>
        <v>32.999999999999964</v>
      </c>
      <c r="W44" s="16"/>
      <c r="X44" s="16"/>
      <c r="Y44" s="447"/>
      <c r="Z44" s="448"/>
      <c r="AA44" s="12">
        <f t="shared" si="2"/>
        <v>-149.09090909090628</v>
      </c>
      <c r="AB44" s="220">
        <f t="shared" si="56"/>
        <v>0.9503030303030312</v>
      </c>
      <c r="AC44" s="457"/>
    </row>
    <row r="45" spans="1:29" ht="15.75" customHeight="1">
      <c r="A45" s="454" t="s">
        <v>927</v>
      </c>
      <c r="B45" s="31" t="s">
        <v>79</v>
      </c>
      <c r="C45" s="444" t="s">
        <v>84</v>
      </c>
      <c r="D45" s="445"/>
      <c r="E45" s="31">
        <v>28.5</v>
      </c>
      <c r="F45" s="228">
        <v>787</v>
      </c>
      <c r="G45" s="218">
        <f t="shared" si="58"/>
        <v>22429.5</v>
      </c>
      <c r="H45" s="229" t="s">
        <v>103</v>
      </c>
      <c r="I45" s="226">
        <v>10</v>
      </c>
      <c r="J45" s="26">
        <v>3000</v>
      </c>
      <c r="K45" s="10">
        <f t="shared" si="53"/>
        <v>300</v>
      </c>
      <c r="L45" s="226">
        <v>10</v>
      </c>
      <c r="M45" s="11">
        <f t="shared" si="64"/>
        <v>2951.2499999999964</v>
      </c>
      <c r="N45" s="11">
        <f t="shared" si="60"/>
        <v>295.12499999999966</v>
      </c>
      <c r="O45" s="12">
        <f t="shared" si="61"/>
        <v>0</v>
      </c>
      <c r="P45" s="13">
        <f t="shared" si="50"/>
        <v>-4.8750000000003411</v>
      </c>
      <c r="Q45" s="220">
        <f>N45/K45</f>
        <v>0.9837499999999989</v>
      </c>
      <c r="R45" s="457"/>
      <c r="S45" s="28">
        <v>0.38958333333333328</v>
      </c>
      <c r="T45" s="28">
        <v>0.40069444444444441</v>
      </c>
      <c r="U45" s="218">
        <f t="shared" si="63"/>
        <v>4.9999999999999822</v>
      </c>
      <c r="V45" s="227">
        <f t="shared" si="62"/>
        <v>16.000000000000021</v>
      </c>
      <c r="W45" s="16"/>
      <c r="X45" s="16"/>
      <c r="Y45" s="447"/>
      <c r="Z45" s="448"/>
      <c r="AA45" s="12">
        <f t="shared" si="2"/>
        <v>-48.750000000003638</v>
      </c>
      <c r="AB45" s="220">
        <f t="shared" si="56"/>
        <v>0.98374999999999879</v>
      </c>
      <c r="AC45" s="457"/>
    </row>
    <row r="46" spans="1:29" ht="15.75" customHeight="1">
      <c r="A46" s="454" t="s">
        <v>927</v>
      </c>
      <c r="B46" s="31" t="s">
        <v>79</v>
      </c>
      <c r="C46" s="444" t="s">
        <v>85</v>
      </c>
      <c r="D46" s="445"/>
      <c r="E46" s="31">
        <v>35.869999999999997</v>
      </c>
      <c r="F46" s="228">
        <v>2651</v>
      </c>
      <c r="G46" s="218">
        <f t="shared" si="58"/>
        <v>95091.37</v>
      </c>
      <c r="H46" s="229" t="s">
        <v>103</v>
      </c>
      <c r="I46" s="226">
        <v>10</v>
      </c>
      <c r="J46" s="26">
        <v>3000</v>
      </c>
      <c r="K46" s="10">
        <f t="shared" si="53"/>
        <v>300</v>
      </c>
      <c r="L46" s="226">
        <v>10</v>
      </c>
      <c r="M46" s="11">
        <f t="shared" si="64"/>
        <v>2840.3571428571408</v>
      </c>
      <c r="N46" s="11">
        <f t="shared" si="60"/>
        <v>284.03571428571411</v>
      </c>
      <c r="O46" s="12">
        <f t="shared" si="61"/>
        <v>0</v>
      </c>
      <c r="P46" s="13">
        <f t="shared" si="50"/>
        <v>-15.964285714285893</v>
      </c>
      <c r="Q46" s="220">
        <f t="shared" ref="Q46:Q51" si="65">N46/K46</f>
        <v>0.94678571428571368</v>
      </c>
      <c r="R46" s="457"/>
      <c r="S46" s="28">
        <v>0.40624999999999994</v>
      </c>
      <c r="T46" s="28">
        <v>0.44513888888888886</v>
      </c>
      <c r="U46" s="218">
        <f t="shared" si="63"/>
        <v>7.9999999999999716</v>
      </c>
      <c r="V46" s="227">
        <f t="shared" si="62"/>
        <v>56.000000000000043</v>
      </c>
      <c r="W46" s="16"/>
      <c r="X46" s="16"/>
      <c r="Y46" s="447"/>
      <c r="Z46" s="448"/>
      <c r="AA46" s="12">
        <f t="shared" si="2"/>
        <v>-159.64285714285916</v>
      </c>
      <c r="AB46" s="220">
        <f t="shared" si="56"/>
        <v>0.94678571428571356</v>
      </c>
      <c r="AC46" s="457"/>
    </row>
    <row r="47" spans="1:29" ht="15.75" customHeight="1">
      <c r="A47" s="454" t="s">
        <v>927</v>
      </c>
      <c r="B47" s="31" t="s">
        <v>79</v>
      </c>
      <c r="C47" s="444" t="s">
        <v>86</v>
      </c>
      <c r="D47" s="445"/>
      <c r="E47" s="31">
        <v>36.14</v>
      </c>
      <c r="F47" s="228">
        <v>2019</v>
      </c>
      <c r="G47" s="218">
        <f t="shared" si="58"/>
        <v>72966.66</v>
      </c>
      <c r="H47" s="229" t="s">
        <v>103</v>
      </c>
      <c r="I47" s="226">
        <v>8</v>
      </c>
      <c r="J47" s="26">
        <v>3000</v>
      </c>
      <c r="K47" s="10">
        <f t="shared" si="53"/>
        <v>375</v>
      </c>
      <c r="L47" s="226">
        <v>8</v>
      </c>
      <c r="M47" s="11">
        <f t="shared" si="64"/>
        <v>2884.2857142857133</v>
      </c>
      <c r="N47" s="11">
        <f t="shared" si="60"/>
        <v>360.53571428571416</v>
      </c>
      <c r="O47" s="12">
        <f t="shared" si="61"/>
        <v>0</v>
      </c>
      <c r="P47" s="13">
        <f t="shared" si="50"/>
        <v>-14.464285714285836</v>
      </c>
      <c r="Q47" s="220">
        <f t="shared" si="65"/>
        <v>0.96142857142857108</v>
      </c>
      <c r="R47" s="457"/>
      <c r="S47" s="28">
        <v>0.44930555555555551</v>
      </c>
      <c r="T47" s="28">
        <v>0.47847222222222219</v>
      </c>
      <c r="U47" s="218">
        <f t="shared" si="63"/>
        <v>5.9999999999999787</v>
      </c>
      <c r="V47" s="227">
        <f t="shared" si="62"/>
        <v>42.000000000000014</v>
      </c>
      <c r="W47" s="16">
        <f>T47</f>
        <v>0.47847222222222219</v>
      </c>
      <c r="X47" s="16">
        <f>S48</f>
        <v>0.51944444444444438</v>
      </c>
      <c r="Y47" s="447"/>
      <c r="Z47" s="448"/>
      <c r="AA47" s="12">
        <f t="shared" si="2"/>
        <v>-115.71428571428669</v>
      </c>
      <c r="AB47" s="220">
        <f t="shared" si="56"/>
        <v>0.96142857142857108</v>
      </c>
      <c r="AC47" s="457"/>
    </row>
    <row r="48" spans="1:29" ht="15.75" customHeight="1">
      <c r="A48" s="454" t="s">
        <v>927</v>
      </c>
      <c r="B48" s="31" t="s">
        <v>79</v>
      </c>
      <c r="C48" s="444" t="s">
        <v>82</v>
      </c>
      <c r="D48" s="445"/>
      <c r="E48" s="31">
        <v>35.119999999999997</v>
      </c>
      <c r="F48" s="228">
        <v>861</v>
      </c>
      <c r="G48" s="218">
        <f t="shared" si="58"/>
        <v>30238.319999999996</v>
      </c>
      <c r="H48" s="229" t="s">
        <v>103</v>
      </c>
      <c r="I48" s="226">
        <v>10</v>
      </c>
      <c r="J48" s="26">
        <v>3000</v>
      </c>
      <c r="K48" s="10">
        <f t="shared" si="53"/>
        <v>300</v>
      </c>
      <c r="L48" s="226">
        <v>10</v>
      </c>
      <c r="M48" s="11">
        <f t="shared" si="64"/>
        <v>2870.0000000000105</v>
      </c>
      <c r="N48" s="11">
        <f t="shared" si="60"/>
        <v>287.00000000000102</v>
      </c>
      <c r="O48" s="12">
        <f t="shared" si="61"/>
        <v>0</v>
      </c>
      <c r="P48" s="13">
        <f t="shared" si="50"/>
        <v>-12.999999999998977</v>
      </c>
      <c r="Q48" s="220">
        <f t="shared" si="65"/>
        <v>0.95666666666667011</v>
      </c>
      <c r="R48" s="457"/>
      <c r="S48" s="28">
        <v>0.51944444444444438</v>
      </c>
      <c r="T48" s="28">
        <v>0.53194444444444433</v>
      </c>
      <c r="U48" s="218">
        <f t="shared" si="63"/>
        <v>58.99999999999995</v>
      </c>
      <c r="V48" s="227">
        <f t="shared" si="62"/>
        <v>17.999999999999936</v>
      </c>
      <c r="W48" s="16"/>
      <c r="X48" s="16"/>
      <c r="Y48" s="447"/>
      <c r="Z48" s="448"/>
      <c r="AA48" s="12">
        <f t="shared" si="2"/>
        <v>-129.99999999998954</v>
      </c>
      <c r="AB48" s="220">
        <f t="shared" si="56"/>
        <v>0.95666666666667011</v>
      </c>
      <c r="AC48" s="457"/>
    </row>
    <row r="49" spans="1:29" ht="15.75" customHeight="1">
      <c r="A49" s="454" t="s">
        <v>927</v>
      </c>
      <c r="B49" s="31" t="s">
        <v>79</v>
      </c>
      <c r="C49" s="444" t="s">
        <v>81</v>
      </c>
      <c r="D49" s="445"/>
      <c r="E49" s="31">
        <v>27.17</v>
      </c>
      <c r="F49" s="228">
        <v>1177</v>
      </c>
      <c r="G49" s="218">
        <f t="shared" si="58"/>
        <v>31979.090000000004</v>
      </c>
      <c r="H49" s="229" t="s">
        <v>103</v>
      </c>
      <c r="I49" s="226">
        <v>10</v>
      </c>
      <c r="J49" s="26">
        <v>3000</v>
      </c>
      <c r="K49" s="10">
        <f t="shared" si="53"/>
        <v>300</v>
      </c>
      <c r="L49" s="226">
        <v>10</v>
      </c>
      <c r="M49" s="11">
        <f t="shared" si="64"/>
        <v>2824.799999999992</v>
      </c>
      <c r="N49" s="11">
        <f t="shared" si="60"/>
        <v>282.47999999999922</v>
      </c>
      <c r="O49" s="12">
        <f t="shared" si="61"/>
        <v>0</v>
      </c>
      <c r="P49" s="13">
        <f t="shared" si="50"/>
        <v>-17.520000000000778</v>
      </c>
      <c r="Q49" s="220">
        <f t="shared" si="65"/>
        <v>0.94159999999999744</v>
      </c>
      <c r="R49" s="457"/>
      <c r="S49" s="28">
        <v>0.53749999999999987</v>
      </c>
      <c r="T49" s="28">
        <v>0.55486111111111103</v>
      </c>
      <c r="U49" s="218">
        <f t="shared" si="63"/>
        <v>7.9999999999999716</v>
      </c>
      <c r="V49" s="227">
        <f t="shared" si="62"/>
        <v>25.000000000000071</v>
      </c>
      <c r="W49" s="16"/>
      <c r="X49" s="16"/>
      <c r="Y49" s="447"/>
      <c r="Z49" s="448"/>
      <c r="AA49" s="12">
        <f t="shared" si="2"/>
        <v>-175.200000000008</v>
      </c>
      <c r="AB49" s="220">
        <f t="shared" si="56"/>
        <v>0.94159999999999733</v>
      </c>
      <c r="AC49" s="457"/>
    </row>
    <row r="50" spans="1:29" ht="15.75" customHeight="1">
      <c r="A50" s="454" t="s">
        <v>927</v>
      </c>
      <c r="B50" s="31" t="s">
        <v>79</v>
      </c>
      <c r="C50" s="444" t="s">
        <v>80</v>
      </c>
      <c r="D50" s="445"/>
      <c r="E50" s="31">
        <v>21.13</v>
      </c>
      <c r="F50" s="228">
        <v>966</v>
      </c>
      <c r="G50" s="218">
        <f t="shared" si="58"/>
        <v>20411.579999999998</v>
      </c>
      <c r="H50" s="229" t="s">
        <v>103</v>
      </c>
      <c r="I50" s="226">
        <v>10</v>
      </c>
      <c r="J50" s="26">
        <v>3000</v>
      </c>
      <c r="K50" s="10">
        <f t="shared" si="53"/>
        <v>300</v>
      </c>
      <c r="L50" s="226">
        <v>10</v>
      </c>
      <c r="M50" s="11">
        <f t="shared" si="64"/>
        <v>2898.0000000000105</v>
      </c>
      <c r="N50" s="11">
        <f t="shared" si="60"/>
        <v>289.80000000000103</v>
      </c>
      <c r="O50" s="12">
        <f t="shared" si="61"/>
        <v>0</v>
      </c>
      <c r="P50" s="13">
        <f t="shared" si="50"/>
        <v>-10.199999999998965</v>
      </c>
      <c r="Q50" s="220">
        <f t="shared" si="65"/>
        <v>0.96600000000000341</v>
      </c>
      <c r="R50" s="457"/>
      <c r="S50" s="28">
        <v>0.56041666666666656</v>
      </c>
      <c r="T50" s="28">
        <v>0.5743055555555554</v>
      </c>
      <c r="U50" s="218">
        <f t="shared" si="63"/>
        <v>7.9999999999999716</v>
      </c>
      <c r="V50" s="227">
        <f t="shared" si="62"/>
        <v>19.999999999999929</v>
      </c>
      <c r="W50" s="16"/>
      <c r="X50" s="16"/>
      <c r="Y50" s="447"/>
      <c r="Z50" s="448"/>
      <c r="AA50" s="12">
        <f t="shared" si="2"/>
        <v>-101.99999999998954</v>
      </c>
      <c r="AB50" s="220">
        <f t="shared" si="56"/>
        <v>0.96600000000000352</v>
      </c>
      <c r="AC50" s="457"/>
    </row>
    <row r="51" spans="1:29" ht="15.75" customHeight="1">
      <c r="A51" s="455" t="s">
        <v>927</v>
      </c>
      <c r="B51" s="31" t="s">
        <v>926</v>
      </c>
      <c r="C51" s="459"/>
      <c r="D51" s="460"/>
      <c r="E51" s="225"/>
      <c r="F51" s="228"/>
      <c r="G51" s="218"/>
      <c r="H51" s="228"/>
      <c r="I51" s="19">
        <v>9.8000000000000007</v>
      </c>
      <c r="J51" s="26">
        <v>3000</v>
      </c>
      <c r="K51" s="10">
        <f>J51/I51</f>
        <v>306.12244897959181</v>
      </c>
      <c r="L51" s="19">
        <v>9.8000000000000007</v>
      </c>
      <c r="M51" s="11">
        <f>AVERAGE(M41:M50)</f>
        <v>2867.8598036709063</v>
      </c>
      <c r="N51" s="10">
        <f t="shared" si="60"/>
        <v>292.63875547662309</v>
      </c>
      <c r="O51" s="12">
        <f t="shared" si="61"/>
        <v>0</v>
      </c>
      <c r="P51" s="13">
        <f t="shared" si="50"/>
        <v>-13.48369350296872</v>
      </c>
      <c r="Q51" s="220">
        <f t="shared" si="65"/>
        <v>0.95595326789030222</v>
      </c>
      <c r="R51" s="458"/>
      <c r="S51" s="28"/>
      <c r="T51" s="28"/>
      <c r="U51" s="218"/>
      <c r="V51" s="227"/>
      <c r="W51" s="16"/>
      <c r="X51" s="16"/>
      <c r="Y51" s="447"/>
      <c r="Z51" s="448"/>
      <c r="AA51" s="12">
        <f t="shared" si="2"/>
        <v>-132.14019632909367</v>
      </c>
      <c r="AB51" s="220">
        <f t="shared" si="56"/>
        <v>0.95595326789030211</v>
      </c>
      <c r="AC51" s="458"/>
    </row>
    <row r="52" spans="1:29" ht="15.75" customHeight="1">
      <c r="A52" s="451" t="s">
        <v>48</v>
      </c>
      <c r="B52" s="31" t="s">
        <v>53</v>
      </c>
      <c r="C52" s="441" t="s">
        <v>87</v>
      </c>
      <c r="D52" s="441"/>
      <c r="E52" s="31">
        <v>46</v>
      </c>
      <c r="F52" s="35">
        <v>2531</v>
      </c>
      <c r="G52" s="218">
        <f t="shared" ref="G52:G57" si="66">E52*F52</f>
        <v>116426</v>
      </c>
      <c r="H52" s="229" t="s">
        <v>103</v>
      </c>
      <c r="I52" s="226">
        <v>17</v>
      </c>
      <c r="J52" s="26">
        <v>2000</v>
      </c>
      <c r="K52" s="10">
        <f t="shared" ref="K52:K57" si="67">J52/I52</f>
        <v>117.64705882352941</v>
      </c>
      <c r="L52" s="226">
        <v>17</v>
      </c>
      <c r="M52" s="11">
        <f t="shared" ref="M52:M57" si="68">F52/V52*60</f>
        <v>1898.2499999999993</v>
      </c>
      <c r="N52" s="11">
        <f>M52/L52</f>
        <v>111.66176470588232</v>
      </c>
      <c r="O52" s="12">
        <f>L52-I52</f>
        <v>0</v>
      </c>
      <c r="P52" s="13">
        <f>N52-K52</f>
        <v>-5.9852941176470864</v>
      </c>
      <c r="Q52" s="220">
        <f>N52/K52</f>
        <v>0.94912499999999977</v>
      </c>
      <c r="R52" s="442">
        <f>Q58</f>
        <v>0.94611833679309032</v>
      </c>
      <c r="S52" s="28">
        <v>0.25</v>
      </c>
      <c r="T52" s="28">
        <v>0.30555555555555558</v>
      </c>
      <c r="U52" s="18"/>
      <c r="V52" s="227">
        <f t="shared" ref="V52:V57" si="69">(T52-S52)*24*60</f>
        <v>80.000000000000028</v>
      </c>
      <c r="W52" s="18"/>
      <c r="X52" s="18"/>
      <c r="Y52" s="443"/>
      <c r="Z52" s="443"/>
      <c r="AA52" s="12">
        <f t="shared" si="2"/>
        <v>-101.75000000000068</v>
      </c>
      <c r="AB52" s="220">
        <f t="shared" si="56"/>
        <v>0.94912499999999966</v>
      </c>
      <c r="AC52" s="442">
        <f>AB58</f>
        <v>0.94611833679309032</v>
      </c>
    </row>
    <row r="53" spans="1:29" ht="15.75" customHeight="1">
      <c r="A53" s="451" t="s">
        <v>48</v>
      </c>
      <c r="B53" s="31" t="s">
        <v>53</v>
      </c>
      <c r="C53" s="441" t="s">
        <v>88</v>
      </c>
      <c r="D53" s="441"/>
      <c r="E53" s="31">
        <v>46</v>
      </c>
      <c r="F53" s="35">
        <v>2758</v>
      </c>
      <c r="G53" s="218">
        <f t="shared" si="66"/>
        <v>126868</v>
      </c>
      <c r="H53" s="229" t="s">
        <v>103</v>
      </c>
      <c r="I53" s="226">
        <v>17</v>
      </c>
      <c r="J53" s="26">
        <v>2000</v>
      </c>
      <c r="K53" s="10">
        <f t="shared" si="67"/>
        <v>117.64705882352941</v>
      </c>
      <c r="L53" s="226">
        <v>17</v>
      </c>
      <c r="M53" s="11">
        <f t="shared" si="68"/>
        <v>1880.4545454545455</v>
      </c>
      <c r="N53" s="11">
        <f t="shared" ref="N53:N57" si="70">M53/L53</f>
        <v>110.61497326203209</v>
      </c>
      <c r="O53" s="12">
        <f t="shared" ref="O53:O57" si="71">L53-I53</f>
        <v>0</v>
      </c>
      <c r="P53" s="13">
        <f t="shared" ref="P53:P57" si="72">N53-K53</f>
        <v>-7.0320855614973112</v>
      </c>
      <c r="Q53" s="220">
        <f t="shared" ref="Q53:Q57" si="73">N53/K53</f>
        <v>0.9402272727272728</v>
      </c>
      <c r="R53" s="442"/>
      <c r="S53" s="28">
        <v>0.30972222222222223</v>
      </c>
      <c r="T53" s="28">
        <v>0.37083333333333335</v>
      </c>
      <c r="U53" s="218">
        <f>IF(S53=TIME(17,0,0),"",(S53-T52)*24*60)</f>
        <v>5.9999999999999787</v>
      </c>
      <c r="V53" s="227">
        <f t="shared" si="69"/>
        <v>88</v>
      </c>
      <c r="W53" s="16"/>
      <c r="X53" s="16"/>
      <c r="Y53" s="443"/>
      <c r="Z53" s="443"/>
      <c r="AA53" s="12">
        <f t="shared" si="2"/>
        <v>-119.5454545454545</v>
      </c>
      <c r="AB53" s="220">
        <f t="shared" si="56"/>
        <v>0.9402272727272728</v>
      </c>
      <c r="AC53" s="442"/>
    </row>
    <row r="54" spans="1:29" ht="15.75" customHeight="1">
      <c r="A54" s="451" t="s">
        <v>928</v>
      </c>
      <c r="B54" s="31" t="s">
        <v>58</v>
      </c>
      <c r="C54" s="444" t="s">
        <v>168</v>
      </c>
      <c r="D54" s="445"/>
      <c r="E54" s="31">
        <v>54.09</v>
      </c>
      <c r="F54" s="35">
        <v>3550</v>
      </c>
      <c r="G54" s="218">
        <f t="shared" si="66"/>
        <v>192019.5</v>
      </c>
      <c r="H54" s="229" t="s">
        <v>103</v>
      </c>
      <c r="I54" s="226">
        <v>16</v>
      </c>
      <c r="J54" s="26">
        <v>2000</v>
      </c>
      <c r="K54" s="10">
        <f t="shared" si="67"/>
        <v>125</v>
      </c>
      <c r="L54" s="226">
        <v>16</v>
      </c>
      <c r="M54" s="11">
        <f t="shared" si="68"/>
        <v>1884.9557522123894</v>
      </c>
      <c r="N54" s="11">
        <f t="shared" si="70"/>
        <v>117.80973451327434</v>
      </c>
      <c r="O54" s="12">
        <f t="shared" si="71"/>
        <v>0</v>
      </c>
      <c r="P54" s="13">
        <f t="shared" si="72"/>
        <v>-7.1902654867256643</v>
      </c>
      <c r="Q54" s="220">
        <f t="shared" si="73"/>
        <v>0.94247787610619471</v>
      </c>
      <c r="R54" s="442"/>
      <c r="S54" s="28">
        <v>0.37569444444444444</v>
      </c>
      <c r="T54" s="28">
        <v>0.45416666666666666</v>
      </c>
      <c r="U54" s="218">
        <f t="shared" ref="U54:U57" si="74">IF(S54=TIME(17,0,0),"",(S54-T53)*24*60)</f>
        <v>6.9999999999999751</v>
      </c>
      <c r="V54" s="227">
        <f t="shared" si="69"/>
        <v>113</v>
      </c>
      <c r="W54" s="16"/>
      <c r="X54" s="16"/>
      <c r="Y54" s="223"/>
      <c r="Z54" s="224"/>
      <c r="AA54" s="12">
        <f t="shared" si="2"/>
        <v>-115.04424778761063</v>
      </c>
      <c r="AB54" s="220">
        <f t="shared" si="56"/>
        <v>0.94247787610619471</v>
      </c>
      <c r="AC54" s="442"/>
    </row>
    <row r="55" spans="1:29" ht="15.75" customHeight="1">
      <c r="A55" s="451" t="s">
        <v>928</v>
      </c>
      <c r="B55" s="31" t="s">
        <v>58</v>
      </c>
      <c r="C55" s="221" t="s">
        <v>89</v>
      </c>
      <c r="D55" s="222"/>
      <c r="E55" s="31">
        <v>55.56</v>
      </c>
      <c r="F55" s="35">
        <v>1863</v>
      </c>
      <c r="G55" s="218">
        <f t="shared" si="66"/>
        <v>103508.28</v>
      </c>
      <c r="H55" s="229" t="s">
        <v>103</v>
      </c>
      <c r="I55" s="226">
        <v>17</v>
      </c>
      <c r="J55" s="26">
        <v>2000</v>
      </c>
      <c r="K55" s="10">
        <f t="shared" si="67"/>
        <v>117.64705882352941</v>
      </c>
      <c r="L55" s="226">
        <v>17</v>
      </c>
      <c r="M55" s="11">
        <f t="shared" si="68"/>
        <v>1894.5762711864422</v>
      </c>
      <c r="N55" s="11">
        <f t="shared" si="70"/>
        <v>111.44566301096719</v>
      </c>
      <c r="O55" s="12">
        <f t="shared" si="71"/>
        <v>0</v>
      </c>
      <c r="P55" s="13">
        <f t="shared" si="72"/>
        <v>-6.2013958125622111</v>
      </c>
      <c r="Q55" s="220">
        <f t="shared" si="73"/>
        <v>0.94728813559322123</v>
      </c>
      <c r="R55" s="442"/>
      <c r="S55" s="28">
        <v>0.70833333333333337</v>
      </c>
      <c r="T55" s="28">
        <v>0.74930555555555556</v>
      </c>
      <c r="U55" s="218" t="str">
        <f t="shared" si="74"/>
        <v/>
      </c>
      <c r="V55" s="227">
        <f t="shared" si="69"/>
        <v>58.99999999999995</v>
      </c>
      <c r="W55" s="16"/>
      <c r="X55" s="16"/>
      <c r="Y55" s="223"/>
      <c r="Z55" s="224"/>
      <c r="AA55" s="12">
        <f t="shared" si="2"/>
        <v>-105.42372881355777</v>
      </c>
      <c r="AB55" s="220">
        <f t="shared" si="56"/>
        <v>0.94728813559322111</v>
      </c>
      <c r="AC55" s="442"/>
    </row>
    <row r="56" spans="1:29" ht="15.75" customHeight="1">
      <c r="A56" s="451" t="s">
        <v>928</v>
      </c>
      <c r="B56" s="31" t="s">
        <v>58</v>
      </c>
      <c r="C56" s="221" t="s">
        <v>90</v>
      </c>
      <c r="D56" s="222"/>
      <c r="E56" s="31">
        <v>55.32</v>
      </c>
      <c r="F56" s="35">
        <v>1391</v>
      </c>
      <c r="G56" s="218">
        <f t="shared" si="66"/>
        <v>76950.12</v>
      </c>
      <c r="H56" s="229" t="s">
        <v>103</v>
      </c>
      <c r="I56" s="226">
        <v>15</v>
      </c>
      <c r="J56" s="26">
        <v>2000</v>
      </c>
      <c r="K56" s="10">
        <f t="shared" si="67"/>
        <v>133.33333333333334</v>
      </c>
      <c r="L56" s="226">
        <v>15</v>
      </c>
      <c r="M56" s="11">
        <f t="shared" si="68"/>
        <v>1896.8181818181818</v>
      </c>
      <c r="N56" s="11">
        <f t="shared" si="70"/>
        <v>126.45454545454545</v>
      </c>
      <c r="O56" s="12">
        <f t="shared" si="71"/>
        <v>0</v>
      </c>
      <c r="P56" s="13">
        <f t="shared" si="72"/>
        <v>-6.8787878787878896</v>
      </c>
      <c r="Q56" s="220">
        <f t="shared" si="73"/>
        <v>0.94840909090909087</v>
      </c>
      <c r="R56" s="442"/>
      <c r="S56" s="28">
        <v>0.75416666666666665</v>
      </c>
      <c r="T56" s="28">
        <v>0.78472222222222221</v>
      </c>
      <c r="U56" s="218">
        <f t="shared" si="74"/>
        <v>6.9999999999999751</v>
      </c>
      <c r="V56" s="227">
        <f t="shared" si="69"/>
        <v>44</v>
      </c>
      <c r="W56" s="16"/>
      <c r="X56" s="16"/>
      <c r="Y56" s="223"/>
      <c r="Z56" s="224"/>
      <c r="AA56" s="12">
        <f t="shared" si="2"/>
        <v>-103.18181818181824</v>
      </c>
      <c r="AB56" s="220">
        <f t="shared" si="56"/>
        <v>0.94840909090909087</v>
      </c>
      <c r="AC56" s="442"/>
    </row>
    <row r="57" spans="1:29" ht="15.75" customHeight="1">
      <c r="A57" s="451" t="s">
        <v>928</v>
      </c>
      <c r="B57" s="31" t="s">
        <v>58</v>
      </c>
      <c r="C57" s="444" t="s">
        <v>91</v>
      </c>
      <c r="D57" s="445"/>
      <c r="E57" s="31">
        <v>57.73</v>
      </c>
      <c r="F57" s="35">
        <v>1164</v>
      </c>
      <c r="G57" s="218">
        <f t="shared" si="66"/>
        <v>67197.72</v>
      </c>
      <c r="H57" s="229" t="s">
        <v>103</v>
      </c>
      <c r="I57" s="226">
        <v>16</v>
      </c>
      <c r="J57" s="26">
        <v>1500</v>
      </c>
      <c r="K57" s="10">
        <f t="shared" si="67"/>
        <v>93.75</v>
      </c>
      <c r="L57" s="226">
        <v>16</v>
      </c>
      <c r="M57" s="11">
        <f t="shared" si="68"/>
        <v>1425.30612244898</v>
      </c>
      <c r="N57" s="11">
        <f t="shared" si="70"/>
        <v>89.081632653061249</v>
      </c>
      <c r="O57" s="12">
        <f t="shared" si="71"/>
        <v>0</v>
      </c>
      <c r="P57" s="13">
        <f t="shared" si="72"/>
        <v>-4.6683673469387514</v>
      </c>
      <c r="Q57" s="220">
        <f t="shared" si="73"/>
        <v>0.95020408163265335</v>
      </c>
      <c r="R57" s="442"/>
      <c r="S57" s="28">
        <v>0.79027777777777775</v>
      </c>
      <c r="T57" s="28">
        <v>0.82430555555555551</v>
      </c>
      <c r="U57" s="218">
        <f t="shared" si="74"/>
        <v>7.9999999999999716</v>
      </c>
      <c r="V57" s="227">
        <f t="shared" si="69"/>
        <v>48.999999999999986</v>
      </c>
      <c r="W57" s="16"/>
      <c r="X57" s="16"/>
      <c r="Y57" s="447"/>
      <c r="Z57" s="448"/>
      <c r="AA57" s="12">
        <f t="shared" si="2"/>
        <v>-74.693877551020023</v>
      </c>
      <c r="AB57" s="220">
        <f t="shared" si="56"/>
        <v>0.95020408163265335</v>
      </c>
      <c r="AC57" s="442"/>
    </row>
    <row r="58" spans="1:29">
      <c r="A58" s="452" t="s">
        <v>929</v>
      </c>
      <c r="B58" s="31" t="s">
        <v>930</v>
      </c>
      <c r="C58" s="446"/>
      <c r="D58" s="446"/>
      <c r="E58" s="219"/>
      <c r="F58" s="33"/>
      <c r="G58" s="10"/>
      <c r="H58" s="228"/>
      <c r="I58" s="19">
        <v>16.333333333333332</v>
      </c>
      <c r="J58" s="26">
        <v>1916.6666666666667</v>
      </c>
      <c r="K58" s="10">
        <f>J58/I58</f>
        <v>117.34693877551021</v>
      </c>
      <c r="L58" s="19">
        <v>16.333333333333332</v>
      </c>
      <c r="M58" s="11">
        <f>AVERAGE(M52:M57)</f>
        <v>1813.3934788534232</v>
      </c>
      <c r="N58" s="10">
        <f>M58/L58</f>
        <v>111.02409054204632</v>
      </c>
      <c r="O58" s="12">
        <f>L58-I58</f>
        <v>0</v>
      </c>
      <c r="P58" s="13">
        <f>N58-K58</f>
        <v>-6.3228482334638869</v>
      </c>
      <c r="Q58" s="220">
        <f>N58/K58</f>
        <v>0.94611833679309032</v>
      </c>
      <c r="R58" s="442"/>
      <c r="S58" s="29"/>
      <c r="T58" s="28"/>
      <c r="U58" s="10"/>
      <c r="V58" s="227"/>
      <c r="W58" s="10"/>
      <c r="X58" s="10"/>
      <c r="Y58" s="443"/>
      <c r="Z58" s="443"/>
      <c r="AA58" s="12">
        <f t="shared" si="2"/>
        <v>-103.27318781324357</v>
      </c>
      <c r="AB58" s="220">
        <f t="shared" si="56"/>
        <v>0.94611833679309032</v>
      </c>
      <c r="AC58" s="442"/>
    </row>
    <row r="59" spans="1:29" ht="15.75" customHeight="1">
      <c r="A59" s="449" t="s">
        <v>931</v>
      </c>
      <c r="B59" s="228" t="s">
        <v>92</v>
      </c>
      <c r="C59" s="441" t="s">
        <v>93</v>
      </c>
      <c r="D59" s="441"/>
      <c r="E59" s="31">
        <v>84.51</v>
      </c>
      <c r="F59" s="35">
        <v>993</v>
      </c>
      <c r="G59" s="218">
        <f t="shared" ref="G59:G64" si="75">E59*F59</f>
        <v>83918.430000000008</v>
      </c>
      <c r="H59" s="229" t="s">
        <v>103</v>
      </c>
      <c r="I59" s="226">
        <v>17</v>
      </c>
      <c r="J59" s="26">
        <v>2400</v>
      </c>
      <c r="K59" s="10">
        <f t="shared" ref="K59:K64" si="76">J59/I59</f>
        <v>141.1764705882353</v>
      </c>
      <c r="L59" s="19">
        <v>17</v>
      </c>
      <c r="M59" s="11">
        <f t="shared" ref="M59:M64" si="77">F59/V59*60</f>
        <v>2291.5384615384628</v>
      </c>
      <c r="N59" s="10">
        <f>M59/L59</f>
        <v>134.79638009049782</v>
      </c>
      <c r="O59" s="12">
        <f t="shared" ref="O59:O64" si="78">L59-I59</f>
        <v>0</v>
      </c>
      <c r="P59" s="13">
        <f t="shared" ref="P59:P64" si="79">N59-K59</f>
        <v>-6.3800904977374842</v>
      </c>
      <c r="Q59" s="220">
        <f>N59/K59</f>
        <v>0.9548076923076928</v>
      </c>
      <c r="R59" s="442">
        <f>Q65</f>
        <v>0.95660449566594463</v>
      </c>
      <c r="S59" s="28">
        <v>0.16666666666666666</v>
      </c>
      <c r="T59" s="28">
        <v>0.1847222222222222</v>
      </c>
      <c r="U59" s="218"/>
      <c r="V59" s="227">
        <f t="shared" ref="V59:V64" si="80">(T59-S59)*24*60</f>
        <v>25.999999999999986</v>
      </c>
      <c r="W59" s="16">
        <f>T59</f>
        <v>0.1847222222222222</v>
      </c>
      <c r="X59" s="16">
        <f>S60</f>
        <v>0.20277777777777775</v>
      </c>
      <c r="Y59" s="443"/>
      <c r="Z59" s="443"/>
      <c r="AA59" s="12">
        <f t="shared" si="2"/>
        <v>-108.4615384615372</v>
      </c>
      <c r="AB59" s="220">
        <f t="shared" si="56"/>
        <v>0.9548076923076928</v>
      </c>
      <c r="AC59" s="442">
        <f>AB65</f>
        <v>0.95660449566594463</v>
      </c>
    </row>
    <row r="60" spans="1:29" ht="15.75" customHeight="1">
      <c r="A60" s="449" t="s">
        <v>931</v>
      </c>
      <c r="B60" s="228" t="s">
        <v>79</v>
      </c>
      <c r="C60" s="441" t="s">
        <v>94</v>
      </c>
      <c r="D60" s="441"/>
      <c r="E60" s="31">
        <v>26.78</v>
      </c>
      <c r="F60" s="35">
        <v>2186</v>
      </c>
      <c r="G60" s="218">
        <f t="shared" si="75"/>
        <v>58541.08</v>
      </c>
      <c r="H60" s="229" t="s">
        <v>103</v>
      </c>
      <c r="I60" s="226">
        <v>10</v>
      </c>
      <c r="J60" s="26">
        <v>3000</v>
      </c>
      <c r="K60" s="10">
        <f t="shared" si="76"/>
        <v>300</v>
      </c>
      <c r="L60" s="19">
        <v>10</v>
      </c>
      <c r="M60" s="11">
        <f t="shared" si="77"/>
        <v>2851.304347826087</v>
      </c>
      <c r="N60" s="10">
        <f t="shared" ref="N60:N64" si="81">M60/L60</f>
        <v>285.13043478260869</v>
      </c>
      <c r="O60" s="12">
        <f t="shared" si="78"/>
        <v>0</v>
      </c>
      <c r="P60" s="13">
        <f t="shared" si="79"/>
        <v>-14.869565217391312</v>
      </c>
      <c r="Q60" s="220">
        <f t="shared" ref="Q60:Q64" si="82">N60/K60</f>
        <v>0.95043478260869563</v>
      </c>
      <c r="R60" s="442"/>
      <c r="S60" s="28">
        <v>0.20277777777777775</v>
      </c>
      <c r="T60" s="28">
        <v>0.23472222222222219</v>
      </c>
      <c r="U60" s="218">
        <f>(S60-T59)*24*60</f>
        <v>25.999999999999986</v>
      </c>
      <c r="V60" s="227">
        <f t="shared" si="80"/>
        <v>46</v>
      </c>
      <c r="W60" s="218"/>
      <c r="X60" s="218"/>
      <c r="Y60" s="443"/>
      <c r="Z60" s="443"/>
      <c r="AA60" s="12">
        <f t="shared" si="2"/>
        <v>-148.695652173913</v>
      </c>
      <c r="AB60" s="220">
        <f t="shared" si="56"/>
        <v>0.95043478260869563</v>
      </c>
      <c r="AC60" s="442"/>
    </row>
    <row r="61" spans="1:29" ht="15.75" customHeight="1">
      <c r="A61" s="449" t="s">
        <v>931</v>
      </c>
      <c r="B61" s="228" t="s">
        <v>79</v>
      </c>
      <c r="C61" s="441" t="s">
        <v>95</v>
      </c>
      <c r="D61" s="441"/>
      <c r="E61" s="31">
        <v>35.369999999999997</v>
      </c>
      <c r="F61" s="35">
        <v>1295</v>
      </c>
      <c r="G61" s="218">
        <f t="shared" si="75"/>
        <v>45804.149999999994</v>
      </c>
      <c r="H61" s="229" t="s">
        <v>103</v>
      </c>
      <c r="I61" s="226">
        <v>10</v>
      </c>
      <c r="J61" s="26">
        <v>3000</v>
      </c>
      <c r="K61" s="10">
        <f t="shared" si="76"/>
        <v>300</v>
      </c>
      <c r="L61" s="19">
        <v>10</v>
      </c>
      <c r="M61" s="11">
        <f t="shared" si="77"/>
        <v>2877.7777777777792</v>
      </c>
      <c r="N61" s="10">
        <f t="shared" si="81"/>
        <v>287.77777777777794</v>
      </c>
      <c r="O61" s="12">
        <f t="shared" si="78"/>
        <v>0</v>
      </c>
      <c r="P61" s="13">
        <f t="shared" si="79"/>
        <v>-12.222222222222058</v>
      </c>
      <c r="Q61" s="220">
        <f t="shared" si="82"/>
        <v>0.95925925925925981</v>
      </c>
      <c r="R61" s="442"/>
      <c r="S61" s="28">
        <v>0.23958333333333331</v>
      </c>
      <c r="T61" s="28">
        <v>0.2583333333333333</v>
      </c>
      <c r="U61" s="218">
        <f t="shared" ref="U61:U64" si="83">(S61-T60)*24*60</f>
        <v>7.0000000000000151</v>
      </c>
      <c r="V61" s="227">
        <f t="shared" si="80"/>
        <v>26.999999999999986</v>
      </c>
      <c r="W61" s="218"/>
      <c r="X61" s="218"/>
      <c r="Y61" s="443"/>
      <c r="Z61" s="443"/>
      <c r="AA61" s="12">
        <f t="shared" si="2"/>
        <v>-122.22222222222081</v>
      </c>
      <c r="AB61" s="220">
        <f t="shared" si="56"/>
        <v>0.9592592592592597</v>
      </c>
      <c r="AC61" s="442"/>
    </row>
    <row r="62" spans="1:29" ht="15.75" customHeight="1">
      <c r="A62" s="449" t="s">
        <v>931</v>
      </c>
      <c r="B62" s="228" t="s">
        <v>53</v>
      </c>
      <c r="C62" s="441" t="s">
        <v>96</v>
      </c>
      <c r="D62" s="441"/>
      <c r="E62" s="31">
        <v>26.97</v>
      </c>
      <c r="F62" s="35">
        <v>2819</v>
      </c>
      <c r="G62" s="218">
        <f t="shared" si="75"/>
        <v>76028.429999999993</v>
      </c>
      <c r="H62" s="229" t="s">
        <v>103</v>
      </c>
      <c r="I62" s="226">
        <v>8</v>
      </c>
      <c r="J62" s="26">
        <v>1500</v>
      </c>
      <c r="K62" s="10">
        <f t="shared" si="76"/>
        <v>187.5</v>
      </c>
      <c r="L62" s="19">
        <v>8</v>
      </c>
      <c r="M62" s="11">
        <f t="shared" si="77"/>
        <v>1421.3445378151264</v>
      </c>
      <c r="N62" s="10">
        <f t="shared" si="81"/>
        <v>177.6680672268908</v>
      </c>
      <c r="O62" s="12">
        <f t="shared" si="78"/>
        <v>0</v>
      </c>
      <c r="P62" s="13">
        <f t="shared" si="79"/>
        <v>-9.8319327731092017</v>
      </c>
      <c r="Q62" s="220">
        <f t="shared" si="82"/>
        <v>0.94756302521008429</v>
      </c>
      <c r="R62" s="442"/>
      <c r="S62" s="28">
        <v>0.2631944444444444</v>
      </c>
      <c r="T62" s="28">
        <v>0.34583333333333327</v>
      </c>
      <c r="U62" s="218">
        <f t="shared" si="83"/>
        <v>6.9999999999999751</v>
      </c>
      <c r="V62" s="227">
        <f t="shared" si="80"/>
        <v>118.99999999999997</v>
      </c>
      <c r="W62" s="218"/>
      <c r="X62" s="218"/>
      <c r="Y62" s="443"/>
      <c r="Z62" s="443"/>
      <c r="AA62" s="12">
        <f t="shared" si="2"/>
        <v>-78.655462184873613</v>
      </c>
      <c r="AB62" s="220">
        <f t="shared" si="56"/>
        <v>0.94756302521008429</v>
      </c>
      <c r="AC62" s="442"/>
    </row>
    <row r="63" spans="1:29">
      <c r="A63" s="450" t="s">
        <v>931</v>
      </c>
      <c r="B63" s="228" t="s">
        <v>79</v>
      </c>
      <c r="C63" s="441" t="s">
        <v>97</v>
      </c>
      <c r="D63" s="441"/>
      <c r="E63" s="31">
        <v>35.119999999999997</v>
      </c>
      <c r="F63" s="35">
        <v>972</v>
      </c>
      <c r="G63" s="218">
        <f t="shared" si="75"/>
        <v>34136.639999999999</v>
      </c>
      <c r="H63" s="229" t="s">
        <v>103</v>
      </c>
      <c r="I63" s="226">
        <v>13</v>
      </c>
      <c r="J63" s="26">
        <v>2000</v>
      </c>
      <c r="K63" s="10">
        <f t="shared" si="76"/>
        <v>153.84615384615384</v>
      </c>
      <c r="L63" s="19">
        <v>13</v>
      </c>
      <c r="M63" s="11">
        <f t="shared" si="77"/>
        <v>1944.000000000002</v>
      </c>
      <c r="N63" s="10">
        <f t="shared" si="81"/>
        <v>149.53846153846169</v>
      </c>
      <c r="O63" s="12">
        <f t="shared" si="78"/>
        <v>0</v>
      </c>
      <c r="P63" s="13">
        <f t="shared" si="79"/>
        <v>-4.3076923076921503</v>
      </c>
      <c r="Q63" s="220">
        <f t="shared" si="82"/>
        <v>0.97200000000000097</v>
      </c>
      <c r="R63" s="442"/>
      <c r="S63" s="28">
        <v>0.35138888888888881</v>
      </c>
      <c r="T63" s="28">
        <v>0.37222222222222212</v>
      </c>
      <c r="U63" s="218">
        <f t="shared" si="83"/>
        <v>7.9999999999999716</v>
      </c>
      <c r="V63" s="227">
        <f t="shared" si="80"/>
        <v>29.999999999999972</v>
      </c>
      <c r="W63" s="16"/>
      <c r="X63" s="16"/>
      <c r="Y63" s="443"/>
      <c r="Z63" s="443"/>
      <c r="AA63" s="12">
        <f t="shared" si="2"/>
        <v>-55.999999999997954</v>
      </c>
      <c r="AB63" s="220">
        <f t="shared" si="56"/>
        <v>0.97200000000000097</v>
      </c>
      <c r="AC63" s="442"/>
    </row>
    <row r="64" spans="1:29" ht="15" customHeight="1">
      <c r="A64" s="450" t="s">
        <v>931</v>
      </c>
      <c r="B64" s="228" t="s">
        <v>79</v>
      </c>
      <c r="C64" s="444" t="s">
        <v>98</v>
      </c>
      <c r="D64" s="445"/>
      <c r="E64" s="31">
        <v>35.869999999999997</v>
      </c>
      <c r="F64" s="35">
        <v>2055</v>
      </c>
      <c r="G64" s="218">
        <f t="shared" si="75"/>
        <v>73712.849999999991</v>
      </c>
      <c r="H64" s="229" t="s">
        <v>103</v>
      </c>
      <c r="I64" s="226">
        <v>10</v>
      </c>
      <c r="J64" s="26">
        <v>3000</v>
      </c>
      <c r="K64" s="10">
        <f t="shared" si="76"/>
        <v>300</v>
      </c>
      <c r="L64" s="19">
        <v>10</v>
      </c>
      <c r="M64" s="11">
        <f t="shared" si="77"/>
        <v>2867.4418604651155</v>
      </c>
      <c r="N64" s="10">
        <f t="shared" si="81"/>
        <v>286.74418604651157</v>
      </c>
      <c r="O64" s="12">
        <f t="shared" si="78"/>
        <v>0</v>
      </c>
      <c r="P64" s="13">
        <f t="shared" si="79"/>
        <v>-13.255813953488428</v>
      </c>
      <c r="Q64" s="220">
        <f t="shared" si="82"/>
        <v>0.95581395348837195</v>
      </c>
      <c r="R64" s="442"/>
      <c r="S64" s="28">
        <v>0.37638888888888877</v>
      </c>
      <c r="T64" s="28">
        <v>0.40624999999999989</v>
      </c>
      <c r="U64" s="218">
        <f t="shared" si="83"/>
        <v>5.9999999999999787</v>
      </c>
      <c r="V64" s="227">
        <f t="shared" si="80"/>
        <v>43.000000000000007</v>
      </c>
      <c r="W64" s="218"/>
      <c r="X64" s="218"/>
      <c r="Y64" s="447"/>
      <c r="Z64" s="448"/>
      <c r="AA64" s="12">
        <f t="shared" si="2"/>
        <v>-132.5581395348845</v>
      </c>
      <c r="AB64" s="220">
        <f t="shared" si="56"/>
        <v>0.95581395348837184</v>
      </c>
      <c r="AC64" s="442"/>
    </row>
    <row r="65" spans="1:29">
      <c r="A65" s="450" t="s">
        <v>931</v>
      </c>
      <c r="B65" s="31" t="s">
        <v>932</v>
      </c>
      <c r="C65" s="446"/>
      <c r="D65" s="446"/>
      <c r="E65" s="219"/>
      <c r="F65" s="33"/>
      <c r="G65" s="10"/>
      <c r="H65" s="228"/>
      <c r="I65" s="19">
        <v>11.333333333333334</v>
      </c>
      <c r="J65" s="26">
        <v>2483.3333333333335</v>
      </c>
      <c r="K65" s="10">
        <f>J65/I65</f>
        <v>219.11764705882354</v>
      </c>
      <c r="L65" s="19">
        <v>11.333333333333334</v>
      </c>
      <c r="M65" s="11">
        <f>AVERAGE(M59:M64)</f>
        <v>2375.5678309037626</v>
      </c>
      <c r="N65" s="10">
        <f>M65/L65</f>
        <v>209.60892625621435</v>
      </c>
      <c r="O65" s="12">
        <f>L65-I65</f>
        <v>0</v>
      </c>
      <c r="P65" s="13">
        <f>N65-K65</f>
        <v>-9.5087208026091901</v>
      </c>
      <c r="Q65" s="220">
        <f>N65/K65</f>
        <v>0.95660449566594463</v>
      </c>
      <c r="R65" s="442"/>
      <c r="S65" s="28"/>
      <c r="T65" s="28"/>
      <c r="U65" s="10"/>
      <c r="V65" s="227"/>
      <c r="W65" s="10"/>
      <c r="X65" s="10"/>
      <c r="Y65" s="443"/>
      <c r="Z65" s="443"/>
      <c r="AA65" s="12">
        <f t="shared" si="2"/>
        <v>-107.76550242957092</v>
      </c>
      <c r="AB65" s="220">
        <f t="shared" si="56"/>
        <v>0.95660449566594463</v>
      </c>
      <c r="AC65" s="442"/>
    </row>
    <row r="66" spans="1:29" ht="15.75" customHeight="1">
      <c r="A66" s="439" t="s">
        <v>933</v>
      </c>
      <c r="B66" s="228" t="s">
        <v>67</v>
      </c>
      <c r="C66" s="441" t="s">
        <v>99</v>
      </c>
      <c r="D66" s="441"/>
      <c r="E66" s="31">
        <v>20.2</v>
      </c>
      <c r="F66" s="228">
        <v>2039</v>
      </c>
      <c r="G66" s="218">
        <f t="shared" ref="G66:G71" si="84">E66*F66</f>
        <v>41187.799999999996</v>
      </c>
      <c r="H66" s="229" t="s">
        <v>103</v>
      </c>
      <c r="I66" s="226">
        <v>19</v>
      </c>
      <c r="J66" s="26">
        <v>2400</v>
      </c>
      <c r="K66" s="10">
        <f t="shared" ref="K66:K68" si="85">J66/I66</f>
        <v>126.31578947368421</v>
      </c>
      <c r="L66" s="19">
        <v>19</v>
      </c>
      <c r="M66" s="11">
        <f>F66/V66*60</f>
        <v>2265.5555555555552</v>
      </c>
      <c r="N66" s="10">
        <f t="shared" ref="N66:N71" si="86">M66/L66</f>
        <v>119.23976608187132</v>
      </c>
      <c r="O66" s="12">
        <f t="shared" ref="O66:O71" si="87">L66-I66</f>
        <v>0</v>
      </c>
      <c r="P66" s="13">
        <f t="shared" ref="P66:P71" si="88">N66-K66</f>
        <v>-7.0760233918128819</v>
      </c>
      <c r="Q66" s="220">
        <f>N66/K66</f>
        <v>0.94398148148148131</v>
      </c>
      <c r="R66" s="442">
        <f>Q72</f>
        <v>0.94931417997805756</v>
      </c>
      <c r="S66" s="28">
        <v>0.125</v>
      </c>
      <c r="T66" s="28">
        <v>0.16250000000000001</v>
      </c>
      <c r="U66" s="18"/>
      <c r="V66" s="227">
        <f t="shared" ref="V66:V71" si="89">(T66-S66)*24*60</f>
        <v>54.000000000000007</v>
      </c>
      <c r="W66" s="16">
        <f>T66</f>
        <v>0.16250000000000001</v>
      </c>
      <c r="X66" s="16">
        <f>S67</f>
        <v>0.18194444444444446</v>
      </c>
      <c r="Y66" s="443"/>
      <c r="Z66" s="443"/>
      <c r="AA66" s="12">
        <f t="shared" si="2"/>
        <v>-134.4444444444448</v>
      </c>
      <c r="AB66" s="220">
        <f>M66/J66</f>
        <v>0.94398148148148131</v>
      </c>
      <c r="AC66" s="442">
        <f>AB72</f>
        <v>0.94931417997805756</v>
      </c>
    </row>
    <row r="67" spans="1:29" ht="15.75" customHeight="1">
      <c r="A67" s="439" t="s">
        <v>933</v>
      </c>
      <c r="B67" s="228" t="s">
        <v>67</v>
      </c>
      <c r="C67" s="441" t="s">
        <v>100</v>
      </c>
      <c r="D67" s="441"/>
      <c r="E67" s="31">
        <v>19.02</v>
      </c>
      <c r="F67" s="228">
        <v>6500</v>
      </c>
      <c r="G67" s="218">
        <f t="shared" si="84"/>
        <v>123630</v>
      </c>
      <c r="H67" s="229">
        <v>2</v>
      </c>
      <c r="I67" s="226">
        <v>15</v>
      </c>
      <c r="J67" s="26">
        <v>2400</v>
      </c>
      <c r="K67" s="10">
        <f t="shared" si="85"/>
        <v>160</v>
      </c>
      <c r="L67" s="19">
        <v>15</v>
      </c>
      <c r="M67" s="11">
        <f t="shared" ref="M67:M71" si="90">F67/V67*60</f>
        <v>2267.4418604651155</v>
      </c>
      <c r="N67" s="10">
        <f t="shared" si="86"/>
        <v>151.16279069767435</v>
      </c>
      <c r="O67" s="12">
        <f t="shared" si="87"/>
        <v>0</v>
      </c>
      <c r="P67" s="13">
        <f t="shared" si="88"/>
        <v>-8.8372093023256468</v>
      </c>
      <c r="Q67" s="220">
        <f t="shared" ref="Q67:Q72" si="91">N67/K67</f>
        <v>0.94476744186046469</v>
      </c>
      <c r="R67" s="442"/>
      <c r="S67" s="28">
        <v>0.18194444444444446</v>
      </c>
      <c r="T67" s="28">
        <v>0.30138888888888893</v>
      </c>
      <c r="U67" s="218">
        <f>(S67-T66)*24*60</f>
        <v>28.000000000000021</v>
      </c>
      <c r="V67" s="227">
        <f t="shared" si="89"/>
        <v>172.00000000000003</v>
      </c>
      <c r="W67" s="16"/>
      <c r="X67" s="16"/>
      <c r="Y67" s="443"/>
      <c r="Z67" s="443"/>
      <c r="AA67" s="12">
        <f t="shared" si="2"/>
        <v>-132.5581395348845</v>
      </c>
      <c r="AB67" s="220">
        <f t="shared" ref="AB67:AB72" si="92">M67/J67</f>
        <v>0.9447674418604648</v>
      </c>
      <c r="AC67" s="442"/>
    </row>
    <row r="68" spans="1:29" ht="15.75" customHeight="1">
      <c r="A68" s="439" t="s">
        <v>933</v>
      </c>
      <c r="B68" s="228" t="s">
        <v>67</v>
      </c>
      <c r="C68" s="441" t="s">
        <v>101</v>
      </c>
      <c r="D68" s="441"/>
      <c r="E68" s="31">
        <v>25</v>
      </c>
      <c r="F68" s="228">
        <v>3450</v>
      </c>
      <c r="G68" s="218">
        <f t="shared" si="84"/>
        <v>86250</v>
      </c>
      <c r="H68" s="229" t="s">
        <v>103</v>
      </c>
      <c r="I68" s="226">
        <v>15</v>
      </c>
      <c r="J68" s="26">
        <v>2400</v>
      </c>
      <c r="K68" s="10">
        <f t="shared" si="85"/>
        <v>160</v>
      </c>
      <c r="L68" s="19">
        <v>15</v>
      </c>
      <c r="M68" s="11">
        <f t="shared" si="90"/>
        <v>2274.7252747252746</v>
      </c>
      <c r="N68" s="10">
        <f t="shared" si="86"/>
        <v>151.64835164835165</v>
      </c>
      <c r="O68" s="12">
        <f t="shared" si="87"/>
        <v>0</v>
      </c>
      <c r="P68" s="13">
        <f t="shared" si="88"/>
        <v>-8.3516483516483504</v>
      </c>
      <c r="Q68" s="220">
        <f t="shared" si="91"/>
        <v>0.94780219780219777</v>
      </c>
      <c r="R68" s="442"/>
      <c r="S68" s="28">
        <v>0.30694444444444446</v>
      </c>
      <c r="T68" s="28">
        <v>0.37013888888888891</v>
      </c>
      <c r="U68" s="218">
        <f t="shared" ref="U68:U71" si="93">(S68-T67)*24*60</f>
        <v>7.9999999999999716</v>
      </c>
      <c r="V68" s="227">
        <f t="shared" si="89"/>
        <v>91</v>
      </c>
      <c r="W68" s="16"/>
      <c r="X68" s="16"/>
      <c r="Y68" s="443"/>
      <c r="Z68" s="443"/>
      <c r="AA68" s="12">
        <f t="shared" si="2"/>
        <v>-125.27472527472537</v>
      </c>
      <c r="AB68" s="220">
        <f t="shared" si="92"/>
        <v>0.94780219780219777</v>
      </c>
      <c r="AC68" s="442"/>
    </row>
    <row r="69" spans="1:29" ht="15.75" customHeight="1">
      <c r="A69" s="439" t="s">
        <v>933</v>
      </c>
      <c r="B69" s="228" t="s">
        <v>67</v>
      </c>
      <c r="C69" s="441" t="s">
        <v>102</v>
      </c>
      <c r="D69" s="441"/>
      <c r="E69" s="31">
        <v>20.52</v>
      </c>
      <c r="F69" s="228">
        <v>3503</v>
      </c>
      <c r="G69" s="218">
        <f t="shared" si="84"/>
        <v>71881.56</v>
      </c>
      <c r="H69" s="229" t="s">
        <v>103</v>
      </c>
      <c r="I69" s="226">
        <v>18</v>
      </c>
      <c r="J69" s="26">
        <v>2400</v>
      </c>
      <c r="K69" s="10">
        <f>J69/I69</f>
        <v>133.33333333333334</v>
      </c>
      <c r="L69" s="19">
        <v>18</v>
      </c>
      <c r="M69" s="11">
        <f t="shared" si="90"/>
        <v>2260.0000000000005</v>
      </c>
      <c r="N69" s="10">
        <f t="shared" si="86"/>
        <v>125.55555555555559</v>
      </c>
      <c r="O69" s="12">
        <f t="shared" si="87"/>
        <v>0</v>
      </c>
      <c r="P69" s="13">
        <f t="shared" si="88"/>
        <v>-7.7777777777777573</v>
      </c>
      <c r="Q69" s="220">
        <f t="shared" si="91"/>
        <v>0.94166666666666687</v>
      </c>
      <c r="R69" s="442"/>
      <c r="S69" s="28">
        <v>0.375</v>
      </c>
      <c r="T69" s="28">
        <v>0.43958333333333333</v>
      </c>
      <c r="U69" s="218">
        <f t="shared" si="93"/>
        <v>6.9999999999999751</v>
      </c>
      <c r="V69" s="227">
        <f t="shared" si="89"/>
        <v>92.999999999999986</v>
      </c>
      <c r="W69" s="16"/>
      <c r="X69" s="16"/>
      <c r="Y69" s="443"/>
      <c r="Z69" s="443"/>
      <c r="AA69" s="12">
        <f t="shared" ref="AA69:AA72" si="94">M69-J69</f>
        <v>-139.99999999999955</v>
      </c>
      <c r="AB69" s="220">
        <f t="shared" si="92"/>
        <v>0.94166666666666687</v>
      </c>
      <c r="AC69" s="442"/>
    </row>
    <row r="70" spans="1:29" ht="15.75" customHeight="1">
      <c r="A70" s="439" t="s">
        <v>933</v>
      </c>
      <c r="B70" s="228" t="s">
        <v>67</v>
      </c>
      <c r="C70" s="441" t="s">
        <v>71</v>
      </c>
      <c r="D70" s="441"/>
      <c r="E70" s="31">
        <v>22.35</v>
      </c>
      <c r="F70" s="228">
        <v>1567</v>
      </c>
      <c r="G70" s="218">
        <f t="shared" si="84"/>
        <v>35022.450000000004</v>
      </c>
      <c r="H70" s="229" t="s">
        <v>103</v>
      </c>
      <c r="I70" s="226">
        <v>16</v>
      </c>
      <c r="J70" s="26">
        <v>2400</v>
      </c>
      <c r="K70" s="10">
        <f t="shared" ref="K70:K72" si="95">J70/I70</f>
        <v>150</v>
      </c>
      <c r="L70" s="19">
        <v>16</v>
      </c>
      <c r="M70" s="11">
        <f t="shared" si="90"/>
        <v>2293.170731707316</v>
      </c>
      <c r="N70" s="10">
        <f t="shared" si="86"/>
        <v>143.32317073170725</v>
      </c>
      <c r="O70" s="12">
        <f t="shared" si="87"/>
        <v>0</v>
      </c>
      <c r="P70" s="13">
        <f t="shared" si="88"/>
        <v>-6.6768292682927495</v>
      </c>
      <c r="Q70" s="220">
        <f t="shared" si="91"/>
        <v>0.9554878048780483</v>
      </c>
      <c r="R70" s="442"/>
      <c r="S70" s="28">
        <v>0.44513888888888886</v>
      </c>
      <c r="T70" s="28">
        <v>0.47361111111111109</v>
      </c>
      <c r="U70" s="218">
        <f t="shared" si="93"/>
        <v>7.9999999999999716</v>
      </c>
      <c r="V70" s="227">
        <f t="shared" si="89"/>
        <v>41.000000000000014</v>
      </c>
      <c r="W70" s="16">
        <f>T70</f>
        <v>0.47361111111111109</v>
      </c>
      <c r="X70" s="16">
        <f>S71</f>
        <v>0.51458333333333328</v>
      </c>
      <c r="Y70" s="443"/>
      <c r="Z70" s="443"/>
      <c r="AA70" s="12">
        <f t="shared" si="94"/>
        <v>-106.82926829268399</v>
      </c>
      <c r="AB70" s="220">
        <f t="shared" si="92"/>
        <v>0.9554878048780483</v>
      </c>
      <c r="AC70" s="442"/>
    </row>
    <row r="71" spans="1:29" ht="15.75" customHeight="1">
      <c r="A71" s="439" t="s">
        <v>933</v>
      </c>
      <c r="B71" s="228" t="s">
        <v>67</v>
      </c>
      <c r="C71" s="441" t="s">
        <v>100</v>
      </c>
      <c r="D71" s="441"/>
      <c r="E71" s="31">
        <v>19.02</v>
      </c>
      <c r="F71" s="228">
        <v>1501</v>
      </c>
      <c r="G71" s="218">
        <f t="shared" si="84"/>
        <v>28549.02</v>
      </c>
      <c r="H71" s="229" t="s">
        <v>103</v>
      </c>
      <c r="I71" s="226">
        <v>15</v>
      </c>
      <c r="J71" s="26">
        <v>2400</v>
      </c>
      <c r="K71" s="10">
        <f t="shared" si="95"/>
        <v>160</v>
      </c>
      <c r="L71" s="19">
        <v>15</v>
      </c>
      <c r="M71" s="11">
        <f t="shared" si="90"/>
        <v>2309.2307692307681</v>
      </c>
      <c r="N71" s="10">
        <f t="shared" si="86"/>
        <v>153.94871794871787</v>
      </c>
      <c r="O71" s="12">
        <f t="shared" si="87"/>
        <v>0</v>
      </c>
      <c r="P71" s="13">
        <f t="shared" si="88"/>
        <v>-6.0512820512821293</v>
      </c>
      <c r="Q71" s="220">
        <f t="shared" si="91"/>
        <v>0.96217948717948665</v>
      </c>
      <c r="R71" s="442"/>
      <c r="S71" s="28">
        <v>0.51458333333333328</v>
      </c>
      <c r="T71" s="28">
        <v>0.54166666666666663</v>
      </c>
      <c r="U71" s="218">
        <f t="shared" si="93"/>
        <v>58.99999999999995</v>
      </c>
      <c r="V71" s="227">
        <f t="shared" si="89"/>
        <v>39.000000000000021</v>
      </c>
      <c r="W71" s="16"/>
      <c r="X71" s="16"/>
      <c r="Y71" s="443"/>
      <c r="Z71" s="443"/>
      <c r="AA71" s="12">
        <f t="shared" si="94"/>
        <v>-90.769230769231854</v>
      </c>
      <c r="AB71" s="220">
        <f t="shared" si="92"/>
        <v>0.96217948717948676</v>
      </c>
      <c r="AC71" s="442"/>
    </row>
    <row r="72" spans="1:29" ht="16.5" customHeight="1">
      <c r="A72" s="440" t="s">
        <v>933</v>
      </c>
      <c r="B72" s="31" t="s">
        <v>932</v>
      </c>
      <c r="C72" s="446"/>
      <c r="D72" s="446"/>
      <c r="E72" s="219"/>
      <c r="F72" s="33"/>
      <c r="G72" s="10"/>
      <c r="H72" s="228"/>
      <c r="I72" s="19">
        <v>16.333333333333332</v>
      </c>
      <c r="J72" s="26">
        <v>2400</v>
      </c>
      <c r="K72" s="10">
        <f t="shared" si="95"/>
        <v>146.9387755102041</v>
      </c>
      <c r="L72" s="19">
        <v>16.333333333333332</v>
      </c>
      <c r="M72" s="11">
        <f>AVERAGE(M66:M71)</f>
        <v>2278.3540319473382</v>
      </c>
      <c r="N72" s="10">
        <f>M72/L72</f>
        <v>139.49106318044929</v>
      </c>
      <c r="O72" s="12">
        <f>L72-I72</f>
        <v>0</v>
      </c>
      <c r="P72" s="13">
        <f>N72-K72</f>
        <v>-7.4477123297548076</v>
      </c>
      <c r="Q72" s="220">
        <f t="shared" si="91"/>
        <v>0.94931417997805756</v>
      </c>
      <c r="R72" s="442"/>
      <c r="S72" s="28"/>
      <c r="T72" s="28"/>
      <c r="U72" s="10"/>
      <c r="V72" s="227"/>
      <c r="W72" s="10"/>
      <c r="X72" s="10"/>
      <c r="Y72" s="443"/>
      <c r="Z72" s="443"/>
      <c r="AA72" s="12">
        <f t="shared" si="94"/>
        <v>-121.64596805266183</v>
      </c>
      <c r="AB72" s="220">
        <f t="shared" si="92"/>
        <v>0.94931417997805756</v>
      </c>
      <c r="AC72" s="442"/>
    </row>
    <row r="73" spans="1:29">
      <c r="D73" s="22"/>
      <c r="E73" s="22"/>
    </row>
  </sheetData>
  <mergeCells count="19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23:AC30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6:Z26"/>
    <mergeCell ref="C27:D27"/>
    <mergeCell ref="Y27:Z27"/>
    <mergeCell ref="C28:D28"/>
    <mergeCell ref="Y28:Z28"/>
    <mergeCell ref="C29:D29"/>
    <mergeCell ref="Y29:Z29"/>
    <mergeCell ref="A23:A30"/>
    <mergeCell ref="C23:D23"/>
    <mergeCell ref="R23:R30"/>
    <mergeCell ref="Y23:Z23"/>
    <mergeCell ref="C30:D30"/>
    <mergeCell ref="Y30:Z30"/>
    <mergeCell ref="A31:A40"/>
    <mergeCell ref="C31:D31"/>
    <mergeCell ref="R31:R40"/>
    <mergeCell ref="Y31:Z31"/>
    <mergeCell ref="Y36:Z36"/>
    <mergeCell ref="C37:D37"/>
    <mergeCell ref="Y37:Z37"/>
    <mergeCell ref="C38:D38"/>
    <mergeCell ref="AC31:AC40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38:Z38"/>
    <mergeCell ref="C39:D39"/>
    <mergeCell ref="Y39:Z39"/>
    <mergeCell ref="C40:D40"/>
    <mergeCell ref="Y40:Z40"/>
    <mergeCell ref="A41:A51"/>
    <mergeCell ref="C41:D41"/>
    <mergeCell ref="R41:R51"/>
    <mergeCell ref="Y41:Z41"/>
    <mergeCell ref="Y46:Z46"/>
    <mergeCell ref="A52:A58"/>
    <mergeCell ref="C52:D52"/>
    <mergeCell ref="R52:R58"/>
    <mergeCell ref="Y52:Z52"/>
    <mergeCell ref="C47:D47"/>
    <mergeCell ref="Y47:Z47"/>
    <mergeCell ref="C48:D48"/>
    <mergeCell ref="Y48:Z48"/>
    <mergeCell ref="C49:D49"/>
    <mergeCell ref="Y49:Z49"/>
    <mergeCell ref="AC52:AC58"/>
    <mergeCell ref="C53:D53"/>
    <mergeCell ref="Y53:Z53"/>
    <mergeCell ref="C54:D54"/>
    <mergeCell ref="C57:D57"/>
    <mergeCell ref="Y57:Z57"/>
    <mergeCell ref="C58:D58"/>
    <mergeCell ref="Y58:Z58"/>
    <mergeCell ref="C50:D50"/>
    <mergeCell ref="Y50:Z50"/>
    <mergeCell ref="C51:D51"/>
    <mergeCell ref="Y51:Z51"/>
    <mergeCell ref="AC41:AC51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A59:A65"/>
    <mergeCell ref="C59:D59"/>
    <mergeCell ref="R59:R65"/>
    <mergeCell ref="Y59:Z59"/>
    <mergeCell ref="AC59:AC65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Y65:Z65"/>
    <mergeCell ref="Y69:Z69"/>
    <mergeCell ref="C70:D70"/>
    <mergeCell ref="Y70:Z70"/>
    <mergeCell ref="A66:A72"/>
    <mergeCell ref="C66:D66"/>
    <mergeCell ref="R66:R72"/>
    <mergeCell ref="Y66:Z66"/>
    <mergeCell ref="AC66:AC72"/>
    <mergeCell ref="C67:D67"/>
    <mergeCell ref="Y67:Z67"/>
    <mergeCell ref="C68:D68"/>
    <mergeCell ref="Y68:Z68"/>
    <mergeCell ref="C69:D69"/>
    <mergeCell ref="C71:D71"/>
    <mergeCell ref="Y71:Z71"/>
    <mergeCell ref="C72:D72"/>
    <mergeCell ref="Y72:Z72"/>
  </mergeCells>
  <phoneticPr fontId="3" type="noConversion"/>
  <conditionalFormatting sqref="O62:O72 O5:O9 O11:O13 O51:O59 O16:O46">
    <cfRule type="cellIs" dxfId="652" priority="57" operator="greaterThan">
      <formula>0</formula>
    </cfRule>
  </conditionalFormatting>
  <conditionalFormatting sqref="P5:P7 P62:P64 AA62:AA64 P66:P71 P23:P29 P59 P9 P11:P13 P17:P21 P52:P57 P31:P46 AA5:AA59 AA66:AA72">
    <cfRule type="cellIs" dxfId="651" priority="61" operator="lessThan">
      <formula>0</formula>
    </cfRule>
  </conditionalFormatting>
  <conditionalFormatting sqref="AB62:AB64 Q62:Q72 Q5:Q9 Q11:Q13 Q51:Q59 Q16:Q46 AB5:AB59 AB66:AB72">
    <cfRule type="cellIs" dxfId="650" priority="58" operator="greaterThan">
      <formula>1</formula>
    </cfRule>
    <cfRule type="cellIs" dxfId="649" priority="59" operator="lessThan">
      <formula>0.8</formula>
    </cfRule>
  </conditionalFormatting>
  <conditionalFormatting sqref="AC12:AC13 R12:R13 AC62 R16:R38 AC16:AC38 R62:R72 AC5:AC9 R5:R9 R40:R46 AC40:AC46 AC51:AC59 R51:R59">
    <cfRule type="cellIs" dxfId="648" priority="63" operator="lessThan">
      <formula>0.8</formula>
    </cfRule>
  </conditionalFormatting>
  <conditionalFormatting sqref="AC41">
    <cfRule type="cellIs" dxfId="647" priority="65" operator="lessThan">
      <formula>0.8</formula>
    </cfRule>
  </conditionalFormatting>
  <conditionalFormatting sqref="AC17:AC21">
    <cfRule type="cellIs" dxfId="646" priority="62" operator="lessThan">
      <formula>0.8</formula>
    </cfRule>
  </conditionalFormatting>
  <conditionalFormatting sqref="AC23">
    <cfRule type="cellIs" dxfId="645" priority="64" operator="lessThan">
      <formula>0.8</formula>
    </cfRule>
  </conditionalFormatting>
  <conditionalFormatting sqref="AC31:AC38">
    <cfRule type="cellIs" dxfId="644" priority="60" operator="lessThan">
      <formula>0.8</formula>
    </cfRule>
  </conditionalFormatting>
  <conditionalFormatting sqref="AA65">
    <cfRule type="cellIs" dxfId="643" priority="56" operator="lessThan">
      <formula>0</formula>
    </cfRule>
  </conditionalFormatting>
  <conditionalFormatting sqref="AB65">
    <cfRule type="cellIs" dxfId="642" priority="54" operator="greaterThan">
      <formula>1</formula>
    </cfRule>
    <cfRule type="cellIs" dxfId="641" priority="55" operator="lessThan">
      <formula>0.8</formula>
    </cfRule>
  </conditionalFormatting>
  <conditionalFormatting sqref="O14:O15">
    <cfRule type="cellIs" dxfId="640" priority="49" operator="greaterThan">
      <formula>0</formula>
    </cfRule>
  </conditionalFormatting>
  <conditionalFormatting sqref="P14:P15">
    <cfRule type="cellIs" dxfId="639" priority="52" operator="lessThan">
      <formula>0</formula>
    </cfRule>
  </conditionalFormatting>
  <conditionalFormatting sqref="Q14:Q15">
    <cfRule type="cellIs" dxfId="638" priority="50" operator="greaterThan">
      <formula>1</formula>
    </cfRule>
    <cfRule type="cellIs" dxfId="637" priority="51" operator="lessThan">
      <formula>0.8</formula>
    </cfRule>
  </conditionalFormatting>
  <conditionalFormatting sqref="R14:R15 AC14:AC15">
    <cfRule type="cellIs" dxfId="636" priority="53" operator="lessThan">
      <formula>0.8</formula>
    </cfRule>
  </conditionalFormatting>
  <conditionalFormatting sqref="O10">
    <cfRule type="cellIs" dxfId="635" priority="45" operator="greaterThan">
      <formula>0</formula>
    </cfRule>
  </conditionalFormatting>
  <conditionalFormatting sqref="P10">
    <cfRule type="cellIs" dxfId="634" priority="48" operator="lessThan">
      <formula>0</formula>
    </cfRule>
  </conditionalFormatting>
  <conditionalFormatting sqref="Q10">
    <cfRule type="cellIs" dxfId="633" priority="46" operator="greaterThan">
      <formula>1</formula>
    </cfRule>
    <cfRule type="cellIs" dxfId="632" priority="47" operator="lessThan">
      <formula>0.8</formula>
    </cfRule>
  </conditionalFormatting>
  <conditionalFormatting sqref="R39 AC39">
    <cfRule type="cellIs" dxfId="631" priority="44" operator="lessThan">
      <formula>0.8</formula>
    </cfRule>
  </conditionalFormatting>
  <conditionalFormatting sqref="AC39">
    <cfRule type="cellIs" dxfId="630" priority="43" operator="lessThan">
      <formula>0.8</formula>
    </cfRule>
  </conditionalFormatting>
  <conditionalFormatting sqref="O61">
    <cfRule type="cellIs" dxfId="629" priority="38" operator="greaterThan">
      <formula>0</formula>
    </cfRule>
  </conditionalFormatting>
  <conditionalFormatting sqref="P61 AA61">
    <cfRule type="cellIs" dxfId="628" priority="41" operator="lessThan">
      <formula>0</formula>
    </cfRule>
  </conditionalFormatting>
  <conditionalFormatting sqref="Q61 AB61">
    <cfRule type="cellIs" dxfId="627" priority="39" operator="greaterThan">
      <formula>1</formula>
    </cfRule>
    <cfRule type="cellIs" dxfId="626" priority="40" operator="lessThan">
      <formula>0.8</formula>
    </cfRule>
  </conditionalFormatting>
  <conditionalFormatting sqref="R61 AC61">
    <cfRule type="cellIs" dxfId="625" priority="42" operator="lessThan">
      <formula>0.8</formula>
    </cfRule>
  </conditionalFormatting>
  <conditionalFormatting sqref="O47">
    <cfRule type="cellIs" dxfId="624" priority="32" operator="greaterThan">
      <formula>0</formula>
    </cfRule>
  </conditionalFormatting>
  <conditionalFormatting sqref="P47">
    <cfRule type="cellIs" dxfId="623" priority="36" operator="lessThan">
      <formula>0</formula>
    </cfRule>
  </conditionalFormatting>
  <conditionalFormatting sqref="Q47">
    <cfRule type="cellIs" dxfId="622" priority="33" operator="greaterThan">
      <formula>1</formula>
    </cfRule>
    <cfRule type="cellIs" dxfId="621" priority="34" operator="lessThan">
      <formula>0.8</formula>
    </cfRule>
  </conditionalFormatting>
  <conditionalFormatting sqref="R47 AC47">
    <cfRule type="cellIs" dxfId="620" priority="37" operator="lessThan">
      <formula>0.8</formula>
    </cfRule>
  </conditionalFormatting>
  <conditionalFormatting sqref="AC47">
    <cfRule type="cellIs" dxfId="619" priority="35" operator="lessThan">
      <formula>0.8</formula>
    </cfRule>
  </conditionalFormatting>
  <conditionalFormatting sqref="O48">
    <cfRule type="cellIs" dxfId="618" priority="26" operator="greaterThan">
      <formula>0</formula>
    </cfRule>
  </conditionalFormatting>
  <conditionalFormatting sqref="P48">
    <cfRule type="cellIs" dxfId="617" priority="30" operator="lessThan">
      <formula>0</formula>
    </cfRule>
  </conditionalFormatting>
  <conditionalFormatting sqref="Q48">
    <cfRule type="cellIs" dxfId="616" priority="27" operator="greaterThan">
      <formula>1</formula>
    </cfRule>
    <cfRule type="cellIs" dxfId="615" priority="28" operator="lessThan">
      <formula>0.8</formula>
    </cfRule>
  </conditionalFormatting>
  <conditionalFormatting sqref="R48 AC48">
    <cfRule type="cellIs" dxfId="614" priority="31" operator="lessThan">
      <formula>0.8</formula>
    </cfRule>
  </conditionalFormatting>
  <conditionalFormatting sqref="AC48">
    <cfRule type="cellIs" dxfId="613" priority="29" operator="lessThan">
      <formula>0.8</formula>
    </cfRule>
  </conditionalFormatting>
  <conditionalFormatting sqref="O49">
    <cfRule type="cellIs" dxfId="612" priority="20" operator="greaterThan">
      <formula>0</formula>
    </cfRule>
  </conditionalFormatting>
  <conditionalFormatting sqref="P49">
    <cfRule type="cellIs" dxfId="611" priority="24" operator="lessThan">
      <formula>0</formula>
    </cfRule>
  </conditionalFormatting>
  <conditionalFormatting sqref="Q49">
    <cfRule type="cellIs" dxfId="610" priority="21" operator="greaterThan">
      <formula>1</formula>
    </cfRule>
    <cfRule type="cellIs" dxfId="609" priority="22" operator="lessThan">
      <formula>0.8</formula>
    </cfRule>
  </conditionalFormatting>
  <conditionalFormatting sqref="R49 AC49">
    <cfRule type="cellIs" dxfId="608" priority="25" operator="lessThan">
      <formula>0.8</formula>
    </cfRule>
  </conditionalFormatting>
  <conditionalFormatting sqref="AC49">
    <cfRule type="cellIs" dxfId="607" priority="23" operator="lessThan">
      <formula>0.8</formula>
    </cfRule>
  </conditionalFormatting>
  <conditionalFormatting sqref="O50">
    <cfRule type="cellIs" dxfId="606" priority="14" operator="greaterThan">
      <formula>0</formula>
    </cfRule>
  </conditionalFormatting>
  <conditionalFormatting sqref="P50">
    <cfRule type="cellIs" dxfId="605" priority="18" operator="lessThan">
      <formula>0</formula>
    </cfRule>
  </conditionalFormatting>
  <conditionalFormatting sqref="Q50">
    <cfRule type="cellIs" dxfId="604" priority="15" operator="greaterThan">
      <formula>1</formula>
    </cfRule>
    <cfRule type="cellIs" dxfId="603" priority="16" operator="lessThan">
      <formula>0.8</formula>
    </cfRule>
  </conditionalFormatting>
  <conditionalFormatting sqref="R50 AC50">
    <cfRule type="cellIs" dxfId="602" priority="19" operator="lessThan">
      <formula>0.8</formula>
    </cfRule>
  </conditionalFormatting>
  <conditionalFormatting sqref="AC50">
    <cfRule type="cellIs" dxfId="601" priority="17" operator="lessThan">
      <formula>0.8</formula>
    </cfRule>
  </conditionalFormatting>
  <conditionalFormatting sqref="O60">
    <cfRule type="cellIs" dxfId="600" priority="9" operator="greaterThan">
      <formula>0</formula>
    </cfRule>
  </conditionalFormatting>
  <conditionalFormatting sqref="P60 AA60">
    <cfRule type="cellIs" dxfId="599" priority="12" operator="lessThan">
      <formula>0</formula>
    </cfRule>
  </conditionalFormatting>
  <conditionalFormatting sqref="Q60 AB60">
    <cfRule type="cellIs" dxfId="598" priority="10" operator="greaterThan">
      <formula>1</formula>
    </cfRule>
    <cfRule type="cellIs" dxfId="597" priority="11" operator="lessThan">
      <formula>0.8</formula>
    </cfRule>
  </conditionalFormatting>
  <conditionalFormatting sqref="R60 AC60">
    <cfRule type="cellIs" dxfId="596" priority="13" operator="lessThan">
      <formula>0.8</formula>
    </cfRule>
  </conditionalFormatting>
  <conditionalFormatting sqref="P8">
    <cfRule type="cellIs" dxfId="595" priority="8" operator="lessThan">
      <formula>0</formula>
    </cfRule>
  </conditionalFormatting>
  <conditionalFormatting sqref="P16">
    <cfRule type="cellIs" dxfId="594" priority="7" operator="lessThan">
      <formula>0</formula>
    </cfRule>
  </conditionalFormatting>
  <conditionalFormatting sqref="P22">
    <cfRule type="cellIs" dxfId="593" priority="6" operator="lessThan">
      <formula>0</formula>
    </cfRule>
  </conditionalFormatting>
  <conditionalFormatting sqref="P30">
    <cfRule type="cellIs" dxfId="592" priority="5" operator="lessThan">
      <formula>0</formula>
    </cfRule>
  </conditionalFormatting>
  <conditionalFormatting sqref="P51">
    <cfRule type="cellIs" dxfId="591" priority="4" operator="lessThan">
      <formula>0</formula>
    </cfRule>
  </conditionalFormatting>
  <conditionalFormatting sqref="P58">
    <cfRule type="cellIs" dxfId="590" priority="3" operator="lessThan">
      <formula>0</formula>
    </cfRule>
  </conditionalFormatting>
  <conditionalFormatting sqref="P65">
    <cfRule type="cellIs" dxfId="589" priority="2" operator="lessThan">
      <formula>0</formula>
    </cfRule>
  </conditionalFormatting>
  <conditionalFormatting sqref="P72">
    <cfRule type="cellIs" dxfId="588" priority="1" operator="lessThan">
      <formula>0</formula>
    </cfRule>
  </conditionalFormatting>
  <dataValidations count="1">
    <dataValidation type="list" allowBlank="1" showInputMessage="1" showErrorMessage="1" sqref="Z8 Z63:Z64 Y5:Z7 Y8:Y64 Z10:Z59 Y65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B1:Q28"/>
  <sheetViews>
    <sheetView zoomScale="70" zoomScaleNormal="70" workbookViewId="0">
      <selection activeCell="H17" sqref="H17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848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94" t="s">
        <v>847</v>
      </c>
      <c r="C3" s="493" t="str">
        <f>TEXT('0911 4度C'!A2,"yyyy.mm.ddaaaa")</f>
        <v>2025.09.11星期四</v>
      </c>
      <c r="D3" s="493"/>
      <c r="E3" s="194" t="s">
        <v>701</v>
      </c>
      <c r="F3" s="494">
        <f>'0911 4度C'!D1</f>
        <v>164410</v>
      </c>
      <c r="G3" s="494"/>
      <c r="H3" s="194" t="s">
        <v>846</v>
      </c>
      <c r="I3" s="495">
        <f>'0911 4度C'!F1</f>
        <v>5409403.6100000022</v>
      </c>
      <c r="J3" s="495"/>
      <c r="K3" s="45"/>
      <c r="L3" s="46"/>
      <c r="M3" s="47"/>
      <c r="N3" s="47"/>
    </row>
    <row r="4" spans="2:17" ht="28.5" customHeight="1">
      <c r="B4" s="496" t="s">
        <v>845</v>
      </c>
      <c r="C4" s="496" t="s">
        <v>844</v>
      </c>
      <c r="D4" s="496"/>
      <c r="E4" s="497" t="s">
        <v>843</v>
      </c>
      <c r="F4" s="497"/>
      <c r="G4" s="497" t="s">
        <v>842</v>
      </c>
      <c r="H4" s="497"/>
      <c r="I4" s="497" t="s">
        <v>841</v>
      </c>
      <c r="J4" s="497"/>
      <c r="L4" s="47"/>
      <c r="M4" s="47"/>
      <c r="N4" s="47"/>
    </row>
    <row r="5" spans="2:17" ht="28.5" customHeight="1">
      <c r="B5" s="496"/>
      <c r="C5" s="496" t="s">
        <v>840</v>
      </c>
      <c r="D5" s="496"/>
      <c r="E5" s="496" t="s">
        <v>839</v>
      </c>
      <c r="F5" s="496"/>
      <c r="G5" s="498" t="s">
        <v>838</v>
      </c>
      <c r="H5" s="498"/>
      <c r="I5" s="499" t="s">
        <v>837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147.2688629118407</v>
      </c>
      <c r="F6" s="496">
        <f>AVERAGE(D27:O27,D13:J13)</f>
        <v>152.14463817133804</v>
      </c>
      <c r="G6" s="501">
        <f>AVERAGE(D13:J13)</f>
        <v>152.14463817133804</v>
      </c>
      <c r="H6" s="501"/>
      <c r="I6" s="501">
        <f>AVERAGE(K13:M13)</f>
        <v>135.8920539730135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139.94954998512389</v>
      </c>
      <c r="F7" s="506">
        <f>AVERAGE(D28:O28,D14:J14)</f>
        <v>144.76310493974054</v>
      </c>
      <c r="G7" s="507">
        <f>AVERAGE(D14:J14)</f>
        <v>144.76310493974054</v>
      </c>
      <c r="H7" s="507"/>
      <c r="I7" s="507">
        <f>AVERAGE(K14:M14)</f>
        <v>128.71792175768508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0.94933358922555244</v>
      </c>
      <c r="F8" s="504">
        <f>AVERAGE(D15:J15,D29:O29)</f>
        <v>0.95027110358638123</v>
      </c>
      <c r="G8" s="509">
        <f>AVERAGE(D15:J15)</f>
        <v>0.95027110358638123</v>
      </c>
      <c r="H8" s="509"/>
      <c r="I8" s="509">
        <f>AVERAGE(K15:M15)</f>
        <v>0.94714605571695232</v>
      </c>
      <c r="J8" s="509"/>
      <c r="K8" s="48" t="s">
        <v>836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835</v>
      </c>
      <c r="C10" s="414"/>
      <c r="D10" s="415" t="s">
        <v>834</v>
      </c>
      <c r="E10" s="416"/>
      <c r="F10" s="416"/>
      <c r="G10" s="416"/>
      <c r="H10" s="416"/>
      <c r="I10" s="416"/>
      <c r="J10" s="417"/>
      <c r="K10" s="389" t="s">
        <v>833</v>
      </c>
      <c r="L10" s="390"/>
      <c r="M10" s="391"/>
      <c r="P10" s="51"/>
      <c r="Q10" s="51"/>
    </row>
    <row r="11" spans="2:17" ht="17.25" customHeight="1">
      <c r="B11" s="503" t="s">
        <v>832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831</v>
      </c>
      <c r="C13" s="58" t="s">
        <v>830</v>
      </c>
      <c r="D13" s="59">
        <f>SUMIFS('0911 4度C'!$K:$K,'0911 4度C'!$A:$A,"新豐6線",'0911 4度C'!$B:$B,"平均")</f>
        <v>125</v>
      </c>
      <c r="E13" s="60">
        <f>SUMIFS('0911 4度C'!$K:$K,'0911 4度C'!$A:$A,"新豐2線",'0911 4度C'!$B:$B,"平均")</f>
        <v>83.333333333333329</v>
      </c>
      <c r="F13" s="61">
        <f>SUMIFS('0911 4度C'!$K:$K,'0911 4度C'!$A:$A,"新豐5線",'0911 4度C'!$B:$B,"平均")</f>
        <v>90.909090909090907</v>
      </c>
      <c r="G13" s="61">
        <f>SUMIFS('0911 4度C'!$K:$K,'0911 4度C'!$A:$A,"新豐7線",'0911 4度C'!$B:$B,"平均")</f>
        <v>120.48192771084337</v>
      </c>
      <c r="H13" s="61">
        <f>SUMIFS('0911 4度C'!$K:$K,'0911 4度C'!$A:$A,"新豐3線",'0911 4度C'!$B:$B,"平均")</f>
        <v>308.82352941176475</v>
      </c>
      <c r="I13" s="61">
        <f>SUMIFS('0911 4度C'!$K:$K,'0911 4度C'!$A:$A,"新豐1線",'0911 4度C'!$B:$B,"平均")</f>
        <v>117.34693877551021</v>
      </c>
      <c r="J13" s="62">
        <f>SUMIFS('0911 4度C'!$K:$K,'0911 4度C'!$A:$A,"新豐10線",'0911 4度C'!$B:$B,"平均")</f>
        <v>219.11764705882354</v>
      </c>
      <c r="K13" s="63">
        <f>SUMIFS('0911 4度C'!$K:$K,'0911 4度C'!$A:$A,"新豐8線",'0911 4度C'!$B:$B,"平均")</f>
        <v>132.41379310344828</v>
      </c>
      <c r="L13" s="64">
        <f>SUMIFS('0911 4度C'!$K:$K,'0911 4度C'!$A:$A,"新豐9線",'0911 4度C'!$B:$B,"平均")</f>
        <v>130.43478260869566</v>
      </c>
      <c r="M13" s="62">
        <f>SUMIFS('0911 4度C'!$K:$K,'0911 4度C'!$A:$A,"新豐4線",'0911 4度C'!$B:$B,"平均")</f>
        <v>144.82758620689654</v>
      </c>
    </row>
    <row r="14" spans="2:17" ht="39.6" customHeight="1">
      <c r="B14" s="515"/>
      <c r="C14" s="65" t="s">
        <v>829</v>
      </c>
      <c r="D14" s="66">
        <f>SUMIFS('0911 4度C'!$N:$N,'0911 4度C'!$A:$A,"新豐6線",'0911 4度C'!$B:$B,"平均")</f>
        <v>119.72898999416691</v>
      </c>
      <c r="E14" s="67">
        <f>SUMIFS('0911 4度C'!$N:$N,'0911 4度C'!$A:$A,"新豐2線",'0911 4度C'!$B:$B,"平均")</f>
        <v>78.761310068301924</v>
      </c>
      <c r="F14" s="67">
        <f>SUMIFS('0911 4度C'!$N:$N,'0911 4度C'!$A:$A,"新豐5線",'0911 4度C'!$B:$B,"平均")</f>
        <v>85.926818856500532</v>
      </c>
      <c r="G14" s="67">
        <f>SUMIFS('0911 4度C'!$N:$N,'0911 4度C'!$A:$A,"新豐7線",'0911 4度C'!$B:$B,"平均")</f>
        <v>114.2000423494128</v>
      </c>
      <c r="H14" s="67">
        <f>SUMIFS('0911 4度C'!$N:$N,'0911 4度C'!$A:$A,"新豐3線",'0911 4度C'!$B:$B,"平均")</f>
        <v>294.57425147493035</v>
      </c>
      <c r="I14" s="67">
        <f>SUMIFS('0911 4度C'!$N:$N,'0911 4度C'!$A:$A,"新豐1線",'0911 4度C'!$B:$B,"平均")</f>
        <v>111.40188802793844</v>
      </c>
      <c r="J14" s="68">
        <f>SUMIFS('0911 4度C'!$N:$N,'0911 4度C'!$A:$A,"新豐10線",'0911 4度C'!$B:$B,"平均")</f>
        <v>208.74843380693284</v>
      </c>
      <c r="K14" s="69">
        <f>SUMIFS('0911 4度C'!$N:$N,'0911 4度C'!$A:$A,"新豐8線",'0911 4度C'!$B:$B,"平均")</f>
        <v>125.18075058624484</v>
      </c>
      <c r="L14" s="70">
        <f>SUMIFS('0911 4度C'!$N:$N,'0911 4度C'!$A:$A,"新豐9線",'0911 4度C'!$B:$B,"平均")</f>
        <v>123.51435733082668</v>
      </c>
      <c r="M14" s="68">
        <f>SUMIFS('0911 4度C'!$N:$N,'0911 4度C'!$A:$A,"新豐4線",'0911 4度C'!$B:$B,"平均")</f>
        <v>137.45865735598366</v>
      </c>
    </row>
    <row r="15" spans="2:17" ht="40.15" customHeight="1">
      <c r="B15" s="515"/>
      <c r="C15" s="71" t="s">
        <v>828</v>
      </c>
      <c r="D15" s="72">
        <f t="shared" ref="D15:M15" si="0">D14/D13</f>
        <v>0.95783191995333528</v>
      </c>
      <c r="E15" s="73">
        <f t="shared" si="0"/>
        <v>0.94513572081962316</v>
      </c>
      <c r="F15" s="73">
        <f t="shared" si="0"/>
        <v>0.94519500742150586</v>
      </c>
      <c r="G15" s="73">
        <f t="shared" si="0"/>
        <v>0.94786035150012626</v>
      </c>
      <c r="H15" s="73">
        <f t="shared" si="0"/>
        <v>0.95385948096644102</v>
      </c>
      <c r="I15" s="73">
        <f t="shared" si="0"/>
        <v>0.9493378284119971</v>
      </c>
      <c r="J15" s="74">
        <f t="shared" si="0"/>
        <v>0.9526774160316398</v>
      </c>
      <c r="K15" s="72">
        <f t="shared" si="0"/>
        <v>0.94537546015653651</v>
      </c>
      <c r="L15" s="73">
        <f t="shared" si="0"/>
        <v>0.94694340620300455</v>
      </c>
      <c r="M15" s="74">
        <f t="shared" si="0"/>
        <v>0.94911930079131579</v>
      </c>
    </row>
    <row r="16" spans="2:17" ht="17.25" customHeight="1">
      <c r="B16" s="502" t="s">
        <v>827</v>
      </c>
      <c r="C16" s="195" t="s">
        <v>826</v>
      </c>
      <c r="D16" s="76">
        <f>VLOOKUP("新豐6線",'0911 4度C'!$A:$T,19,0)</f>
        <v>0.70833333333333337</v>
      </c>
      <c r="E16" s="28">
        <f>VLOOKUP("新豐2線",'0911 4度C'!$A:$T,19,0)</f>
        <v>0.125</v>
      </c>
      <c r="F16" s="28">
        <f>VLOOKUP("新豐5線",'0911 4度C'!$A:$T,19,0)</f>
        <v>0.20833333333333334</v>
      </c>
      <c r="G16" s="28">
        <f>VLOOKUP("新豐7線",'0911 4度C'!$A:$T,19,0)</f>
        <v>0.20833333333333334</v>
      </c>
      <c r="H16" s="28">
        <f>VLOOKUP("新豐3線",'0911 4度C'!$A:$T,19,0)</f>
        <v>0.20833333333333334</v>
      </c>
      <c r="I16" s="28">
        <f>VLOOKUP("新豐1線",'0911 4度C'!$A:$T,19,0)</f>
        <v>0.25</v>
      </c>
      <c r="J16" s="77">
        <f>VLOOKUP("新豐10線",'0911 4度C'!$A:$T,19,0)</f>
        <v>0.16666666666666666</v>
      </c>
      <c r="K16" s="78">
        <f>VLOOKUP("新豐8線",'0911 4度C'!$A:$T,19,0)</f>
        <v>0.125</v>
      </c>
      <c r="L16" s="79">
        <f>VLOOKUP("新豐9線",'0911 4度C'!$A:$T,19,0)</f>
        <v>0.125</v>
      </c>
      <c r="M16" s="80">
        <f>VLOOKUP("新豐4線",'0911 4度C'!$A:$T,19,0)</f>
        <v>0.125</v>
      </c>
    </row>
    <row r="17" spans="2:13" ht="17.25" customHeight="1">
      <c r="B17" s="503"/>
      <c r="C17" s="195" t="s">
        <v>825</v>
      </c>
      <c r="D17" s="78">
        <f>LOOKUP(2,1/(('0911 4度C'!$A:$A="新豐6線")*('0911 4度C'!$T:$T&lt;&gt;"")),'0911 4度C'!$T:$T)</f>
        <v>0.80902777777777779</v>
      </c>
      <c r="E17" s="28">
        <f>LOOKUP(2,1/(('0911 4度C'!$A:$A="新豐2線")*('0911 4度C'!$T:$T&lt;&gt;"")),'0911 4度C'!$T:$T)</f>
        <v>0.62152777777777768</v>
      </c>
      <c r="F17" s="28">
        <f>LOOKUP(2,1/(('0911 4度C'!$A:$A="新豐5線")*('0911 4度C'!$T:$T&lt;&gt;"")),'0911 4度C'!$T:$T)</f>
        <v>0.82152777777777786</v>
      </c>
      <c r="G17" s="28">
        <f>LOOKUP(2,1/(('0911 4度C'!$A:$A="新豐7線")*('0911 4度C'!$T:$T&lt;&gt;"")),'0911 4度C'!$T:$T)</f>
        <v>0.77916666666666667</v>
      </c>
      <c r="H17" s="28">
        <f>LOOKUP(2,1/(('0911 4度C'!$A:$A="新豐3線")*('0911 4度C'!$T:$T&lt;&gt;"")),'0911 4度C'!$T:$T)</f>
        <v>0.63124999999999998</v>
      </c>
      <c r="I17" s="28">
        <f>LOOKUP(2,1/(('0911 4度C'!$A:$A="新豐1線")*('0911 4度C'!$T:$T&lt;&gt;"")),'0911 4度C'!$T:$T)</f>
        <v>0.82291666666666663</v>
      </c>
      <c r="J17" s="77">
        <f>LOOKUP(2,1/(('0911 4度C'!$A:$A="新豐10線")*('0911 4度C'!$T:$T&lt;&gt;"")),'0911 4度C'!$T:$T)</f>
        <v>0.43819444444444444</v>
      </c>
      <c r="K17" s="76">
        <f>LOOKUP(2,1/(('0911 4度C'!$A:$A="新豐8線")*('0911 4度C'!$T:$T&lt;&gt;"")),'0911 4度C'!$T:$T)</f>
        <v>0.7124999999999998</v>
      </c>
      <c r="L17" s="28">
        <f>LOOKUP(2,1/(('0911 4度C'!$A:$A="新豐9線")*('0911 4度C'!$T:$T&lt;&gt;"")),'0911 4度C'!$T:$T)</f>
        <v>0.72291666666666654</v>
      </c>
      <c r="M17" s="77">
        <f>LOOKUP(2,1/(('0911 4度C'!$A:$A="新豐4線")*('0911 4度C'!$T:$T&lt;&gt;"")),'0911 4度C'!$T:$T)</f>
        <v>0.64027777777777761</v>
      </c>
    </row>
    <row r="18" spans="2:13" ht="17.25" customHeight="1">
      <c r="B18" s="503" t="s">
        <v>824</v>
      </c>
      <c r="C18" s="514"/>
      <c r="D18" s="81">
        <f>SUMIFS('0911 4度C'!$I:$I,'0911 4度C'!$A:$A,"新豐6線",'0911 4度C'!$B:$B,"平均")</f>
        <v>16</v>
      </c>
      <c r="E18" s="82">
        <f>SUMIFS('0911 4度C'!$I:$I,'0911 4度C'!$A:$A,"新豐2線",'0911 4度C'!$B:$B,"平均")</f>
        <v>18</v>
      </c>
      <c r="F18" s="82">
        <f>SUMIFS('0911 4度C'!$I:$I,'0911 4度C'!$A:$A,"新豐5線",'0911 4度C'!$B:$B,"平均")</f>
        <v>19.25</v>
      </c>
      <c r="G18" s="82">
        <f>SUMIFS('0911 4度C'!$I:$I,'0911 4度C'!$A:$A,"新豐7線",'0911 4度C'!$B:$B,"平均")</f>
        <v>16.600000000000001</v>
      </c>
      <c r="H18" s="82">
        <f>SUMIFS('0911 4度C'!$I:$I,'0911 4度C'!$A:$A,"新豐3線",'0911 4度C'!$B:$B,"平均")</f>
        <v>9.7142857142857135</v>
      </c>
      <c r="I18" s="82">
        <f>SUMIFS('0911 4度C'!$I:$I,'0911 4度C'!$A:$A,"新豐1線",'0911 4度C'!$B:$B,"平均")</f>
        <v>16.333333333333332</v>
      </c>
      <c r="J18" s="83">
        <f>SUMIFS('0911 4度C'!$I:$I,'0911 4度C'!$A:$A,"新豐10線",'0911 4度C'!$B:$B,"平均")</f>
        <v>11.333333333333334</v>
      </c>
      <c r="K18" s="81">
        <f>SUMIFS('0911 4度C'!$I:$I,'0911 4度C'!$A:$A,"新豐8線",'0911 4度C'!$B:$B,"平均")</f>
        <v>18.125</v>
      </c>
      <c r="L18" s="82">
        <f>SUMIFS('0911 4度C'!$I:$I,'0911 4度C'!$A:$A,"新豐9線",'0911 4度C'!$B:$B,"平均")</f>
        <v>18.399999999999999</v>
      </c>
      <c r="M18" s="83">
        <f>SUMIFS('0911 4度C'!$I:$I,'0911 4度C'!$A:$A,"新豐4線",'0911 4度C'!$B:$B,"平均")</f>
        <v>16.571428571428573</v>
      </c>
    </row>
    <row r="19" spans="2:13" ht="17.25" customHeight="1">
      <c r="B19" s="510" t="s">
        <v>823</v>
      </c>
      <c r="C19" s="511"/>
      <c r="D19" s="84" t="s">
        <v>148</v>
      </c>
      <c r="E19" s="85" t="s">
        <v>149</v>
      </c>
      <c r="F19" s="85" t="s">
        <v>822</v>
      </c>
      <c r="G19" s="85" t="s">
        <v>822</v>
      </c>
      <c r="H19" s="85" t="s">
        <v>151</v>
      </c>
      <c r="I19" s="85" t="s">
        <v>148</v>
      </c>
      <c r="J19" s="86" t="s">
        <v>151</v>
      </c>
      <c r="K19" s="84" t="s">
        <v>821</v>
      </c>
      <c r="L19" s="85" t="s">
        <v>821</v>
      </c>
      <c r="M19" s="86" t="s">
        <v>821</v>
      </c>
    </row>
    <row r="20" spans="2:13" ht="17.25" customHeight="1">
      <c r="B20" s="510" t="s">
        <v>820</v>
      </c>
      <c r="C20" s="511"/>
      <c r="D20" s="84"/>
      <c r="E20" s="85"/>
      <c r="F20" s="85" t="s">
        <v>819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818</v>
      </c>
      <c r="C21" s="513"/>
      <c r="D21" s="87"/>
      <c r="E21" s="88" t="s">
        <v>817</v>
      </c>
      <c r="F21" s="387" t="s">
        <v>816</v>
      </c>
      <c r="G21" s="388"/>
      <c r="H21" s="88" t="s">
        <v>815</v>
      </c>
      <c r="I21" s="88" t="s">
        <v>814</v>
      </c>
      <c r="J21" s="89" t="s">
        <v>813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K10:M10"/>
    <mergeCell ref="B11:C12"/>
    <mergeCell ref="B13:B15"/>
    <mergeCell ref="B18:C18"/>
    <mergeCell ref="B19:C19"/>
    <mergeCell ref="B16:B17"/>
    <mergeCell ref="B10:C10"/>
    <mergeCell ref="B21:C21"/>
    <mergeCell ref="F21:G21"/>
    <mergeCell ref="D10:J10"/>
    <mergeCell ref="B20:C2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I5:J5"/>
    <mergeCell ref="C6:D6"/>
    <mergeCell ref="C8:D8"/>
    <mergeCell ref="E8:F8"/>
    <mergeCell ref="G8:H8"/>
    <mergeCell ref="I8:J8"/>
    <mergeCell ref="E5:F5"/>
    <mergeCell ref="G5:H5"/>
    <mergeCell ref="I6:J6"/>
    <mergeCell ref="C7:D7"/>
    <mergeCell ref="E7:F7"/>
    <mergeCell ref="G7:H7"/>
    <mergeCell ref="I7:J7"/>
    <mergeCell ref="E6:F6"/>
    <mergeCell ref="G6:H6"/>
  </mergeCells>
  <phoneticPr fontId="3" type="noConversion"/>
  <conditionalFormatting sqref="D15:M15">
    <cfRule type="cellIs" dxfId="5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pageSetUpPr fitToPage="1"/>
  </sheetPr>
  <dimension ref="A1:AC78"/>
  <sheetViews>
    <sheetView zoomScale="80" zoomScaleNormal="80" workbookViewId="0">
      <pane ySplit="4" topLeftCell="A71" activePane="bottomLeft" state="frozen"/>
      <selection activeCell="I3" sqref="I3:J3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30" customWidth="1"/>
    <col min="3" max="3" width="15.25" style="30" customWidth="1"/>
    <col min="4" max="4" width="17.5" style="30" customWidth="1"/>
    <col min="5" max="5" width="7.5" style="30" bestFit="1" customWidth="1"/>
    <col min="6" max="6" width="14.375" style="30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752</v>
      </c>
      <c r="B1" s="213"/>
      <c r="C1" s="212" t="s">
        <v>751</v>
      </c>
      <c r="D1" s="214">
        <f>SUM(F5:F77)</f>
        <v>164410</v>
      </c>
      <c r="E1" s="207" t="s">
        <v>750</v>
      </c>
      <c r="F1" s="213">
        <f>SUM(G5:G77)</f>
        <v>5409403.6100000022</v>
      </c>
      <c r="G1" s="1" t="s">
        <v>3</v>
      </c>
      <c r="H1" s="38">
        <f>L8+L13+L44+L55+L18+L62+L77+L33+L24+L69</f>
        <v>160.32738095238096</v>
      </c>
      <c r="I1" s="482" t="s">
        <v>748</v>
      </c>
      <c r="J1" s="482"/>
      <c r="K1" s="482"/>
      <c r="L1" s="482" t="s">
        <v>747</v>
      </c>
      <c r="M1" s="482"/>
      <c r="N1" s="482"/>
      <c r="O1" s="482" t="s">
        <v>746</v>
      </c>
      <c r="P1" s="482"/>
      <c r="Q1" s="482"/>
      <c r="R1" s="482"/>
      <c r="S1" s="482" t="s">
        <v>745</v>
      </c>
      <c r="T1" s="482"/>
      <c r="U1" s="482"/>
      <c r="V1" s="482"/>
      <c r="W1" s="482"/>
      <c r="X1" s="482"/>
      <c r="Y1" s="482" t="s">
        <v>744</v>
      </c>
      <c r="Z1" s="482"/>
      <c r="AA1" s="482" t="s">
        <v>9</v>
      </c>
      <c r="AB1" s="483"/>
      <c r="AC1" s="483"/>
    </row>
    <row r="2" spans="1:29" ht="26.25" customHeight="1">
      <c r="A2" s="24">
        <v>45911</v>
      </c>
      <c r="B2" s="25" t="s">
        <v>319</v>
      </c>
      <c r="C2" s="212" t="s">
        <v>733</v>
      </c>
      <c r="D2" s="211">
        <f>AVERAGE(N8,N13,N55,N62,N18,N69,N24,N33,N44,N77)</f>
        <v>139.94954998512389</v>
      </c>
      <c r="E2" s="210" t="s">
        <v>11</v>
      </c>
      <c r="F2" s="209">
        <f>F1/D1</f>
        <v>32.901913569734212</v>
      </c>
      <c r="G2" s="1" t="s">
        <v>399</v>
      </c>
      <c r="H2" s="344">
        <f>COUNT(H5:H77)</f>
        <v>13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741</v>
      </c>
      <c r="B3" s="486" t="s">
        <v>14</v>
      </c>
      <c r="C3" s="486" t="s">
        <v>739</v>
      </c>
      <c r="D3" s="486"/>
      <c r="E3" s="516" t="s">
        <v>16</v>
      </c>
      <c r="F3" s="486" t="s">
        <v>737</v>
      </c>
      <c r="G3" s="484" t="s">
        <v>736</v>
      </c>
      <c r="H3" s="487" t="s">
        <v>735</v>
      </c>
      <c r="I3" s="474" t="s">
        <v>734</v>
      </c>
      <c r="J3" s="479" t="s">
        <v>21</v>
      </c>
      <c r="K3" s="481" t="s">
        <v>812</v>
      </c>
      <c r="L3" s="474" t="s">
        <v>20</v>
      </c>
      <c r="M3" s="479" t="s">
        <v>729</v>
      </c>
      <c r="N3" s="481" t="s">
        <v>10</v>
      </c>
      <c r="O3" s="474" t="s">
        <v>20</v>
      </c>
      <c r="P3" s="481" t="s">
        <v>10</v>
      </c>
      <c r="Q3" s="480" t="s">
        <v>728</v>
      </c>
      <c r="R3" s="451" t="s">
        <v>251</v>
      </c>
      <c r="S3" s="486" t="s">
        <v>25</v>
      </c>
      <c r="T3" s="486"/>
      <c r="U3" s="476" t="s">
        <v>26</v>
      </c>
      <c r="V3" s="476" t="s">
        <v>811</v>
      </c>
      <c r="W3" s="443" t="s">
        <v>731</v>
      </c>
      <c r="X3" s="443"/>
      <c r="Y3" s="477" t="s">
        <v>29</v>
      </c>
      <c r="Z3" s="478"/>
      <c r="AA3" s="479" t="s">
        <v>729</v>
      </c>
      <c r="AB3" s="480" t="s">
        <v>728</v>
      </c>
      <c r="AC3" s="451" t="s">
        <v>727</v>
      </c>
    </row>
    <row r="4" spans="1:29">
      <c r="A4" s="443"/>
      <c r="B4" s="486"/>
      <c r="C4" s="486"/>
      <c r="D4" s="486"/>
      <c r="E4" s="517"/>
      <c r="F4" s="486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07" t="s">
        <v>31</v>
      </c>
      <c r="T4" s="207" t="s">
        <v>32</v>
      </c>
      <c r="U4" s="476"/>
      <c r="V4" s="476"/>
      <c r="W4" s="197" t="s">
        <v>33</v>
      </c>
      <c r="X4" s="197" t="s">
        <v>34</v>
      </c>
      <c r="Y4" s="478"/>
      <c r="Z4" s="478"/>
      <c r="AA4" s="479"/>
      <c r="AB4" s="480"/>
      <c r="AC4" s="451"/>
    </row>
    <row r="5" spans="1:29">
      <c r="A5" s="473" t="s">
        <v>35</v>
      </c>
      <c r="B5" s="31" t="s">
        <v>58</v>
      </c>
      <c r="C5" s="475" t="s">
        <v>104</v>
      </c>
      <c r="D5" s="475"/>
      <c r="E5" s="31">
        <v>46.93</v>
      </c>
      <c r="F5" s="207">
        <v>743</v>
      </c>
      <c r="G5" s="197">
        <f>E5*F5</f>
        <v>34868.99</v>
      </c>
      <c r="H5" s="206" t="s">
        <v>103</v>
      </c>
      <c r="I5" s="205">
        <v>16</v>
      </c>
      <c r="J5" s="26">
        <v>2000</v>
      </c>
      <c r="K5" s="10">
        <f t="shared" ref="K5:K36" si="0">J5/I5</f>
        <v>125</v>
      </c>
      <c r="L5" s="205">
        <v>16</v>
      </c>
      <c r="M5" s="11">
        <f>F5/V5*60</f>
        <v>1938.2608695652109</v>
      </c>
      <c r="N5" s="10">
        <f t="shared" ref="N5:N36" si="1">M5/L5</f>
        <v>121.14130434782568</v>
      </c>
      <c r="O5" s="12">
        <f t="shared" ref="O5:O44" si="2">L5-I5</f>
        <v>0</v>
      </c>
      <c r="P5" s="13">
        <f t="shared" ref="P5:P36" si="3">N5-K5</f>
        <v>-3.858695652174319</v>
      </c>
      <c r="Q5" s="196">
        <f t="shared" ref="Q5:Q36" si="4">N5/K5</f>
        <v>0.96913043478260541</v>
      </c>
      <c r="R5" s="442">
        <f>Q8</f>
        <v>0.95783191995333528</v>
      </c>
      <c r="S5" s="28">
        <v>0.70833333333333337</v>
      </c>
      <c r="T5" s="28">
        <v>0.72430555555555565</v>
      </c>
      <c r="U5" s="197"/>
      <c r="V5" s="204">
        <f>(T5-S5)*24*60</f>
        <v>23.000000000000078</v>
      </c>
      <c r="W5" s="16"/>
      <c r="X5" s="17"/>
      <c r="Y5" s="443"/>
      <c r="Z5" s="443"/>
      <c r="AA5" s="12">
        <f t="shared" ref="AA5:AA36" si="5">M5-J5</f>
        <v>-61.739130434789104</v>
      </c>
      <c r="AB5" s="196">
        <f t="shared" ref="AB5:AB36" si="6">M5/J5</f>
        <v>0.96913043478260541</v>
      </c>
      <c r="AC5" s="442">
        <f>AB8</f>
        <v>0.95783191995333528</v>
      </c>
    </row>
    <row r="6" spans="1:29">
      <c r="A6" s="474" t="s">
        <v>35</v>
      </c>
      <c r="B6" s="31" t="s">
        <v>58</v>
      </c>
      <c r="C6" s="475" t="s">
        <v>105</v>
      </c>
      <c r="D6" s="475"/>
      <c r="E6" s="31">
        <v>50.49</v>
      </c>
      <c r="F6" s="207">
        <v>1801</v>
      </c>
      <c r="G6" s="197">
        <f>E6*F6</f>
        <v>90932.49</v>
      </c>
      <c r="H6" s="206" t="s">
        <v>103</v>
      </c>
      <c r="I6" s="205">
        <v>15</v>
      </c>
      <c r="J6" s="26">
        <v>2000</v>
      </c>
      <c r="K6" s="10">
        <f t="shared" si="0"/>
        <v>133.33333333333334</v>
      </c>
      <c r="L6" s="205">
        <v>15</v>
      </c>
      <c r="M6" s="11">
        <f>F6/V6*60</f>
        <v>1895.789473684212</v>
      </c>
      <c r="N6" s="10">
        <f t="shared" si="1"/>
        <v>126.3859649122808</v>
      </c>
      <c r="O6" s="12">
        <f t="shared" si="2"/>
        <v>0</v>
      </c>
      <c r="P6" s="13">
        <f t="shared" si="3"/>
        <v>-6.9473684210525448</v>
      </c>
      <c r="Q6" s="196">
        <f t="shared" si="4"/>
        <v>0.9478947368421059</v>
      </c>
      <c r="R6" s="442"/>
      <c r="S6" s="28">
        <v>0.7284722222222223</v>
      </c>
      <c r="T6" s="28">
        <v>0.7680555555555556</v>
      </c>
      <c r="U6" s="197">
        <f>(S6-T5)*24*60</f>
        <v>5.9999999999999787</v>
      </c>
      <c r="V6" s="204">
        <f>(T6-S6)*24*60</f>
        <v>56.999999999999957</v>
      </c>
      <c r="W6" s="16"/>
      <c r="X6" s="16"/>
      <c r="Y6" s="443"/>
      <c r="Z6" s="443"/>
      <c r="AA6" s="12">
        <f t="shared" si="5"/>
        <v>-104.210526315788</v>
      </c>
      <c r="AB6" s="196">
        <f t="shared" si="6"/>
        <v>0.94789473684210601</v>
      </c>
      <c r="AC6" s="442"/>
    </row>
    <row r="7" spans="1:29">
      <c r="A7" s="474" t="s">
        <v>35</v>
      </c>
      <c r="B7" s="31" t="s">
        <v>58</v>
      </c>
      <c r="C7" s="471" t="s">
        <v>106</v>
      </c>
      <c r="D7" s="472"/>
      <c r="E7" s="31">
        <v>50.67</v>
      </c>
      <c r="F7" s="207">
        <v>1626</v>
      </c>
      <c r="G7" s="197">
        <f>E7*F7</f>
        <v>82389.42</v>
      </c>
      <c r="H7" s="206" t="s">
        <v>103</v>
      </c>
      <c r="I7" s="205">
        <v>17</v>
      </c>
      <c r="J7" s="26">
        <v>2000</v>
      </c>
      <c r="K7" s="10">
        <f t="shared" si="0"/>
        <v>117.64705882352941</v>
      </c>
      <c r="L7" s="205">
        <v>17</v>
      </c>
      <c r="M7" s="11">
        <f>F7/V7*60</f>
        <v>1912.9411764705892</v>
      </c>
      <c r="N7" s="10">
        <f t="shared" si="1"/>
        <v>112.52595155709348</v>
      </c>
      <c r="O7" s="12">
        <f t="shared" si="2"/>
        <v>0</v>
      </c>
      <c r="P7" s="13">
        <f t="shared" si="3"/>
        <v>-5.1211072664359278</v>
      </c>
      <c r="Q7" s="196">
        <f t="shared" si="4"/>
        <v>0.95647058823529463</v>
      </c>
      <c r="R7" s="442"/>
      <c r="S7" s="28">
        <v>0.77361111111111114</v>
      </c>
      <c r="T7" s="28">
        <v>0.80902777777777779</v>
      </c>
      <c r="U7" s="197">
        <f>(S7-T6)*24*60</f>
        <v>7.9999999999999716</v>
      </c>
      <c r="V7" s="204">
        <f>(T7-S7)*24*60</f>
        <v>50.999999999999979</v>
      </c>
      <c r="W7" s="16"/>
      <c r="X7" s="16"/>
      <c r="Y7" s="447"/>
      <c r="Z7" s="448"/>
      <c r="AA7" s="12">
        <f t="shared" si="5"/>
        <v>-87.058823529410802</v>
      </c>
      <c r="AB7" s="196">
        <f t="shared" si="6"/>
        <v>0.95647058823529463</v>
      </c>
      <c r="AC7" s="442"/>
    </row>
    <row r="8" spans="1:29">
      <c r="A8" s="474" t="s">
        <v>35</v>
      </c>
      <c r="B8" s="31" t="s">
        <v>39</v>
      </c>
      <c r="C8" s="446"/>
      <c r="D8" s="446"/>
      <c r="E8" s="200"/>
      <c r="F8" s="33"/>
      <c r="G8" s="10"/>
      <c r="H8" s="207"/>
      <c r="I8" s="19">
        <v>16</v>
      </c>
      <c r="J8" s="26">
        <v>2000</v>
      </c>
      <c r="K8" s="10">
        <f t="shared" si="0"/>
        <v>125</v>
      </c>
      <c r="L8" s="19">
        <v>16</v>
      </c>
      <c r="M8" s="11">
        <f>AVERAGE(M5:M7)</f>
        <v>1915.6638399066705</v>
      </c>
      <c r="N8" s="10">
        <f t="shared" si="1"/>
        <v>119.72898999416691</v>
      </c>
      <c r="O8" s="12">
        <f t="shared" si="2"/>
        <v>0</v>
      </c>
      <c r="P8" s="13">
        <f t="shared" si="3"/>
        <v>-5.2710100058330909</v>
      </c>
      <c r="Q8" s="196">
        <f t="shared" si="4"/>
        <v>0.95783191995333528</v>
      </c>
      <c r="R8" s="442"/>
      <c r="S8" s="28"/>
      <c r="T8" s="28"/>
      <c r="U8" s="197"/>
      <c r="V8" s="204"/>
      <c r="W8" s="10"/>
      <c r="X8" s="10"/>
      <c r="Y8" s="443"/>
      <c r="Z8" s="443"/>
      <c r="AA8" s="12">
        <f t="shared" si="5"/>
        <v>-84.336160093329454</v>
      </c>
      <c r="AB8" s="196">
        <f t="shared" si="6"/>
        <v>0.95783191995333528</v>
      </c>
      <c r="AC8" s="442"/>
    </row>
    <row r="9" spans="1:29" ht="15.75" customHeight="1">
      <c r="A9" s="439" t="s">
        <v>810</v>
      </c>
      <c r="B9" s="31" t="s">
        <v>53</v>
      </c>
      <c r="C9" s="471" t="s">
        <v>107</v>
      </c>
      <c r="D9" s="472"/>
      <c r="E9" s="31">
        <v>39.619999999999997</v>
      </c>
      <c r="F9" s="207">
        <v>4678</v>
      </c>
      <c r="G9" s="197">
        <f>E9*F9</f>
        <v>185342.36</v>
      </c>
      <c r="H9" s="206" t="s">
        <v>103</v>
      </c>
      <c r="I9" s="205">
        <v>19</v>
      </c>
      <c r="J9" s="26">
        <v>1500</v>
      </c>
      <c r="K9" s="10">
        <f t="shared" si="0"/>
        <v>78.94736842105263</v>
      </c>
      <c r="L9" s="205">
        <v>19</v>
      </c>
      <c r="M9" s="11">
        <f>F9/V9*60</f>
        <v>1417.575757575758</v>
      </c>
      <c r="N9" s="10">
        <f t="shared" si="1"/>
        <v>74.6092503987241</v>
      </c>
      <c r="O9" s="12">
        <f t="shared" si="2"/>
        <v>0</v>
      </c>
      <c r="P9" s="13">
        <f t="shared" si="3"/>
        <v>-4.3381180223285298</v>
      </c>
      <c r="Q9" s="196">
        <f t="shared" si="4"/>
        <v>0.94505050505050525</v>
      </c>
      <c r="R9" s="442">
        <f>Q13</f>
        <v>0.94513572081962316</v>
      </c>
      <c r="S9" s="28">
        <v>0.125</v>
      </c>
      <c r="T9" s="28">
        <v>0.26249999999999996</v>
      </c>
      <c r="U9" s="197"/>
      <c r="V9" s="204">
        <f>(T9-S9)*24*60</f>
        <v>197.99999999999994</v>
      </c>
      <c r="W9" s="16">
        <f>T9</f>
        <v>0.26249999999999996</v>
      </c>
      <c r="X9" s="16">
        <f>S10</f>
        <v>0.28124999999999994</v>
      </c>
      <c r="Y9" s="443"/>
      <c r="Z9" s="443"/>
      <c r="AA9" s="12">
        <f t="shared" si="5"/>
        <v>-82.424242424242038</v>
      </c>
      <c r="AB9" s="196">
        <f t="shared" si="6"/>
        <v>0.94505050505050536</v>
      </c>
      <c r="AC9" s="442">
        <f>AB13</f>
        <v>0.94513572081962305</v>
      </c>
    </row>
    <row r="10" spans="1:29" ht="15.75" customHeight="1">
      <c r="A10" s="439" t="s">
        <v>726</v>
      </c>
      <c r="B10" s="31" t="s">
        <v>53</v>
      </c>
      <c r="C10" s="471" t="s">
        <v>54</v>
      </c>
      <c r="D10" s="472"/>
      <c r="E10" s="31">
        <v>39.799999999999997</v>
      </c>
      <c r="F10" s="207">
        <v>4000</v>
      </c>
      <c r="G10" s="197">
        <f>E10*F10</f>
        <v>159200</v>
      </c>
      <c r="H10" s="206">
        <v>2</v>
      </c>
      <c r="I10" s="205">
        <v>17</v>
      </c>
      <c r="J10" s="26">
        <v>1500</v>
      </c>
      <c r="K10" s="10">
        <f t="shared" si="0"/>
        <v>88.235294117647058</v>
      </c>
      <c r="L10" s="205">
        <v>17</v>
      </c>
      <c r="M10" s="11">
        <f>F10/V10*60</f>
        <v>1420.1183431952661</v>
      </c>
      <c r="N10" s="10">
        <f t="shared" si="1"/>
        <v>83.536373129133295</v>
      </c>
      <c r="O10" s="12">
        <f t="shared" si="2"/>
        <v>0</v>
      </c>
      <c r="P10" s="13">
        <f t="shared" si="3"/>
        <v>-4.6989209885137626</v>
      </c>
      <c r="Q10" s="196">
        <f t="shared" si="4"/>
        <v>0.94674556213017735</v>
      </c>
      <c r="R10" s="442"/>
      <c r="S10" s="28">
        <v>0.28124999999999994</v>
      </c>
      <c r="T10" s="28">
        <v>0.39861111111111108</v>
      </c>
      <c r="U10" s="197">
        <f>(S10-T9)*24*60</f>
        <v>26.999999999999986</v>
      </c>
      <c r="V10" s="204">
        <f>(T10-S10)*24*60</f>
        <v>169.00000000000003</v>
      </c>
      <c r="W10" s="16"/>
      <c r="X10" s="16"/>
      <c r="Y10" s="443"/>
      <c r="Z10" s="443"/>
      <c r="AA10" s="12">
        <f t="shared" si="5"/>
        <v>-79.881656804733893</v>
      </c>
      <c r="AB10" s="196">
        <f t="shared" si="6"/>
        <v>0.94674556213017735</v>
      </c>
      <c r="AC10" s="442"/>
    </row>
    <row r="11" spans="1:29" ht="15.75" customHeight="1">
      <c r="A11" s="439" t="s">
        <v>809</v>
      </c>
      <c r="B11" s="31" t="s">
        <v>53</v>
      </c>
      <c r="C11" s="471" t="s">
        <v>55</v>
      </c>
      <c r="D11" s="472"/>
      <c r="E11" s="31">
        <v>39.29</v>
      </c>
      <c r="F11" s="207">
        <v>3567</v>
      </c>
      <c r="G11" s="197">
        <f>E11*F11</f>
        <v>140147.43</v>
      </c>
      <c r="H11" s="206" t="s">
        <v>103</v>
      </c>
      <c r="I11" s="205">
        <v>19</v>
      </c>
      <c r="J11" s="26">
        <v>1500</v>
      </c>
      <c r="K11" s="10">
        <f t="shared" si="0"/>
        <v>78.94736842105263</v>
      </c>
      <c r="L11" s="205">
        <v>19</v>
      </c>
      <c r="M11" s="11">
        <f>F11/V11*60</f>
        <v>1417.3509933774833</v>
      </c>
      <c r="N11" s="10">
        <f t="shared" si="1"/>
        <v>74.597420704078061</v>
      </c>
      <c r="O11" s="12">
        <f t="shared" si="2"/>
        <v>0</v>
      </c>
      <c r="P11" s="13">
        <f t="shared" si="3"/>
        <v>-4.3499477169745688</v>
      </c>
      <c r="Q11" s="196">
        <f t="shared" si="4"/>
        <v>0.94490066225165548</v>
      </c>
      <c r="R11" s="442"/>
      <c r="S11" s="28">
        <v>0.40277777777777773</v>
      </c>
      <c r="T11" s="28">
        <v>0.50763888888888886</v>
      </c>
      <c r="U11" s="197">
        <f>(S11-T10)*24*60</f>
        <v>5.9999999999999787</v>
      </c>
      <c r="V11" s="204">
        <f>(T11-S11)*24*60</f>
        <v>151.00000000000003</v>
      </c>
      <c r="W11" s="16">
        <f>T11</f>
        <v>0.50763888888888886</v>
      </c>
      <c r="X11" s="16">
        <f>S12</f>
        <v>0.54930555555555549</v>
      </c>
      <c r="Y11" s="443"/>
      <c r="Z11" s="443"/>
      <c r="AA11" s="12">
        <f t="shared" si="5"/>
        <v>-82.649006622516708</v>
      </c>
      <c r="AB11" s="196">
        <f t="shared" si="6"/>
        <v>0.94490066225165548</v>
      </c>
      <c r="AC11" s="442"/>
    </row>
    <row r="12" spans="1:29" ht="15.75" customHeight="1">
      <c r="A12" s="439" t="s">
        <v>37</v>
      </c>
      <c r="B12" s="31" t="s">
        <v>53</v>
      </c>
      <c r="C12" s="471" t="s">
        <v>54</v>
      </c>
      <c r="D12" s="472"/>
      <c r="E12" s="31">
        <v>39.799999999999997</v>
      </c>
      <c r="F12" s="207">
        <v>2454</v>
      </c>
      <c r="G12" s="197">
        <f>E12*F12</f>
        <v>97669.2</v>
      </c>
      <c r="H12" s="206" t="s">
        <v>103</v>
      </c>
      <c r="I12" s="205">
        <v>17</v>
      </c>
      <c r="J12" s="26">
        <v>1500</v>
      </c>
      <c r="K12" s="10">
        <f t="shared" si="0"/>
        <v>88.235294117647058</v>
      </c>
      <c r="L12" s="205">
        <v>17</v>
      </c>
      <c r="M12" s="11">
        <f>F12/V12*60</f>
        <v>1415.7692307692314</v>
      </c>
      <c r="N12" s="10">
        <f t="shared" si="1"/>
        <v>83.280542986425374</v>
      </c>
      <c r="O12" s="12">
        <f t="shared" si="2"/>
        <v>0</v>
      </c>
      <c r="P12" s="13">
        <f t="shared" si="3"/>
        <v>-4.9547511312216841</v>
      </c>
      <c r="Q12" s="196">
        <f t="shared" si="4"/>
        <v>0.94384615384615422</v>
      </c>
      <c r="R12" s="442"/>
      <c r="S12" s="28">
        <v>0.54930555555555549</v>
      </c>
      <c r="T12" s="28">
        <v>0.62152777777777768</v>
      </c>
      <c r="U12" s="197">
        <f>(S12-T11)*24*60</f>
        <v>59.999999999999943</v>
      </c>
      <c r="V12" s="204">
        <f>(T12-S12)*24*60</f>
        <v>103.99999999999994</v>
      </c>
      <c r="W12" s="16"/>
      <c r="X12" s="16"/>
      <c r="Y12" s="443"/>
      <c r="Z12" s="443"/>
      <c r="AA12" s="12">
        <f t="shared" si="5"/>
        <v>-84.230769230768601</v>
      </c>
      <c r="AB12" s="196">
        <f t="shared" si="6"/>
        <v>0.94384615384615422</v>
      </c>
      <c r="AC12" s="442"/>
    </row>
    <row r="13" spans="1:29" ht="16.5" customHeight="1">
      <c r="A13" s="439" t="s">
        <v>808</v>
      </c>
      <c r="B13" s="31" t="s">
        <v>807</v>
      </c>
      <c r="C13" s="446"/>
      <c r="D13" s="446"/>
      <c r="E13" s="200"/>
      <c r="F13" s="26"/>
      <c r="G13" s="11"/>
      <c r="H13" s="207"/>
      <c r="I13" s="19">
        <v>18</v>
      </c>
      <c r="J13" s="26">
        <v>1500</v>
      </c>
      <c r="K13" s="10">
        <f t="shared" si="0"/>
        <v>83.333333333333329</v>
      </c>
      <c r="L13" s="19">
        <v>18</v>
      </c>
      <c r="M13" s="11">
        <f>AVERAGE(M9:M12)</f>
        <v>1417.7035812294346</v>
      </c>
      <c r="N13" s="10">
        <f t="shared" si="1"/>
        <v>78.761310068301924</v>
      </c>
      <c r="O13" s="12">
        <f t="shared" si="2"/>
        <v>0</v>
      </c>
      <c r="P13" s="13">
        <f t="shared" si="3"/>
        <v>-4.5720232650314045</v>
      </c>
      <c r="Q13" s="196">
        <f t="shared" si="4"/>
        <v>0.94513572081962316</v>
      </c>
      <c r="R13" s="442"/>
      <c r="S13" s="28"/>
      <c r="T13" s="28"/>
      <c r="U13" s="10"/>
      <c r="V13" s="204"/>
      <c r="W13" s="10"/>
      <c r="X13" s="10"/>
      <c r="Y13" s="443"/>
      <c r="Z13" s="443"/>
      <c r="AA13" s="12">
        <f t="shared" si="5"/>
        <v>-82.296418770565424</v>
      </c>
      <c r="AB13" s="196">
        <f t="shared" si="6"/>
        <v>0.94513572081962305</v>
      </c>
      <c r="AC13" s="442"/>
    </row>
    <row r="14" spans="1:29" ht="16.5" customHeight="1">
      <c r="A14" s="469" t="s">
        <v>806</v>
      </c>
      <c r="B14" s="207" t="s">
        <v>56</v>
      </c>
      <c r="C14" s="464" t="s">
        <v>57</v>
      </c>
      <c r="D14" s="464"/>
      <c r="E14" s="31">
        <v>41</v>
      </c>
      <c r="F14" s="207">
        <v>1656</v>
      </c>
      <c r="G14" s="197">
        <f>E14*F14</f>
        <v>67896</v>
      </c>
      <c r="H14" s="206" t="s">
        <v>103</v>
      </c>
      <c r="I14" s="205">
        <v>26</v>
      </c>
      <c r="J14" s="26">
        <v>1500</v>
      </c>
      <c r="K14" s="10">
        <f t="shared" si="0"/>
        <v>57.692307692307693</v>
      </c>
      <c r="L14" s="205">
        <v>26</v>
      </c>
      <c r="M14" s="11">
        <f>F14/V14*60</f>
        <v>1419.4285714285709</v>
      </c>
      <c r="N14" s="10">
        <f t="shared" si="1"/>
        <v>54.59340659340657</v>
      </c>
      <c r="O14" s="12">
        <f t="shared" si="2"/>
        <v>0</v>
      </c>
      <c r="P14" s="13">
        <f t="shared" si="3"/>
        <v>-3.0989010989011234</v>
      </c>
      <c r="Q14" s="196">
        <f t="shared" si="4"/>
        <v>0.94628571428571384</v>
      </c>
      <c r="R14" s="442">
        <f>Q18</f>
        <v>0.94519500742150586</v>
      </c>
      <c r="S14" s="28">
        <v>0.20833333333333334</v>
      </c>
      <c r="T14" s="28">
        <v>0.25694444444444448</v>
      </c>
      <c r="U14" s="197"/>
      <c r="V14" s="204">
        <f>(T14-S14)*24*60</f>
        <v>70.000000000000028</v>
      </c>
      <c r="W14" s="18"/>
      <c r="X14" s="18"/>
      <c r="Y14" s="443"/>
      <c r="Z14" s="443"/>
      <c r="AA14" s="12">
        <f t="shared" si="5"/>
        <v>-80.571428571429124</v>
      </c>
      <c r="AB14" s="196">
        <f t="shared" si="6"/>
        <v>0.94628571428571395</v>
      </c>
      <c r="AC14" s="442">
        <f>AB18</f>
        <v>0.94519500742150586</v>
      </c>
    </row>
    <row r="15" spans="1:29" ht="16.5" customHeight="1">
      <c r="A15" s="470" t="s">
        <v>806</v>
      </c>
      <c r="B15" s="207" t="s">
        <v>53</v>
      </c>
      <c r="C15" s="464" t="s">
        <v>163</v>
      </c>
      <c r="D15" s="464"/>
      <c r="E15" s="31">
        <v>39.36</v>
      </c>
      <c r="F15" s="207">
        <v>4554</v>
      </c>
      <c r="G15" s="197">
        <f>E15*F15</f>
        <v>179245.44</v>
      </c>
      <c r="H15" s="206" t="s">
        <v>103</v>
      </c>
      <c r="I15" s="205">
        <v>20</v>
      </c>
      <c r="J15" s="26">
        <v>1500</v>
      </c>
      <c r="K15" s="10">
        <f t="shared" si="0"/>
        <v>75</v>
      </c>
      <c r="L15" s="205">
        <v>20</v>
      </c>
      <c r="M15" s="11">
        <f>F15/V15*60</f>
        <v>1415.7512953367873</v>
      </c>
      <c r="N15" s="10">
        <f t="shared" si="1"/>
        <v>70.787564766839367</v>
      </c>
      <c r="O15" s="12">
        <f t="shared" si="2"/>
        <v>0</v>
      </c>
      <c r="P15" s="13">
        <f t="shared" si="3"/>
        <v>-4.2124352331606332</v>
      </c>
      <c r="Q15" s="196">
        <f t="shared" si="4"/>
        <v>0.94383419689119152</v>
      </c>
      <c r="R15" s="442"/>
      <c r="S15" s="28">
        <v>0.26041666666666669</v>
      </c>
      <c r="T15" s="28">
        <v>0.39444444444444449</v>
      </c>
      <c r="U15" s="197">
        <f>IF(S15=TIME(17,0,0),"",(S15-T14)*24*60)</f>
        <v>4.9999999999999822</v>
      </c>
      <c r="V15" s="204">
        <f>(T15-S15)*24*60</f>
        <v>193.00000000000003</v>
      </c>
      <c r="W15" s="16"/>
      <c r="X15" s="16"/>
      <c r="Y15" s="443"/>
      <c r="Z15" s="443"/>
      <c r="AA15" s="12">
        <f t="shared" si="5"/>
        <v>-84.24870466321272</v>
      </c>
      <c r="AB15" s="196">
        <f t="shared" si="6"/>
        <v>0.94383419689119152</v>
      </c>
      <c r="AC15" s="442"/>
    </row>
    <row r="16" spans="1:29" ht="16.5" customHeight="1">
      <c r="A16" s="470" t="s">
        <v>40</v>
      </c>
      <c r="B16" s="207" t="s">
        <v>58</v>
      </c>
      <c r="C16" s="464" t="s">
        <v>59</v>
      </c>
      <c r="D16" s="464"/>
      <c r="E16" s="31">
        <v>50.98</v>
      </c>
      <c r="F16" s="207">
        <v>2370</v>
      </c>
      <c r="G16" s="197">
        <f>E16*F16</f>
        <v>120822.59999999999</v>
      </c>
      <c r="H16" s="206" t="s">
        <v>103</v>
      </c>
      <c r="I16" s="205">
        <v>16</v>
      </c>
      <c r="J16" s="26">
        <v>2000</v>
      </c>
      <c r="K16" s="10">
        <f t="shared" si="0"/>
        <v>125</v>
      </c>
      <c r="L16" s="205">
        <v>16</v>
      </c>
      <c r="M16" s="11">
        <f>F16/V16*60</f>
        <v>1895.9999999999986</v>
      </c>
      <c r="N16" s="10">
        <f t="shared" si="1"/>
        <v>118.49999999999991</v>
      </c>
      <c r="O16" s="12">
        <f t="shared" si="2"/>
        <v>0</v>
      </c>
      <c r="P16" s="13">
        <f t="shared" si="3"/>
        <v>-6.5000000000000853</v>
      </c>
      <c r="Q16" s="196">
        <f t="shared" si="4"/>
        <v>0.94799999999999929</v>
      </c>
      <c r="R16" s="442"/>
      <c r="S16" s="28">
        <v>0.70833333333333337</v>
      </c>
      <c r="T16" s="28">
        <v>0.76041666666666674</v>
      </c>
      <c r="U16" s="197" t="str">
        <f>IF(S16=TIME(17,0,0),"",(S16-T15)*24*60)</f>
        <v/>
      </c>
      <c r="V16" s="204">
        <f>(T16-S16)*24*60</f>
        <v>75.000000000000057</v>
      </c>
      <c r="W16" s="16"/>
      <c r="X16" s="16"/>
      <c r="Y16" s="443"/>
      <c r="Z16" s="443"/>
      <c r="AA16" s="12">
        <f t="shared" si="5"/>
        <v>-104.00000000000136</v>
      </c>
      <c r="AB16" s="196">
        <f t="shared" si="6"/>
        <v>0.94799999999999929</v>
      </c>
      <c r="AC16" s="442"/>
    </row>
    <row r="17" spans="1:29" ht="16.5" customHeight="1">
      <c r="A17" s="470" t="s">
        <v>40</v>
      </c>
      <c r="B17" s="207" t="s">
        <v>58</v>
      </c>
      <c r="C17" s="464" t="s">
        <v>60</v>
      </c>
      <c r="D17" s="464"/>
      <c r="E17" s="31">
        <v>50.92</v>
      </c>
      <c r="F17" s="207">
        <v>2545</v>
      </c>
      <c r="G17" s="197">
        <f>E17*F17</f>
        <v>129591.40000000001</v>
      </c>
      <c r="H17" s="206" t="s">
        <v>103</v>
      </c>
      <c r="I17" s="205">
        <v>15</v>
      </c>
      <c r="J17" s="26">
        <v>2000</v>
      </c>
      <c r="K17" s="10">
        <f t="shared" si="0"/>
        <v>133.33333333333334</v>
      </c>
      <c r="L17" s="205">
        <v>15</v>
      </c>
      <c r="M17" s="11">
        <f>F17/V17*60</f>
        <v>1885.1851851851845</v>
      </c>
      <c r="N17" s="10">
        <f t="shared" si="1"/>
        <v>125.67901234567897</v>
      </c>
      <c r="O17" s="12">
        <f t="shared" si="2"/>
        <v>0</v>
      </c>
      <c r="P17" s="13">
        <f t="shared" si="3"/>
        <v>-7.6543209876543727</v>
      </c>
      <c r="Q17" s="196">
        <f t="shared" si="4"/>
        <v>0.9425925925925922</v>
      </c>
      <c r="R17" s="442"/>
      <c r="S17" s="28">
        <v>0.76527777777777783</v>
      </c>
      <c r="T17" s="28">
        <v>0.82152777777777786</v>
      </c>
      <c r="U17" s="197">
        <f>IF(S17=TIME(17,0,0),"",(S17-T16)*24*60)</f>
        <v>6.9999999999999751</v>
      </c>
      <c r="V17" s="204">
        <f>(T17-S17)*24*60</f>
        <v>81.000000000000028</v>
      </c>
      <c r="W17" s="16"/>
      <c r="X17" s="16"/>
      <c r="Y17" s="443"/>
      <c r="Z17" s="443"/>
      <c r="AA17" s="12">
        <f t="shared" si="5"/>
        <v>-114.81481481481546</v>
      </c>
      <c r="AB17" s="196">
        <f t="shared" si="6"/>
        <v>0.94259259259259232</v>
      </c>
      <c r="AC17" s="442"/>
    </row>
    <row r="18" spans="1:29" ht="16.5" customHeight="1">
      <c r="A18" s="470" t="s">
        <v>40</v>
      </c>
      <c r="B18" s="31" t="s">
        <v>39</v>
      </c>
      <c r="C18" s="446"/>
      <c r="D18" s="446"/>
      <c r="E18" s="200"/>
      <c r="F18" s="33"/>
      <c r="G18" s="10"/>
      <c r="H18" s="207"/>
      <c r="I18" s="19">
        <v>19.25</v>
      </c>
      <c r="J18" s="26">
        <v>1750</v>
      </c>
      <c r="K18" s="10">
        <f t="shared" si="0"/>
        <v>90.909090909090907</v>
      </c>
      <c r="L18" s="19">
        <v>19.25</v>
      </c>
      <c r="M18" s="11">
        <f>AVERAGE(M14:M17)</f>
        <v>1654.0912629876352</v>
      </c>
      <c r="N18" s="10">
        <f t="shared" si="1"/>
        <v>85.926818856500532</v>
      </c>
      <c r="O18" s="12">
        <f t="shared" si="2"/>
        <v>0</v>
      </c>
      <c r="P18" s="13">
        <f t="shared" si="3"/>
        <v>-4.9822720525903748</v>
      </c>
      <c r="Q18" s="196">
        <f t="shared" si="4"/>
        <v>0.94519500742150586</v>
      </c>
      <c r="R18" s="442"/>
      <c r="S18" s="28"/>
      <c r="T18" s="28"/>
      <c r="U18" s="197"/>
      <c r="V18" s="204"/>
      <c r="W18" s="10"/>
      <c r="X18" s="10"/>
      <c r="Y18" s="443"/>
      <c r="Z18" s="443"/>
      <c r="AA18" s="12">
        <f t="shared" si="5"/>
        <v>-95.908737012364782</v>
      </c>
      <c r="AB18" s="196">
        <f t="shared" si="6"/>
        <v>0.94519500742150586</v>
      </c>
      <c r="AC18" s="442"/>
    </row>
    <row r="19" spans="1:29" ht="15.75" customHeight="1">
      <c r="A19" s="467" t="s">
        <v>41</v>
      </c>
      <c r="B19" s="31" t="s">
        <v>56</v>
      </c>
      <c r="C19" s="464" t="s">
        <v>61</v>
      </c>
      <c r="D19" s="464"/>
      <c r="E19" s="31">
        <v>43.14</v>
      </c>
      <c r="F19" s="207">
        <v>1337</v>
      </c>
      <c r="G19" s="197">
        <f>E19*F19</f>
        <v>57678.18</v>
      </c>
      <c r="H19" s="206" t="s">
        <v>103</v>
      </c>
      <c r="I19" s="205">
        <v>17</v>
      </c>
      <c r="J19" s="26">
        <v>2000</v>
      </c>
      <c r="K19" s="10">
        <f t="shared" si="0"/>
        <v>117.64705882352941</v>
      </c>
      <c r="L19" s="205">
        <v>17</v>
      </c>
      <c r="M19" s="11">
        <f>F19/V19*60</f>
        <v>1909.9999999999993</v>
      </c>
      <c r="N19" s="10">
        <f t="shared" si="1"/>
        <v>112.35294117647055</v>
      </c>
      <c r="O19" s="12">
        <f t="shared" si="2"/>
        <v>0</v>
      </c>
      <c r="P19" s="13">
        <f t="shared" si="3"/>
        <v>-5.2941176470588545</v>
      </c>
      <c r="Q19" s="196">
        <f t="shared" si="4"/>
        <v>0.95499999999999974</v>
      </c>
      <c r="R19" s="442">
        <f>Q24</f>
        <v>0.94786035150012626</v>
      </c>
      <c r="S19" s="28">
        <v>0.20833333333333334</v>
      </c>
      <c r="T19" s="28">
        <v>0.23750000000000002</v>
      </c>
      <c r="U19" s="197"/>
      <c r="V19" s="204">
        <f>(T19-S19)*24*60</f>
        <v>42.000000000000014</v>
      </c>
      <c r="W19" s="18"/>
      <c r="X19" s="18"/>
      <c r="Y19" s="443"/>
      <c r="Z19" s="443"/>
      <c r="AA19" s="12">
        <f t="shared" si="5"/>
        <v>-90.000000000000682</v>
      </c>
      <c r="AB19" s="196">
        <f t="shared" si="6"/>
        <v>0.95499999999999963</v>
      </c>
      <c r="AC19" s="442">
        <f>AB24</f>
        <v>0.94786035150012626</v>
      </c>
    </row>
    <row r="20" spans="1:29" ht="15.75" customHeight="1">
      <c r="A20" s="468" t="s">
        <v>41</v>
      </c>
      <c r="B20" s="31" t="s">
        <v>58</v>
      </c>
      <c r="C20" s="464" t="s">
        <v>62</v>
      </c>
      <c r="D20" s="464"/>
      <c r="E20" s="31">
        <v>57.73</v>
      </c>
      <c r="F20" s="207">
        <v>2480</v>
      </c>
      <c r="G20" s="197">
        <f>E20*F20</f>
        <v>143170.4</v>
      </c>
      <c r="H20" s="206" t="s">
        <v>103</v>
      </c>
      <c r="I20" s="205">
        <v>15</v>
      </c>
      <c r="J20" s="26">
        <v>2000</v>
      </c>
      <c r="K20" s="10">
        <f t="shared" si="0"/>
        <v>133.33333333333334</v>
      </c>
      <c r="L20" s="205">
        <v>15</v>
      </c>
      <c r="M20" s="11">
        <f>F20/V20*60</f>
        <v>1883.5443037974674</v>
      </c>
      <c r="N20" s="10">
        <f t="shared" si="1"/>
        <v>125.56962025316449</v>
      </c>
      <c r="O20" s="12">
        <f t="shared" si="2"/>
        <v>0</v>
      </c>
      <c r="P20" s="13">
        <f t="shared" si="3"/>
        <v>-7.7637130801688556</v>
      </c>
      <c r="Q20" s="196">
        <f t="shared" si="4"/>
        <v>0.94177215189873353</v>
      </c>
      <c r="R20" s="442"/>
      <c r="S20" s="28">
        <v>0.24305555555555558</v>
      </c>
      <c r="T20" s="28">
        <v>0.29791666666666672</v>
      </c>
      <c r="U20" s="197">
        <f>IF(S20=TIME(17,0,0),"",(S20-T19)*24*60)</f>
        <v>8.0000000000000107</v>
      </c>
      <c r="V20" s="204">
        <f>(T20-S20)*24*60</f>
        <v>79.000000000000043</v>
      </c>
      <c r="W20" s="16"/>
      <c r="X20" s="197"/>
      <c r="Y20" s="443"/>
      <c r="Z20" s="443"/>
      <c r="AA20" s="12">
        <f t="shared" si="5"/>
        <v>-116.45569620253264</v>
      </c>
      <c r="AB20" s="196">
        <f t="shared" si="6"/>
        <v>0.94177215189873364</v>
      </c>
      <c r="AC20" s="442"/>
    </row>
    <row r="21" spans="1:29" ht="15.75" customHeight="1">
      <c r="A21" s="468" t="s">
        <v>805</v>
      </c>
      <c r="B21" s="31" t="s">
        <v>58</v>
      </c>
      <c r="C21" s="464" t="s">
        <v>63</v>
      </c>
      <c r="D21" s="464"/>
      <c r="E21" s="31">
        <v>53.68</v>
      </c>
      <c r="F21" s="207">
        <v>1711</v>
      </c>
      <c r="G21" s="197">
        <f>E21*F21</f>
        <v>91846.48</v>
      </c>
      <c r="H21" s="206" t="s">
        <v>103</v>
      </c>
      <c r="I21" s="205">
        <v>16</v>
      </c>
      <c r="J21" s="26">
        <v>2000</v>
      </c>
      <c r="K21" s="10">
        <f t="shared" si="0"/>
        <v>125</v>
      </c>
      <c r="L21" s="205">
        <v>16</v>
      </c>
      <c r="M21" s="11">
        <f>F21/V21*60</f>
        <v>1901.111111111112</v>
      </c>
      <c r="N21" s="10">
        <f t="shared" si="1"/>
        <v>118.8194444444445</v>
      </c>
      <c r="O21" s="12">
        <f t="shared" si="2"/>
        <v>0</v>
      </c>
      <c r="P21" s="13">
        <f t="shared" si="3"/>
        <v>-6.1805555555555003</v>
      </c>
      <c r="Q21" s="196">
        <f t="shared" si="4"/>
        <v>0.95055555555555604</v>
      </c>
      <c r="R21" s="442"/>
      <c r="S21" s="28">
        <v>0.30347222222222225</v>
      </c>
      <c r="T21" s="28">
        <v>0.34097222222222223</v>
      </c>
      <c r="U21" s="197">
        <f>IF(S21=TIME(17,0,0),"",(S21-T20)*24*60)</f>
        <v>7.9999999999999716</v>
      </c>
      <c r="V21" s="204">
        <f>(T21-S21)*24*60</f>
        <v>53.999999999999972</v>
      </c>
      <c r="W21" s="16"/>
      <c r="X21" s="197"/>
      <c r="Y21" s="443"/>
      <c r="Z21" s="443"/>
      <c r="AA21" s="12">
        <f t="shared" si="5"/>
        <v>-98.888888888888005</v>
      </c>
      <c r="AB21" s="196">
        <f t="shared" si="6"/>
        <v>0.95055555555555604</v>
      </c>
      <c r="AC21" s="442"/>
    </row>
    <row r="22" spans="1:29" ht="15.75" customHeight="1">
      <c r="A22" s="468" t="s">
        <v>41</v>
      </c>
      <c r="B22" s="31" t="s">
        <v>58</v>
      </c>
      <c r="C22" s="464" t="s">
        <v>65</v>
      </c>
      <c r="D22" s="464"/>
      <c r="E22" s="31">
        <v>54.09</v>
      </c>
      <c r="F22" s="207">
        <v>2604</v>
      </c>
      <c r="G22" s="197">
        <f>E22*F22</f>
        <v>140850.36000000002</v>
      </c>
      <c r="H22" s="206" t="s">
        <v>103</v>
      </c>
      <c r="I22" s="205">
        <v>19</v>
      </c>
      <c r="J22" s="26">
        <v>2000</v>
      </c>
      <c r="K22" s="10">
        <f t="shared" si="0"/>
        <v>105.26315789473684</v>
      </c>
      <c r="L22" s="205">
        <v>19</v>
      </c>
      <c r="M22" s="11">
        <f>F22/V22*60</f>
        <v>1882.4096385542161</v>
      </c>
      <c r="N22" s="10">
        <f t="shared" si="1"/>
        <v>99.074191502853481</v>
      </c>
      <c r="O22" s="12">
        <f t="shared" si="2"/>
        <v>0</v>
      </c>
      <c r="P22" s="13">
        <f t="shared" si="3"/>
        <v>-6.1889663918833548</v>
      </c>
      <c r="Q22" s="196">
        <f t="shared" si="4"/>
        <v>0.94120481927710808</v>
      </c>
      <c r="R22" s="442"/>
      <c r="S22" s="28">
        <v>0.70833333333333337</v>
      </c>
      <c r="T22" s="28">
        <v>0.76597222222222228</v>
      </c>
      <c r="U22" s="197" t="str">
        <f>IF(S22=TIME(17,0,0),"",(S22-T21)*24*60)</f>
        <v/>
      </c>
      <c r="V22" s="204">
        <f>(T22-S22)*24*60</f>
        <v>83.000000000000028</v>
      </c>
      <c r="W22" s="16"/>
      <c r="X22" s="197"/>
      <c r="Y22" s="443"/>
      <c r="Z22" s="443"/>
      <c r="AA22" s="12">
        <f t="shared" si="5"/>
        <v>-117.59036144578386</v>
      </c>
      <c r="AB22" s="196">
        <f t="shared" si="6"/>
        <v>0.94120481927710808</v>
      </c>
      <c r="AC22" s="442"/>
    </row>
    <row r="23" spans="1:29" ht="15.75" customHeight="1">
      <c r="A23" s="468" t="s">
        <v>41</v>
      </c>
      <c r="B23" s="31" t="s">
        <v>58</v>
      </c>
      <c r="C23" s="464" t="s">
        <v>66</v>
      </c>
      <c r="D23" s="464"/>
      <c r="E23" s="31">
        <v>53.27</v>
      </c>
      <c r="F23" s="207">
        <v>412</v>
      </c>
      <c r="G23" s="197">
        <f>E23*F23</f>
        <v>21947.24</v>
      </c>
      <c r="H23" s="206" t="s">
        <v>103</v>
      </c>
      <c r="I23" s="205">
        <v>15</v>
      </c>
      <c r="J23" s="26">
        <v>2000</v>
      </c>
      <c r="K23" s="10">
        <f t="shared" si="0"/>
        <v>133.33333333333334</v>
      </c>
      <c r="L23" s="205">
        <v>15</v>
      </c>
      <c r="M23" s="11">
        <f>F23/V23*60</f>
        <v>1901.5384615384683</v>
      </c>
      <c r="N23" s="10">
        <f t="shared" si="1"/>
        <v>126.76923076923121</v>
      </c>
      <c r="O23" s="12">
        <f t="shared" si="2"/>
        <v>0</v>
      </c>
      <c r="P23" s="13">
        <f t="shared" si="3"/>
        <v>-6.5641025641021287</v>
      </c>
      <c r="Q23" s="196">
        <f t="shared" si="4"/>
        <v>0.95076923076923403</v>
      </c>
      <c r="R23" s="442"/>
      <c r="S23" s="28">
        <v>0.77013888888888893</v>
      </c>
      <c r="T23" s="28">
        <v>0.77916666666666667</v>
      </c>
      <c r="U23" s="197">
        <f>IF(S23=TIME(17,0,0),"",(S23-T22)*24*60)</f>
        <v>5.9999999999999787</v>
      </c>
      <c r="V23" s="204">
        <f>(T23-S23)*24*60</f>
        <v>12.999999999999954</v>
      </c>
      <c r="W23" s="16"/>
      <c r="X23" s="197"/>
      <c r="Y23" s="443"/>
      <c r="Z23" s="443"/>
      <c r="AA23" s="12">
        <f t="shared" si="5"/>
        <v>-98.461538461531745</v>
      </c>
      <c r="AB23" s="196">
        <f t="shared" si="6"/>
        <v>0.95076923076923414</v>
      </c>
      <c r="AC23" s="442"/>
    </row>
    <row r="24" spans="1:29" ht="15.75" customHeight="1">
      <c r="A24" s="468" t="s">
        <v>41</v>
      </c>
      <c r="B24" s="31" t="s">
        <v>39</v>
      </c>
      <c r="C24" s="446"/>
      <c r="D24" s="446"/>
      <c r="E24" s="200"/>
      <c r="F24" s="207"/>
      <c r="G24" s="197"/>
      <c r="H24" s="207"/>
      <c r="I24" s="19">
        <v>16.600000000000001</v>
      </c>
      <c r="J24" s="26">
        <v>2000</v>
      </c>
      <c r="K24" s="10">
        <f t="shared" si="0"/>
        <v>120.48192771084337</v>
      </c>
      <c r="L24" s="19">
        <v>16.600000000000001</v>
      </c>
      <c r="M24" s="11">
        <f>AVERAGE(M19:M23)</f>
        <v>1895.7207030002526</v>
      </c>
      <c r="N24" s="10">
        <f t="shared" si="1"/>
        <v>114.2000423494128</v>
      </c>
      <c r="O24" s="12">
        <f t="shared" si="2"/>
        <v>0</v>
      </c>
      <c r="P24" s="13">
        <f t="shared" si="3"/>
        <v>-6.2818853614305681</v>
      </c>
      <c r="Q24" s="196">
        <f t="shared" si="4"/>
        <v>0.94786035150012626</v>
      </c>
      <c r="R24" s="442"/>
      <c r="S24" s="28"/>
      <c r="T24" s="28"/>
      <c r="U24" s="10"/>
      <c r="V24" s="204"/>
      <c r="W24" s="10"/>
      <c r="X24" s="10"/>
      <c r="Y24" s="443"/>
      <c r="Z24" s="443"/>
      <c r="AA24" s="12">
        <f t="shared" si="5"/>
        <v>-104.27929699974743</v>
      </c>
      <c r="AB24" s="196">
        <f t="shared" si="6"/>
        <v>0.94786035150012626</v>
      </c>
      <c r="AC24" s="442"/>
    </row>
    <row r="25" spans="1:29" ht="15.75" customHeight="1">
      <c r="A25" s="463" t="s">
        <v>43</v>
      </c>
      <c r="B25" s="31" t="s">
        <v>67</v>
      </c>
      <c r="C25" s="464" t="s">
        <v>68</v>
      </c>
      <c r="D25" s="464"/>
      <c r="E25" s="31">
        <v>26.2</v>
      </c>
      <c r="F25" s="207">
        <v>2900</v>
      </c>
      <c r="G25" s="197">
        <f t="shared" ref="G25:G32" si="7">E25*F25</f>
        <v>75980</v>
      </c>
      <c r="H25" s="206">
        <v>2</v>
      </c>
      <c r="I25" s="205">
        <v>20</v>
      </c>
      <c r="J25" s="26">
        <v>2400</v>
      </c>
      <c r="K25" s="10">
        <f t="shared" si="0"/>
        <v>120</v>
      </c>
      <c r="L25" s="205">
        <v>20</v>
      </c>
      <c r="M25" s="11">
        <f t="shared" ref="M25:M32" si="8">F25/V25*60</f>
        <v>2259.7402597402597</v>
      </c>
      <c r="N25" s="10">
        <f t="shared" si="1"/>
        <v>112.98701298701299</v>
      </c>
      <c r="O25" s="12">
        <f t="shared" si="2"/>
        <v>0</v>
      </c>
      <c r="P25" s="13">
        <f t="shared" si="3"/>
        <v>-7.0129870129870113</v>
      </c>
      <c r="Q25" s="196">
        <f t="shared" si="4"/>
        <v>0.94155844155844159</v>
      </c>
      <c r="R25" s="442">
        <f>Q33</f>
        <v>0.94537546015653651</v>
      </c>
      <c r="S25" s="28">
        <v>0.125</v>
      </c>
      <c r="T25" s="28">
        <v>0.17847222222222223</v>
      </c>
      <c r="U25" s="197"/>
      <c r="V25" s="204">
        <f t="shared" ref="V25:V32" si="9">(T25-S25)*24*60</f>
        <v>77</v>
      </c>
      <c r="W25" s="16">
        <f>T25</f>
        <v>0.17847222222222223</v>
      </c>
      <c r="X25" s="16">
        <f>S26</f>
        <v>0.19791666666666666</v>
      </c>
      <c r="Y25" s="443"/>
      <c r="Z25" s="443"/>
      <c r="AA25" s="12">
        <f t="shared" si="5"/>
        <v>-140.25974025974028</v>
      </c>
      <c r="AB25" s="196">
        <f t="shared" si="6"/>
        <v>0.94155844155844159</v>
      </c>
      <c r="AC25" s="442">
        <f>AB33</f>
        <v>0.94537546015653651</v>
      </c>
    </row>
    <row r="26" spans="1:29" ht="15.75" customHeight="1">
      <c r="A26" s="463" t="s">
        <v>43</v>
      </c>
      <c r="B26" s="31" t="s">
        <v>67</v>
      </c>
      <c r="C26" s="464" t="s">
        <v>69</v>
      </c>
      <c r="D26" s="464"/>
      <c r="E26" s="31">
        <v>31.29</v>
      </c>
      <c r="F26" s="207">
        <v>5600</v>
      </c>
      <c r="G26" s="197">
        <f t="shared" si="7"/>
        <v>175224</v>
      </c>
      <c r="H26" s="206">
        <v>2</v>
      </c>
      <c r="I26" s="205">
        <v>16</v>
      </c>
      <c r="J26" s="26">
        <v>2400</v>
      </c>
      <c r="K26" s="10">
        <f t="shared" si="0"/>
        <v>150</v>
      </c>
      <c r="L26" s="205">
        <v>16</v>
      </c>
      <c r="M26" s="11">
        <f t="shared" si="8"/>
        <v>2270.2702702702704</v>
      </c>
      <c r="N26" s="10">
        <f t="shared" si="1"/>
        <v>141.8918918918919</v>
      </c>
      <c r="O26" s="12">
        <f t="shared" si="2"/>
        <v>0</v>
      </c>
      <c r="P26" s="13">
        <f t="shared" si="3"/>
        <v>-8.1081081081080981</v>
      </c>
      <c r="Q26" s="196">
        <f t="shared" si="4"/>
        <v>0.94594594594594605</v>
      </c>
      <c r="R26" s="442"/>
      <c r="S26" s="28">
        <v>0.19791666666666666</v>
      </c>
      <c r="T26" s="28">
        <v>0.30069444444444443</v>
      </c>
      <c r="U26" s="197">
        <f t="shared" ref="U26:U32" si="10">(S26-T25)*24*60</f>
        <v>27.999999999999979</v>
      </c>
      <c r="V26" s="204">
        <f t="shared" si="9"/>
        <v>148</v>
      </c>
      <c r="W26" s="16"/>
      <c r="X26" s="16"/>
      <c r="Y26" s="443"/>
      <c r="Z26" s="443"/>
      <c r="AA26" s="12">
        <f t="shared" si="5"/>
        <v>-129.72972972972957</v>
      </c>
      <c r="AB26" s="196">
        <f t="shared" si="6"/>
        <v>0.94594594594594605</v>
      </c>
      <c r="AC26" s="442"/>
    </row>
    <row r="27" spans="1:29" ht="15.75" customHeight="1">
      <c r="A27" s="463" t="s">
        <v>804</v>
      </c>
      <c r="B27" s="31" t="s">
        <v>67</v>
      </c>
      <c r="C27" s="464" t="s">
        <v>70</v>
      </c>
      <c r="D27" s="464"/>
      <c r="E27" s="31">
        <v>24.25</v>
      </c>
      <c r="F27" s="207">
        <v>3772</v>
      </c>
      <c r="G27" s="197">
        <f t="shared" si="7"/>
        <v>91471</v>
      </c>
      <c r="H27" s="206" t="s">
        <v>103</v>
      </c>
      <c r="I27" s="205">
        <v>18</v>
      </c>
      <c r="J27" s="26">
        <v>2400</v>
      </c>
      <c r="K27" s="10">
        <f t="shared" si="0"/>
        <v>133.33333333333334</v>
      </c>
      <c r="L27" s="205">
        <v>18</v>
      </c>
      <c r="M27" s="11">
        <f t="shared" si="8"/>
        <v>2263.1999999999989</v>
      </c>
      <c r="N27" s="10">
        <f t="shared" si="1"/>
        <v>125.73333333333328</v>
      </c>
      <c r="O27" s="12">
        <f t="shared" si="2"/>
        <v>0</v>
      </c>
      <c r="P27" s="13">
        <f t="shared" si="3"/>
        <v>-7.6000000000000654</v>
      </c>
      <c r="Q27" s="196">
        <f t="shared" si="4"/>
        <v>0.94299999999999951</v>
      </c>
      <c r="R27" s="442"/>
      <c r="S27" s="28">
        <v>0.30486111111111108</v>
      </c>
      <c r="T27" s="28">
        <v>0.37430555555555556</v>
      </c>
      <c r="U27" s="197">
        <f t="shared" si="10"/>
        <v>5.9999999999999787</v>
      </c>
      <c r="V27" s="204">
        <f t="shared" si="9"/>
        <v>100.00000000000004</v>
      </c>
      <c r="W27" s="16"/>
      <c r="X27" s="16"/>
      <c r="Y27" s="443"/>
      <c r="Z27" s="443"/>
      <c r="AA27" s="12">
        <f t="shared" si="5"/>
        <v>-136.80000000000109</v>
      </c>
      <c r="AB27" s="196">
        <f t="shared" si="6"/>
        <v>0.94299999999999951</v>
      </c>
      <c r="AC27" s="442"/>
    </row>
    <row r="28" spans="1:29" ht="15.75" customHeight="1">
      <c r="A28" s="463" t="s">
        <v>43</v>
      </c>
      <c r="B28" s="31" t="s">
        <v>67</v>
      </c>
      <c r="C28" s="464" t="s">
        <v>72</v>
      </c>
      <c r="D28" s="464"/>
      <c r="E28" s="31">
        <v>25.98</v>
      </c>
      <c r="F28" s="207">
        <v>3414</v>
      </c>
      <c r="G28" s="197">
        <f t="shared" si="7"/>
        <v>88695.72</v>
      </c>
      <c r="H28" s="206" t="s">
        <v>103</v>
      </c>
      <c r="I28" s="205">
        <v>17</v>
      </c>
      <c r="J28" s="26">
        <v>2400</v>
      </c>
      <c r="K28" s="10">
        <f t="shared" si="0"/>
        <v>141.1764705882353</v>
      </c>
      <c r="L28" s="205">
        <v>17</v>
      </c>
      <c r="M28" s="11">
        <f t="shared" si="8"/>
        <v>2276</v>
      </c>
      <c r="N28" s="10">
        <f t="shared" si="1"/>
        <v>133.88235294117646</v>
      </c>
      <c r="O28" s="12">
        <f t="shared" si="2"/>
        <v>0</v>
      </c>
      <c r="P28" s="13">
        <f t="shared" si="3"/>
        <v>-7.2941176470588402</v>
      </c>
      <c r="Q28" s="196">
        <f t="shared" si="4"/>
        <v>0.94833333333333325</v>
      </c>
      <c r="R28" s="442"/>
      <c r="S28" s="28">
        <v>0.37986111111111109</v>
      </c>
      <c r="T28" s="28">
        <v>0.44236111111111109</v>
      </c>
      <c r="U28" s="197">
        <f t="shared" si="10"/>
        <v>7.9999999999999716</v>
      </c>
      <c r="V28" s="204">
        <f t="shared" si="9"/>
        <v>90</v>
      </c>
      <c r="W28" s="16"/>
      <c r="X28" s="16"/>
      <c r="Y28" s="443"/>
      <c r="Z28" s="443"/>
      <c r="AA28" s="12">
        <f t="shared" si="5"/>
        <v>-124</v>
      </c>
      <c r="AB28" s="196">
        <f t="shared" si="6"/>
        <v>0.94833333333333336</v>
      </c>
      <c r="AC28" s="442"/>
    </row>
    <row r="29" spans="1:29" ht="15.75" customHeight="1">
      <c r="A29" s="463" t="s">
        <v>43</v>
      </c>
      <c r="B29" s="31" t="s">
        <v>67</v>
      </c>
      <c r="C29" s="464" t="s">
        <v>165</v>
      </c>
      <c r="D29" s="464"/>
      <c r="E29" s="31">
        <v>26.18</v>
      </c>
      <c r="F29" s="207">
        <v>3400</v>
      </c>
      <c r="G29" s="197">
        <f t="shared" si="7"/>
        <v>89012</v>
      </c>
      <c r="H29" s="206">
        <v>2</v>
      </c>
      <c r="I29" s="205">
        <v>19</v>
      </c>
      <c r="J29" s="26">
        <v>2400</v>
      </c>
      <c r="K29" s="10">
        <f t="shared" si="0"/>
        <v>126.31578947368421</v>
      </c>
      <c r="L29" s="205">
        <v>19</v>
      </c>
      <c r="M29" s="11">
        <f t="shared" si="8"/>
        <v>2266.6666666666665</v>
      </c>
      <c r="N29" s="10">
        <f t="shared" si="1"/>
        <v>119.29824561403508</v>
      </c>
      <c r="O29" s="12">
        <f t="shared" si="2"/>
        <v>0</v>
      </c>
      <c r="P29" s="13">
        <f t="shared" si="3"/>
        <v>-7.0175438596491233</v>
      </c>
      <c r="Q29" s="196">
        <f t="shared" si="4"/>
        <v>0.94444444444444442</v>
      </c>
      <c r="R29" s="442"/>
      <c r="S29" s="28">
        <v>0.44722222222222219</v>
      </c>
      <c r="T29" s="28">
        <v>0.50972222222222219</v>
      </c>
      <c r="U29" s="197">
        <f t="shared" si="10"/>
        <v>6.9999999999999751</v>
      </c>
      <c r="V29" s="204">
        <f t="shared" si="9"/>
        <v>90</v>
      </c>
      <c r="W29" s="16">
        <f>T29</f>
        <v>0.50972222222222219</v>
      </c>
      <c r="X29" s="16">
        <f>S30</f>
        <v>0.54861111111111105</v>
      </c>
      <c r="Y29" s="443"/>
      <c r="Z29" s="443"/>
      <c r="AA29" s="12">
        <f t="shared" si="5"/>
        <v>-133.33333333333348</v>
      </c>
      <c r="AB29" s="196">
        <f t="shared" si="6"/>
        <v>0.94444444444444442</v>
      </c>
      <c r="AC29" s="442"/>
    </row>
    <row r="30" spans="1:29" ht="15.75" customHeight="1">
      <c r="A30" s="463" t="s">
        <v>803</v>
      </c>
      <c r="B30" s="31" t="s">
        <v>67</v>
      </c>
      <c r="C30" s="464" t="s">
        <v>69</v>
      </c>
      <c r="D30" s="464"/>
      <c r="E30" s="31">
        <v>31.29</v>
      </c>
      <c r="F30" s="207">
        <v>3972</v>
      </c>
      <c r="G30" s="197">
        <f t="shared" si="7"/>
        <v>124283.87999999999</v>
      </c>
      <c r="H30" s="206" t="s">
        <v>103</v>
      </c>
      <c r="I30" s="205">
        <v>16</v>
      </c>
      <c r="J30" s="26">
        <v>2400</v>
      </c>
      <c r="K30" s="10">
        <f t="shared" si="0"/>
        <v>150</v>
      </c>
      <c r="L30" s="205">
        <v>16</v>
      </c>
      <c r="M30" s="11">
        <f t="shared" si="8"/>
        <v>2269.7142857142871</v>
      </c>
      <c r="N30" s="10">
        <f t="shared" si="1"/>
        <v>141.85714285714295</v>
      </c>
      <c r="O30" s="12">
        <f t="shared" si="2"/>
        <v>0</v>
      </c>
      <c r="P30" s="13">
        <f t="shared" si="3"/>
        <v>-8.1428571428570535</v>
      </c>
      <c r="Q30" s="196">
        <f t="shared" si="4"/>
        <v>0.94571428571428628</v>
      </c>
      <c r="R30" s="442"/>
      <c r="S30" s="28">
        <v>0.54861111111111105</v>
      </c>
      <c r="T30" s="28">
        <v>0.62152777777777768</v>
      </c>
      <c r="U30" s="197">
        <f t="shared" si="10"/>
        <v>55.999999999999957</v>
      </c>
      <c r="V30" s="204">
        <f t="shared" si="9"/>
        <v>104.99999999999994</v>
      </c>
      <c r="W30" s="16"/>
      <c r="X30" s="16"/>
      <c r="Y30" s="443"/>
      <c r="Z30" s="443"/>
      <c r="AA30" s="12">
        <f t="shared" si="5"/>
        <v>-130.28571428571286</v>
      </c>
      <c r="AB30" s="196">
        <f t="shared" si="6"/>
        <v>0.94571428571428628</v>
      </c>
      <c r="AC30" s="442"/>
    </row>
    <row r="31" spans="1:29" ht="15.75" customHeight="1">
      <c r="A31" s="463" t="s">
        <v>43</v>
      </c>
      <c r="B31" s="31" t="s">
        <v>67</v>
      </c>
      <c r="C31" s="464" t="s">
        <v>165</v>
      </c>
      <c r="D31" s="464"/>
      <c r="E31" s="31">
        <v>26.18</v>
      </c>
      <c r="F31" s="207">
        <v>2339</v>
      </c>
      <c r="G31" s="197">
        <f t="shared" si="7"/>
        <v>61235.02</v>
      </c>
      <c r="H31" s="206" t="s">
        <v>103</v>
      </c>
      <c r="I31" s="205">
        <v>19</v>
      </c>
      <c r="J31" s="26">
        <v>2400</v>
      </c>
      <c r="K31" s="10">
        <f t="shared" si="0"/>
        <v>126.31578947368421</v>
      </c>
      <c r="L31" s="205">
        <v>19</v>
      </c>
      <c r="M31" s="11">
        <f t="shared" si="8"/>
        <v>2263.5483870967764</v>
      </c>
      <c r="N31" s="10">
        <f t="shared" si="1"/>
        <v>119.13412563667244</v>
      </c>
      <c r="O31" s="12">
        <f t="shared" si="2"/>
        <v>0</v>
      </c>
      <c r="P31" s="13">
        <f t="shared" si="3"/>
        <v>-7.1816638370117687</v>
      </c>
      <c r="Q31" s="196">
        <f t="shared" si="4"/>
        <v>0.94314516129032344</v>
      </c>
      <c r="R31" s="442"/>
      <c r="S31" s="28">
        <v>0.62569444444444433</v>
      </c>
      <c r="T31" s="28">
        <v>0.66874999999999984</v>
      </c>
      <c r="U31" s="197">
        <f t="shared" si="10"/>
        <v>5.9999999999999787</v>
      </c>
      <c r="V31" s="204">
        <f t="shared" si="9"/>
        <v>61.999999999999943</v>
      </c>
      <c r="W31" s="16"/>
      <c r="X31" s="16"/>
      <c r="Y31" s="443"/>
      <c r="Z31" s="443"/>
      <c r="AA31" s="12">
        <f t="shared" si="5"/>
        <v>-136.45161290322358</v>
      </c>
      <c r="AB31" s="196">
        <f t="shared" si="6"/>
        <v>0.94314516129032355</v>
      </c>
      <c r="AC31" s="442"/>
    </row>
    <row r="32" spans="1:29" ht="15.75" customHeight="1">
      <c r="A32" s="463" t="s">
        <v>43</v>
      </c>
      <c r="B32" s="31" t="s">
        <v>67</v>
      </c>
      <c r="C32" s="464" t="s">
        <v>68</v>
      </c>
      <c r="D32" s="464"/>
      <c r="E32" s="31">
        <v>26.2</v>
      </c>
      <c r="F32" s="207">
        <v>2206</v>
      </c>
      <c r="G32" s="197">
        <f t="shared" si="7"/>
        <v>57797.2</v>
      </c>
      <c r="H32" s="206" t="s">
        <v>103</v>
      </c>
      <c r="I32" s="205">
        <v>20</v>
      </c>
      <c r="J32" s="26">
        <v>2400</v>
      </c>
      <c r="K32" s="10">
        <f t="shared" si="0"/>
        <v>120</v>
      </c>
      <c r="L32" s="205">
        <v>20</v>
      </c>
      <c r="M32" s="11">
        <f t="shared" si="8"/>
        <v>2282.0689655172432</v>
      </c>
      <c r="N32" s="10">
        <f t="shared" si="1"/>
        <v>114.10344827586216</v>
      </c>
      <c r="O32" s="12">
        <f t="shared" si="2"/>
        <v>0</v>
      </c>
      <c r="P32" s="13">
        <f t="shared" si="3"/>
        <v>-5.8965517241378365</v>
      </c>
      <c r="Q32" s="196">
        <f t="shared" si="4"/>
        <v>0.95086206896551806</v>
      </c>
      <c r="R32" s="442"/>
      <c r="S32" s="28">
        <v>0.67222222222222205</v>
      </c>
      <c r="T32" s="28">
        <v>0.7124999999999998</v>
      </c>
      <c r="U32" s="197">
        <f t="shared" si="10"/>
        <v>4.9999999999999822</v>
      </c>
      <c r="V32" s="204">
        <f t="shared" si="9"/>
        <v>57.999999999999957</v>
      </c>
      <c r="W32" s="16"/>
      <c r="X32" s="16"/>
      <c r="Y32" s="443"/>
      <c r="Z32" s="443"/>
      <c r="AA32" s="12">
        <f t="shared" si="5"/>
        <v>-117.93103448275679</v>
      </c>
      <c r="AB32" s="196">
        <f t="shared" si="6"/>
        <v>0.95086206896551806</v>
      </c>
      <c r="AC32" s="442"/>
    </row>
    <row r="33" spans="1:29" ht="15.75" customHeight="1">
      <c r="A33" s="463" t="s">
        <v>43</v>
      </c>
      <c r="B33" s="31" t="s">
        <v>39</v>
      </c>
      <c r="C33" s="446"/>
      <c r="D33" s="446"/>
      <c r="E33" s="200"/>
      <c r="F33" s="207"/>
      <c r="G33" s="197"/>
      <c r="H33" s="207"/>
      <c r="I33" s="19">
        <v>18.125</v>
      </c>
      <c r="J33" s="26">
        <v>2400</v>
      </c>
      <c r="K33" s="10">
        <f t="shared" si="0"/>
        <v>132.41379310344828</v>
      </c>
      <c r="L33" s="19">
        <v>18.125</v>
      </c>
      <c r="M33" s="11">
        <f>AVERAGE(M25:M32)</f>
        <v>2268.9011043756877</v>
      </c>
      <c r="N33" s="10">
        <f t="shared" si="1"/>
        <v>125.18075058624484</v>
      </c>
      <c r="O33" s="12">
        <f t="shared" si="2"/>
        <v>0</v>
      </c>
      <c r="P33" s="13">
        <f t="shared" si="3"/>
        <v>-7.2330425172034438</v>
      </c>
      <c r="Q33" s="196">
        <f t="shared" si="4"/>
        <v>0.94537546015653651</v>
      </c>
      <c r="R33" s="442"/>
      <c r="S33" s="28"/>
      <c r="T33" s="28"/>
      <c r="U33" s="197"/>
      <c r="V33" s="204"/>
      <c r="W33" s="197"/>
      <c r="X33" s="197"/>
      <c r="Y33" s="443"/>
      <c r="Z33" s="443"/>
      <c r="AA33" s="12">
        <f t="shared" si="5"/>
        <v>-131.09889562431226</v>
      </c>
      <c r="AB33" s="196">
        <f t="shared" si="6"/>
        <v>0.94537546015653651</v>
      </c>
      <c r="AC33" s="442"/>
    </row>
    <row r="34" spans="1:29" ht="15.75" customHeight="1">
      <c r="A34" s="461" t="s">
        <v>801</v>
      </c>
      <c r="B34" s="31" t="s">
        <v>67</v>
      </c>
      <c r="C34" s="441" t="s">
        <v>73</v>
      </c>
      <c r="D34" s="441"/>
      <c r="E34" s="31">
        <v>26.2</v>
      </c>
      <c r="F34" s="207">
        <v>4500</v>
      </c>
      <c r="G34" s="197">
        <f t="shared" ref="G34:G43" si="11">E34*F34</f>
        <v>117900</v>
      </c>
      <c r="H34" s="206">
        <v>2</v>
      </c>
      <c r="I34" s="205">
        <v>18</v>
      </c>
      <c r="J34" s="26">
        <v>2400</v>
      </c>
      <c r="K34" s="10">
        <f t="shared" si="0"/>
        <v>133.33333333333334</v>
      </c>
      <c r="L34" s="205">
        <v>18</v>
      </c>
      <c r="M34" s="11">
        <f t="shared" ref="M34:M43" si="12">F34/V34*60</f>
        <v>2268.9075630252105</v>
      </c>
      <c r="N34" s="10">
        <f t="shared" si="1"/>
        <v>126.05042016806725</v>
      </c>
      <c r="O34" s="12">
        <f t="shared" si="2"/>
        <v>0</v>
      </c>
      <c r="P34" s="13">
        <f t="shared" si="3"/>
        <v>-7.2829131652660948</v>
      </c>
      <c r="Q34" s="196">
        <f t="shared" si="4"/>
        <v>0.94537815126050428</v>
      </c>
      <c r="R34" s="442">
        <f>Q44</f>
        <v>0.94694340620300455</v>
      </c>
      <c r="S34" s="28">
        <v>0.125</v>
      </c>
      <c r="T34" s="28">
        <v>0.20763888888888887</v>
      </c>
      <c r="U34" s="197"/>
      <c r="V34" s="204">
        <f t="shared" ref="V34:V43" si="13">(T34-S34)*24*60</f>
        <v>118.99999999999997</v>
      </c>
      <c r="W34" s="18">
        <f>T34</f>
        <v>0.20763888888888887</v>
      </c>
      <c r="X34" s="18">
        <f>S35</f>
        <v>0.22777777777777777</v>
      </c>
      <c r="Y34" s="443"/>
      <c r="Z34" s="443"/>
      <c r="AA34" s="12">
        <f t="shared" si="5"/>
        <v>-131.09243697478951</v>
      </c>
      <c r="AB34" s="196">
        <f t="shared" si="6"/>
        <v>0.9453781512605044</v>
      </c>
      <c r="AC34" s="442">
        <f>AB44</f>
        <v>0.94694340620300443</v>
      </c>
    </row>
    <row r="35" spans="1:29" ht="15.75" customHeight="1">
      <c r="A35" s="461" t="s">
        <v>44</v>
      </c>
      <c r="B35" s="31" t="s">
        <v>67</v>
      </c>
      <c r="C35" s="441" t="s">
        <v>74</v>
      </c>
      <c r="D35" s="441"/>
      <c r="E35" s="31">
        <v>24.45</v>
      </c>
      <c r="F35" s="207">
        <v>2337</v>
      </c>
      <c r="G35" s="197">
        <f t="shared" si="11"/>
        <v>57139.65</v>
      </c>
      <c r="H35" s="206" t="s">
        <v>103</v>
      </c>
      <c r="I35" s="205">
        <v>20</v>
      </c>
      <c r="J35" s="26">
        <v>2400</v>
      </c>
      <c r="K35" s="10">
        <f t="shared" si="0"/>
        <v>120</v>
      </c>
      <c r="L35" s="205">
        <v>20</v>
      </c>
      <c r="M35" s="11">
        <f t="shared" si="12"/>
        <v>2261.6129032258073</v>
      </c>
      <c r="N35" s="10">
        <f t="shared" si="1"/>
        <v>113.08064516129036</v>
      </c>
      <c r="O35" s="12">
        <f t="shared" si="2"/>
        <v>0</v>
      </c>
      <c r="P35" s="13">
        <f t="shared" si="3"/>
        <v>-6.9193548387096371</v>
      </c>
      <c r="Q35" s="196">
        <f t="shared" si="4"/>
        <v>0.94233870967741973</v>
      </c>
      <c r="R35" s="442"/>
      <c r="S35" s="28">
        <v>0.22777777777777777</v>
      </c>
      <c r="T35" s="28">
        <v>0.27083333333333331</v>
      </c>
      <c r="U35" s="197">
        <f t="shared" ref="U35:U43" si="14">(S35-T34)*24*60</f>
        <v>29.000000000000018</v>
      </c>
      <c r="V35" s="204">
        <f t="shared" si="13"/>
        <v>61.999999999999979</v>
      </c>
      <c r="W35" s="197"/>
      <c r="X35" s="197"/>
      <c r="Y35" s="443"/>
      <c r="Z35" s="443"/>
      <c r="AA35" s="12">
        <f t="shared" si="5"/>
        <v>-138.38709677419274</v>
      </c>
      <c r="AB35" s="196">
        <f t="shared" si="6"/>
        <v>0.94233870967741973</v>
      </c>
      <c r="AC35" s="442"/>
    </row>
    <row r="36" spans="1:29">
      <c r="A36" s="462" t="s">
        <v>802</v>
      </c>
      <c r="B36" s="31" t="s">
        <v>67</v>
      </c>
      <c r="C36" s="441" t="s">
        <v>75</v>
      </c>
      <c r="D36" s="441"/>
      <c r="E36" s="31">
        <v>26.39</v>
      </c>
      <c r="F36" s="207">
        <v>4000</v>
      </c>
      <c r="G36" s="197">
        <f t="shared" si="11"/>
        <v>105560</v>
      </c>
      <c r="H36" s="206">
        <v>2</v>
      </c>
      <c r="I36" s="205">
        <v>19</v>
      </c>
      <c r="J36" s="26">
        <v>2400</v>
      </c>
      <c r="K36" s="10">
        <f t="shared" si="0"/>
        <v>126.31578947368421</v>
      </c>
      <c r="L36" s="205">
        <v>19</v>
      </c>
      <c r="M36" s="11">
        <f t="shared" si="12"/>
        <v>2264.1509433962256</v>
      </c>
      <c r="N36" s="10">
        <f t="shared" si="1"/>
        <v>119.16583912611713</v>
      </c>
      <c r="O36" s="12">
        <f t="shared" si="2"/>
        <v>0</v>
      </c>
      <c r="P36" s="13">
        <f t="shared" si="3"/>
        <v>-7.1499503475670707</v>
      </c>
      <c r="Q36" s="196">
        <f t="shared" si="4"/>
        <v>0.94339622641509402</v>
      </c>
      <c r="R36" s="442"/>
      <c r="S36" s="28">
        <v>0.27638888888888885</v>
      </c>
      <c r="T36" s="28">
        <v>0.35</v>
      </c>
      <c r="U36" s="197">
        <f t="shared" si="14"/>
        <v>7.9999999999999716</v>
      </c>
      <c r="V36" s="204">
        <f t="shared" si="13"/>
        <v>106.00000000000003</v>
      </c>
      <c r="W36" s="197"/>
      <c r="X36" s="197"/>
      <c r="Y36" s="443"/>
      <c r="Z36" s="443"/>
      <c r="AA36" s="12">
        <f t="shared" si="5"/>
        <v>-135.84905660377444</v>
      </c>
      <c r="AB36" s="196">
        <f t="shared" si="6"/>
        <v>0.94339622641509402</v>
      </c>
      <c r="AC36" s="442"/>
    </row>
    <row r="37" spans="1:29">
      <c r="A37" s="462" t="s">
        <v>801</v>
      </c>
      <c r="B37" s="31" t="s">
        <v>67</v>
      </c>
      <c r="C37" s="441" t="s">
        <v>76</v>
      </c>
      <c r="D37" s="441"/>
      <c r="E37" s="31">
        <v>20.52</v>
      </c>
      <c r="F37" s="207">
        <v>3532</v>
      </c>
      <c r="G37" s="197">
        <f t="shared" si="11"/>
        <v>72476.639999999999</v>
      </c>
      <c r="H37" s="206" t="s">
        <v>103</v>
      </c>
      <c r="I37" s="205">
        <v>18</v>
      </c>
      <c r="J37" s="26">
        <v>2400</v>
      </c>
      <c r="K37" s="10">
        <f t="shared" ref="K37:K68" si="15">J37/I37</f>
        <v>133.33333333333334</v>
      </c>
      <c r="L37" s="205">
        <v>18</v>
      </c>
      <c r="M37" s="11">
        <f t="shared" si="12"/>
        <v>2278.7096774193551</v>
      </c>
      <c r="N37" s="10">
        <f t="shared" ref="N37:N68" si="16">M37/L37</f>
        <v>126.59498207885306</v>
      </c>
      <c r="O37" s="12">
        <f t="shared" si="2"/>
        <v>0</v>
      </c>
      <c r="P37" s="13">
        <f t="shared" ref="P37:P68" si="17">N37-K37</f>
        <v>-6.7383512544802784</v>
      </c>
      <c r="Q37" s="196">
        <f t="shared" ref="Q37:Q68" si="18">N37/K37</f>
        <v>0.94946236559139796</v>
      </c>
      <c r="R37" s="442"/>
      <c r="S37" s="28">
        <v>0.35555555555555551</v>
      </c>
      <c r="T37" s="28">
        <v>0.42013888888888884</v>
      </c>
      <c r="U37" s="197">
        <f t="shared" si="14"/>
        <v>7.9999999999999716</v>
      </c>
      <c r="V37" s="204">
        <f t="shared" si="13"/>
        <v>92.999999999999986</v>
      </c>
      <c r="W37" s="16"/>
      <c r="X37" s="16"/>
      <c r="Y37" s="443"/>
      <c r="Z37" s="443"/>
      <c r="AA37" s="12">
        <f t="shared" ref="AA37:AA68" si="19">M37-J37</f>
        <v>-121.2903225806449</v>
      </c>
      <c r="AB37" s="196">
        <f t="shared" ref="AB37:AB68" si="20">M37/J37</f>
        <v>0.94946236559139796</v>
      </c>
      <c r="AC37" s="442"/>
    </row>
    <row r="38" spans="1:29">
      <c r="A38" s="462" t="s">
        <v>44</v>
      </c>
      <c r="B38" s="31" t="s">
        <v>67</v>
      </c>
      <c r="C38" s="441" t="s">
        <v>77</v>
      </c>
      <c r="D38" s="441"/>
      <c r="E38" s="31">
        <v>26.2</v>
      </c>
      <c r="F38" s="207">
        <v>2900</v>
      </c>
      <c r="G38" s="197">
        <f t="shared" si="11"/>
        <v>75980</v>
      </c>
      <c r="H38" s="206">
        <v>2</v>
      </c>
      <c r="I38" s="205">
        <v>19</v>
      </c>
      <c r="J38" s="26">
        <v>2400</v>
      </c>
      <c r="K38" s="10">
        <f t="shared" si="15"/>
        <v>126.31578947368421</v>
      </c>
      <c r="L38" s="205">
        <v>19</v>
      </c>
      <c r="M38" s="11">
        <f t="shared" si="12"/>
        <v>2289.4736842105272</v>
      </c>
      <c r="N38" s="10">
        <f t="shared" si="16"/>
        <v>120.4986149584488</v>
      </c>
      <c r="O38" s="12">
        <f t="shared" si="2"/>
        <v>0</v>
      </c>
      <c r="P38" s="13">
        <f t="shared" si="17"/>
        <v>-5.8171745152354077</v>
      </c>
      <c r="Q38" s="196">
        <f t="shared" si="18"/>
        <v>0.95394736842105299</v>
      </c>
      <c r="R38" s="442"/>
      <c r="S38" s="28">
        <v>0.42430555555555549</v>
      </c>
      <c r="T38" s="28">
        <v>0.47708333333333325</v>
      </c>
      <c r="U38" s="197">
        <f t="shared" si="14"/>
        <v>5.9999999999999787</v>
      </c>
      <c r="V38" s="204">
        <f t="shared" si="13"/>
        <v>75.999999999999972</v>
      </c>
      <c r="W38" s="16"/>
      <c r="X38" s="16"/>
      <c r="Y38" s="443"/>
      <c r="Z38" s="443"/>
      <c r="AA38" s="12">
        <f t="shared" si="19"/>
        <v>-110.52631578947285</v>
      </c>
      <c r="AB38" s="196">
        <f t="shared" si="20"/>
        <v>0.95394736842105299</v>
      </c>
      <c r="AC38" s="442"/>
    </row>
    <row r="39" spans="1:29">
      <c r="A39" s="462" t="s">
        <v>44</v>
      </c>
      <c r="B39" s="31" t="s">
        <v>67</v>
      </c>
      <c r="C39" s="441" t="s">
        <v>78</v>
      </c>
      <c r="D39" s="441"/>
      <c r="E39" s="31">
        <v>25.98</v>
      </c>
      <c r="F39" s="207">
        <v>2000</v>
      </c>
      <c r="G39" s="197">
        <f t="shared" si="11"/>
        <v>51960</v>
      </c>
      <c r="H39" s="206">
        <v>2</v>
      </c>
      <c r="I39" s="205">
        <v>17</v>
      </c>
      <c r="J39" s="26">
        <v>2400</v>
      </c>
      <c r="K39" s="10">
        <f t="shared" si="15"/>
        <v>141.1764705882353</v>
      </c>
      <c r="L39" s="205">
        <v>17</v>
      </c>
      <c r="M39" s="11">
        <f t="shared" si="12"/>
        <v>2264.1509433962246</v>
      </c>
      <c r="N39" s="10">
        <f t="shared" si="16"/>
        <v>133.18534961154262</v>
      </c>
      <c r="O39" s="12">
        <f t="shared" si="2"/>
        <v>0</v>
      </c>
      <c r="P39" s="13">
        <f t="shared" si="17"/>
        <v>-7.9911209766926845</v>
      </c>
      <c r="Q39" s="196">
        <f t="shared" si="18"/>
        <v>0.94339622641509346</v>
      </c>
      <c r="R39" s="442"/>
      <c r="S39" s="28">
        <v>0.4812499999999999</v>
      </c>
      <c r="T39" s="28">
        <v>0.51805555555555549</v>
      </c>
      <c r="U39" s="197">
        <f t="shared" si="14"/>
        <v>5.9999999999999787</v>
      </c>
      <c r="V39" s="204">
        <f t="shared" si="13"/>
        <v>53.00000000000005</v>
      </c>
      <c r="W39" s="16">
        <f>T39</f>
        <v>0.51805555555555549</v>
      </c>
      <c r="X39" s="16">
        <f>S40</f>
        <v>0.55624999999999991</v>
      </c>
      <c r="Y39" s="443"/>
      <c r="Z39" s="443"/>
      <c r="AA39" s="12">
        <f t="shared" si="19"/>
        <v>-135.84905660377535</v>
      </c>
      <c r="AB39" s="196">
        <f t="shared" si="20"/>
        <v>0.94339622641509358</v>
      </c>
      <c r="AC39" s="442"/>
    </row>
    <row r="40" spans="1:29">
      <c r="A40" s="462" t="s">
        <v>799</v>
      </c>
      <c r="B40" s="31" t="s">
        <v>67</v>
      </c>
      <c r="C40" s="441" t="s">
        <v>73</v>
      </c>
      <c r="D40" s="441"/>
      <c r="E40" s="31">
        <v>26.2</v>
      </c>
      <c r="F40" s="207">
        <v>2863</v>
      </c>
      <c r="G40" s="197">
        <f t="shared" si="11"/>
        <v>75010.599999999991</v>
      </c>
      <c r="H40" s="206" t="s">
        <v>103</v>
      </c>
      <c r="I40" s="205">
        <v>18</v>
      </c>
      <c r="J40" s="26">
        <v>2400</v>
      </c>
      <c r="K40" s="10">
        <f t="shared" si="15"/>
        <v>133.33333333333334</v>
      </c>
      <c r="L40" s="205">
        <v>18</v>
      </c>
      <c r="M40" s="11">
        <f t="shared" si="12"/>
        <v>2260.2631578947348</v>
      </c>
      <c r="N40" s="10">
        <f t="shared" si="16"/>
        <v>125.57017543859638</v>
      </c>
      <c r="O40" s="12">
        <f t="shared" si="2"/>
        <v>0</v>
      </c>
      <c r="P40" s="13">
        <f t="shared" si="17"/>
        <v>-7.7631578947369633</v>
      </c>
      <c r="Q40" s="196">
        <f t="shared" si="18"/>
        <v>0.94177631578947274</v>
      </c>
      <c r="R40" s="442"/>
      <c r="S40" s="28">
        <v>0.55624999999999991</v>
      </c>
      <c r="T40" s="28">
        <v>0.60902777777777772</v>
      </c>
      <c r="U40" s="197">
        <f t="shared" si="14"/>
        <v>54.999999999999964</v>
      </c>
      <c r="V40" s="204">
        <f t="shared" si="13"/>
        <v>76.000000000000057</v>
      </c>
      <c r="W40" s="16"/>
      <c r="X40" s="16"/>
      <c r="Y40" s="447"/>
      <c r="Z40" s="448"/>
      <c r="AA40" s="12">
        <f t="shared" si="19"/>
        <v>-139.73684210526517</v>
      </c>
      <c r="AB40" s="196">
        <f t="shared" si="20"/>
        <v>0.94177631578947285</v>
      </c>
      <c r="AC40" s="442"/>
    </row>
    <row r="41" spans="1:29">
      <c r="A41" s="462" t="s">
        <v>800</v>
      </c>
      <c r="B41" s="31" t="s">
        <v>67</v>
      </c>
      <c r="C41" s="441" t="s">
        <v>75</v>
      </c>
      <c r="D41" s="441"/>
      <c r="E41" s="31">
        <v>26.39</v>
      </c>
      <c r="F41" s="207">
        <v>2313</v>
      </c>
      <c r="G41" s="197">
        <f t="shared" si="11"/>
        <v>61040.07</v>
      </c>
      <c r="H41" s="206" t="s">
        <v>103</v>
      </c>
      <c r="I41" s="205">
        <v>19</v>
      </c>
      <c r="J41" s="26">
        <v>2400</v>
      </c>
      <c r="K41" s="10">
        <f t="shared" si="15"/>
        <v>126.31578947368421</v>
      </c>
      <c r="L41" s="205">
        <v>19</v>
      </c>
      <c r="M41" s="11">
        <f t="shared" si="12"/>
        <v>2275.081967213117</v>
      </c>
      <c r="N41" s="10">
        <f t="shared" si="16"/>
        <v>119.74115616911142</v>
      </c>
      <c r="O41" s="12">
        <f t="shared" si="2"/>
        <v>0</v>
      </c>
      <c r="P41" s="13">
        <f t="shared" si="17"/>
        <v>-6.5746333045727852</v>
      </c>
      <c r="Q41" s="196">
        <f t="shared" si="18"/>
        <v>0.94795081967213213</v>
      </c>
      <c r="R41" s="442"/>
      <c r="S41" s="28">
        <v>0.61388888888888882</v>
      </c>
      <c r="T41" s="28">
        <v>0.65624999999999989</v>
      </c>
      <c r="U41" s="197">
        <f t="shared" si="14"/>
        <v>6.9999999999999751</v>
      </c>
      <c r="V41" s="204">
        <f t="shared" si="13"/>
        <v>60.999999999999943</v>
      </c>
      <c r="W41" s="16"/>
      <c r="X41" s="16"/>
      <c r="Y41" s="447"/>
      <c r="Z41" s="448"/>
      <c r="AA41" s="12">
        <f t="shared" si="19"/>
        <v>-124.91803278688303</v>
      </c>
      <c r="AB41" s="196">
        <f t="shared" si="20"/>
        <v>0.94795081967213202</v>
      </c>
      <c r="AC41" s="442"/>
    </row>
    <row r="42" spans="1:29">
      <c r="A42" s="462" t="s">
        <v>44</v>
      </c>
      <c r="B42" s="31" t="s">
        <v>67</v>
      </c>
      <c r="C42" s="441" t="s">
        <v>78</v>
      </c>
      <c r="D42" s="441"/>
      <c r="E42" s="31">
        <v>25.98</v>
      </c>
      <c r="F42" s="207">
        <v>1259</v>
      </c>
      <c r="G42" s="197">
        <f t="shared" si="11"/>
        <v>32708.82</v>
      </c>
      <c r="H42" s="206" t="s">
        <v>103</v>
      </c>
      <c r="I42" s="205">
        <v>17</v>
      </c>
      <c r="J42" s="26">
        <v>2400</v>
      </c>
      <c r="K42" s="10">
        <f t="shared" si="15"/>
        <v>141.1764705882353</v>
      </c>
      <c r="L42" s="205">
        <v>17</v>
      </c>
      <c r="M42" s="11">
        <f t="shared" si="12"/>
        <v>2289.0909090909058</v>
      </c>
      <c r="N42" s="10">
        <f t="shared" si="16"/>
        <v>134.6524064171121</v>
      </c>
      <c r="O42" s="12">
        <f t="shared" si="2"/>
        <v>0</v>
      </c>
      <c r="P42" s="13">
        <f t="shared" si="17"/>
        <v>-6.5240641711232001</v>
      </c>
      <c r="Q42" s="196">
        <f t="shared" si="18"/>
        <v>0.9537878787878773</v>
      </c>
      <c r="R42" s="442"/>
      <c r="S42" s="28">
        <v>0.66111111111111098</v>
      </c>
      <c r="T42" s="28">
        <v>0.68402777777777768</v>
      </c>
      <c r="U42" s="197">
        <f t="shared" si="14"/>
        <v>6.9999999999999751</v>
      </c>
      <c r="V42" s="204">
        <f t="shared" si="13"/>
        <v>33.000000000000043</v>
      </c>
      <c r="W42" s="16"/>
      <c r="X42" s="16"/>
      <c r="Y42" s="447"/>
      <c r="Z42" s="448"/>
      <c r="AA42" s="12">
        <f t="shared" si="19"/>
        <v>-110.90909090909418</v>
      </c>
      <c r="AB42" s="196">
        <f t="shared" si="20"/>
        <v>0.95378787878787741</v>
      </c>
      <c r="AC42" s="442"/>
    </row>
    <row r="43" spans="1:29">
      <c r="A43" s="462" t="s">
        <v>44</v>
      </c>
      <c r="B43" s="31" t="s">
        <v>67</v>
      </c>
      <c r="C43" s="441" t="s">
        <v>77</v>
      </c>
      <c r="D43" s="441"/>
      <c r="E43" s="31">
        <v>26.2</v>
      </c>
      <c r="F43" s="207">
        <v>1896</v>
      </c>
      <c r="G43" s="197">
        <f t="shared" si="11"/>
        <v>49675.199999999997</v>
      </c>
      <c r="H43" s="206" t="s">
        <v>103</v>
      </c>
      <c r="I43" s="205">
        <v>19</v>
      </c>
      <c r="J43" s="26">
        <v>2400</v>
      </c>
      <c r="K43" s="10">
        <f t="shared" si="15"/>
        <v>126.31578947368421</v>
      </c>
      <c r="L43" s="205">
        <v>19</v>
      </c>
      <c r="M43" s="11">
        <f t="shared" si="12"/>
        <v>2275.2000000000007</v>
      </c>
      <c r="N43" s="10">
        <f t="shared" si="16"/>
        <v>119.74736842105267</v>
      </c>
      <c r="O43" s="12">
        <f t="shared" si="2"/>
        <v>0</v>
      </c>
      <c r="P43" s="13">
        <f t="shared" si="17"/>
        <v>-6.5684210526315354</v>
      </c>
      <c r="Q43" s="196">
        <f t="shared" si="18"/>
        <v>0.9480000000000004</v>
      </c>
      <c r="R43" s="442"/>
      <c r="S43" s="28">
        <v>0.68819444444444433</v>
      </c>
      <c r="T43" s="28">
        <v>0.72291666666666654</v>
      </c>
      <c r="U43" s="197">
        <f t="shared" si="14"/>
        <v>5.9999999999999787</v>
      </c>
      <c r="V43" s="204">
        <f t="shared" si="13"/>
        <v>49.999999999999986</v>
      </c>
      <c r="W43" s="16"/>
      <c r="X43" s="16"/>
      <c r="Y43" s="447"/>
      <c r="Z43" s="448"/>
      <c r="AA43" s="12">
        <f t="shared" si="19"/>
        <v>-124.79999999999927</v>
      </c>
      <c r="AB43" s="196">
        <f t="shared" si="20"/>
        <v>0.94800000000000029</v>
      </c>
      <c r="AC43" s="442"/>
    </row>
    <row r="44" spans="1:29">
      <c r="A44" s="462" t="s">
        <v>799</v>
      </c>
      <c r="B44" s="33" t="s">
        <v>39</v>
      </c>
      <c r="C44" s="446"/>
      <c r="D44" s="446"/>
      <c r="E44" s="200"/>
      <c r="F44" s="33"/>
      <c r="G44" s="10"/>
      <c r="H44" s="207"/>
      <c r="I44" s="19">
        <v>18.399999999999999</v>
      </c>
      <c r="J44" s="26">
        <v>2400</v>
      </c>
      <c r="K44" s="10">
        <f t="shared" si="15"/>
        <v>130.43478260869566</v>
      </c>
      <c r="L44" s="19">
        <v>18.399999999999999</v>
      </c>
      <c r="M44" s="11">
        <f>AVERAGE(M34:M43)</f>
        <v>2272.6641748872107</v>
      </c>
      <c r="N44" s="10">
        <f t="shared" si="16"/>
        <v>123.51435733082668</v>
      </c>
      <c r="O44" s="12">
        <f t="shared" si="2"/>
        <v>0</v>
      </c>
      <c r="P44" s="13">
        <f t="shared" si="17"/>
        <v>-6.9204252778689721</v>
      </c>
      <c r="Q44" s="196">
        <f t="shared" si="18"/>
        <v>0.94694340620300455</v>
      </c>
      <c r="R44" s="442"/>
      <c r="S44" s="28"/>
      <c r="T44" s="28"/>
      <c r="U44" s="10"/>
      <c r="V44" s="204"/>
      <c r="W44" s="10"/>
      <c r="X44" s="10"/>
      <c r="Y44" s="443"/>
      <c r="Z44" s="443"/>
      <c r="AA44" s="12">
        <f t="shared" si="19"/>
        <v>-127.33582511278928</v>
      </c>
      <c r="AB44" s="196">
        <f t="shared" si="20"/>
        <v>0.94694340620300443</v>
      </c>
      <c r="AC44" s="442"/>
    </row>
    <row r="45" spans="1:29" ht="15.75" customHeight="1">
      <c r="A45" s="453" t="s">
        <v>47</v>
      </c>
      <c r="B45" s="31" t="s">
        <v>79</v>
      </c>
      <c r="C45" s="444" t="s">
        <v>80</v>
      </c>
      <c r="D45" s="445"/>
      <c r="E45" s="31">
        <v>21.13</v>
      </c>
      <c r="F45" s="207">
        <v>3100</v>
      </c>
      <c r="G45" s="197">
        <v>65503</v>
      </c>
      <c r="H45" s="206">
        <v>2</v>
      </c>
      <c r="I45" s="205">
        <v>10</v>
      </c>
      <c r="J45" s="26">
        <v>3000</v>
      </c>
      <c r="K45" s="10">
        <f t="shared" si="15"/>
        <v>300</v>
      </c>
      <c r="L45" s="205">
        <v>10</v>
      </c>
      <c r="M45" s="11">
        <f t="shared" ref="M45:M54" si="21">F45/V45*60</f>
        <v>2861.5384615384628</v>
      </c>
      <c r="N45" s="10">
        <f t="shared" si="16"/>
        <v>286.1538461538463</v>
      </c>
      <c r="O45" s="12">
        <v>0</v>
      </c>
      <c r="P45" s="13">
        <f t="shared" si="17"/>
        <v>-13.846153846153697</v>
      </c>
      <c r="Q45" s="196">
        <f t="shared" si="18"/>
        <v>0.95384615384615434</v>
      </c>
      <c r="R45" s="456">
        <f>Q55</f>
        <v>0.95385948096644102</v>
      </c>
      <c r="S45" s="28">
        <v>0.20833333333333334</v>
      </c>
      <c r="T45" s="28">
        <v>0.25347222222222221</v>
      </c>
      <c r="U45" s="18"/>
      <c r="V45" s="204">
        <v>64.999999999999972</v>
      </c>
      <c r="W45" s="16"/>
      <c r="X45" s="16"/>
      <c r="Y45" s="447"/>
      <c r="Z45" s="448"/>
      <c r="AA45" s="12">
        <f t="shared" si="19"/>
        <v>-138.4615384615372</v>
      </c>
      <c r="AB45" s="196">
        <f t="shared" si="20"/>
        <v>0.95384615384615423</v>
      </c>
      <c r="AC45" s="456">
        <f>AB55</f>
        <v>0.95385948096644113</v>
      </c>
    </row>
    <row r="46" spans="1:29" ht="15.75" customHeight="1">
      <c r="A46" s="454" t="s">
        <v>855</v>
      </c>
      <c r="B46" s="31" t="s">
        <v>79</v>
      </c>
      <c r="C46" s="444" t="s">
        <v>81</v>
      </c>
      <c r="D46" s="445"/>
      <c r="E46" s="31">
        <v>27.17</v>
      </c>
      <c r="F46" s="207">
        <v>3800</v>
      </c>
      <c r="G46" s="197">
        <v>103246</v>
      </c>
      <c r="H46" s="206">
        <v>2</v>
      </c>
      <c r="I46" s="205">
        <v>10</v>
      </c>
      <c r="J46" s="26">
        <v>3000</v>
      </c>
      <c r="K46" s="10">
        <f t="shared" si="15"/>
        <v>300</v>
      </c>
      <c r="L46" s="205">
        <v>10</v>
      </c>
      <c r="M46" s="11">
        <f t="shared" si="21"/>
        <v>2849.9999999999991</v>
      </c>
      <c r="N46" s="10">
        <f t="shared" si="16"/>
        <v>284.99999999999989</v>
      </c>
      <c r="O46" s="12">
        <v>0</v>
      </c>
      <c r="P46" s="13">
        <f t="shared" si="17"/>
        <v>-15.000000000000114</v>
      </c>
      <c r="Q46" s="196">
        <f t="shared" si="18"/>
        <v>0.94999999999999962</v>
      </c>
      <c r="R46" s="457"/>
      <c r="S46" s="28">
        <v>0.25763888888888886</v>
      </c>
      <c r="T46" s="28">
        <v>0.31319444444444444</v>
      </c>
      <c r="U46" s="197">
        <v>5.9999999999999787</v>
      </c>
      <c r="V46" s="204">
        <v>80.000000000000028</v>
      </c>
      <c r="W46" s="16"/>
      <c r="X46" s="16"/>
      <c r="Y46" s="447"/>
      <c r="Z46" s="448"/>
      <c r="AA46" s="12">
        <f t="shared" si="19"/>
        <v>-150.00000000000091</v>
      </c>
      <c r="AB46" s="196">
        <f t="shared" si="20"/>
        <v>0.94999999999999973</v>
      </c>
      <c r="AC46" s="457"/>
    </row>
    <row r="47" spans="1:29" ht="15.75" customHeight="1">
      <c r="A47" s="454" t="s">
        <v>47</v>
      </c>
      <c r="B47" s="31" t="s">
        <v>79</v>
      </c>
      <c r="C47" s="444" t="s">
        <v>82</v>
      </c>
      <c r="D47" s="445"/>
      <c r="E47" s="31">
        <v>35.119999999999997</v>
      </c>
      <c r="F47" s="207">
        <v>2800</v>
      </c>
      <c r="G47" s="197">
        <v>98336</v>
      </c>
      <c r="H47" s="206">
        <v>2</v>
      </c>
      <c r="I47" s="205">
        <v>10</v>
      </c>
      <c r="J47" s="26">
        <v>3000</v>
      </c>
      <c r="K47" s="10">
        <f t="shared" si="15"/>
        <v>300</v>
      </c>
      <c r="L47" s="205">
        <v>10</v>
      </c>
      <c r="M47" s="11">
        <f t="shared" si="21"/>
        <v>2847.4576271186429</v>
      </c>
      <c r="N47" s="10">
        <f t="shared" si="16"/>
        <v>284.7457627118643</v>
      </c>
      <c r="O47" s="12">
        <v>0</v>
      </c>
      <c r="P47" s="13">
        <f t="shared" si="17"/>
        <v>-15.254237288135698</v>
      </c>
      <c r="Q47" s="196">
        <f t="shared" si="18"/>
        <v>0.94915254237288105</v>
      </c>
      <c r="R47" s="457"/>
      <c r="S47" s="28">
        <v>0.31874999999999998</v>
      </c>
      <c r="T47" s="28">
        <v>0.35972222222222222</v>
      </c>
      <c r="U47" s="197">
        <v>7.9999999999999716</v>
      </c>
      <c r="V47" s="204">
        <v>59.000000000000028</v>
      </c>
      <c r="W47" s="16"/>
      <c r="X47" s="16"/>
      <c r="Y47" s="447"/>
      <c r="Z47" s="448"/>
      <c r="AA47" s="12">
        <f t="shared" si="19"/>
        <v>-152.5423728813571</v>
      </c>
      <c r="AB47" s="196">
        <f t="shared" si="20"/>
        <v>0.94915254237288094</v>
      </c>
      <c r="AC47" s="457"/>
    </row>
    <row r="48" spans="1:29" ht="15.75" customHeight="1">
      <c r="A48" s="454" t="s">
        <v>856</v>
      </c>
      <c r="B48" s="31" t="s">
        <v>79</v>
      </c>
      <c r="C48" s="444" t="s">
        <v>83</v>
      </c>
      <c r="D48" s="445"/>
      <c r="E48" s="31">
        <v>40.18</v>
      </c>
      <c r="F48" s="207">
        <v>1717</v>
      </c>
      <c r="G48" s="197">
        <v>68989.06</v>
      </c>
      <c r="H48" s="206" t="s">
        <v>103</v>
      </c>
      <c r="I48" s="205">
        <v>10</v>
      </c>
      <c r="J48" s="26">
        <v>3000</v>
      </c>
      <c r="K48" s="10">
        <f t="shared" si="15"/>
        <v>300</v>
      </c>
      <c r="L48" s="205">
        <v>10</v>
      </c>
      <c r="M48" s="11">
        <f t="shared" si="21"/>
        <v>2861.6666666666642</v>
      </c>
      <c r="N48" s="10">
        <f t="shared" si="16"/>
        <v>286.1666666666664</v>
      </c>
      <c r="O48" s="12">
        <v>0</v>
      </c>
      <c r="P48" s="13">
        <f t="shared" si="17"/>
        <v>-13.833333333333599</v>
      </c>
      <c r="Q48" s="196">
        <f t="shared" si="18"/>
        <v>0.95388888888888801</v>
      </c>
      <c r="R48" s="457"/>
      <c r="S48" s="28">
        <v>0.36458333333333331</v>
      </c>
      <c r="T48" s="28">
        <v>0.38958333333333334</v>
      </c>
      <c r="U48" s="197">
        <v>6.9999999999999751</v>
      </c>
      <c r="V48" s="204">
        <v>36.000000000000028</v>
      </c>
      <c r="W48" s="16"/>
      <c r="X48" s="16"/>
      <c r="Y48" s="447"/>
      <c r="Z48" s="448"/>
      <c r="AA48" s="12">
        <f t="shared" si="19"/>
        <v>-138.33333333333576</v>
      </c>
      <c r="AB48" s="196">
        <f t="shared" si="20"/>
        <v>0.95388888888888812</v>
      </c>
      <c r="AC48" s="457"/>
    </row>
    <row r="49" spans="1:29" ht="15.75" customHeight="1">
      <c r="A49" s="454" t="s">
        <v>47</v>
      </c>
      <c r="B49" s="31" t="s">
        <v>79</v>
      </c>
      <c r="C49" s="444" t="s">
        <v>84</v>
      </c>
      <c r="D49" s="445"/>
      <c r="E49" s="31">
        <v>28.5</v>
      </c>
      <c r="F49" s="207">
        <v>979</v>
      </c>
      <c r="G49" s="197">
        <v>27901.5</v>
      </c>
      <c r="H49" s="206" t="s">
        <v>103</v>
      </c>
      <c r="I49" s="205">
        <v>10</v>
      </c>
      <c r="J49" s="26">
        <v>3000</v>
      </c>
      <c r="K49" s="10">
        <f t="shared" si="15"/>
        <v>300</v>
      </c>
      <c r="L49" s="205">
        <v>10</v>
      </c>
      <c r="M49" s="11">
        <f t="shared" si="21"/>
        <v>2936.9999999999991</v>
      </c>
      <c r="N49" s="10">
        <f t="shared" si="16"/>
        <v>293.69999999999993</v>
      </c>
      <c r="O49" s="12">
        <v>0</v>
      </c>
      <c r="P49" s="13">
        <f t="shared" si="17"/>
        <v>-6.3000000000000682</v>
      </c>
      <c r="Q49" s="196">
        <f t="shared" si="18"/>
        <v>0.97899999999999976</v>
      </c>
      <c r="R49" s="457"/>
      <c r="S49" s="28">
        <v>0.39444444444444443</v>
      </c>
      <c r="T49" s="28">
        <v>0.40833333333333333</v>
      </c>
      <c r="U49" s="197">
        <v>6.9999999999999751</v>
      </c>
      <c r="V49" s="204">
        <v>20.000000000000007</v>
      </c>
      <c r="W49" s="16"/>
      <c r="X49" s="16"/>
      <c r="Y49" s="447"/>
      <c r="Z49" s="448"/>
      <c r="AA49" s="12">
        <f t="shared" si="19"/>
        <v>-63.000000000000909</v>
      </c>
      <c r="AB49" s="196">
        <f t="shared" si="20"/>
        <v>0.97899999999999965</v>
      </c>
      <c r="AC49" s="457"/>
    </row>
    <row r="50" spans="1:29" ht="15.75" customHeight="1">
      <c r="A50" s="454" t="s">
        <v>855</v>
      </c>
      <c r="B50" s="31" t="s">
        <v>79</v>
      </c>
      <c r="C50" s="444" t="s">
        <v>85</v>
      </c>
      <c r="D50" s="445"/>
      <c r="E50" s="31">
        <v>35.869999999999997</v>
      </c>
      <c r="F50" s="207">
        <v>3013</v>
      </c>
      <c r="G50" s="197">
        <v>108076.31</v>
      </c>
      <c r="H50" s="206" t="s">
        <v>103</v>
      </c>
      <c r="I50" s="205">
        <v>10</v>
      </c>
      <c r="J50" s="26">
        <v>3000</v>
      </c>
      <c r="K50" s="10">
        <f t="shared" si="15"/>
        <v>300</v>
      </c>
      <c r="L50" s="205">
        <v>10</v>
      </c>
      <c r="M50" s="11">
        <f t="shared" si="21"/>
        <v>2824.6874999999995</v>
      </c>
      <c r="N50" s="10">
        <f t="shared" si="16"/>
        <v>282.46874999999994</v>
      </c>
      <c r="O50" s="12">
        <v>0</v>
      </c>
      <c r="P50" s="13">
        <f t="shared" si="17"/>
        <v>-17.531250000000057</v>
      </c>
      <c r="Q50" s="196">
        <f t="shared" si="18"/>
        <v>0.94156249999999986</v>
      </c>
      <c r="R50" s="457"/>
      <c r="S50" s="28">
        <v>0.41319444444444442</v>
      </c>
      <c r="T50" s="28">
        <v>0.45763888888888887</v>
      </c>
      <c r="U50" s="197">
        <v>6.9999999999999751</v>
      </c>
      <c r="V50" s="204">
        <v>64.000000000000014</v>
      </c>
      <c r="W50" s="16"/>
      <c r="X50" s="16"/>
      <c r="Y50" s="447"/>
      <c r="Z50" s="448"/>
      <c r="AA50" s="12">
        <f t="shared" si="19"/>
        <v>-175.31250000000045</v>
      </c>
      <c r="AB50" s="196">
        <f t="shared" si="20"/>
        <v>0.94156249999999986</v>
      </c>
      <c r="AC50" s="457"/>
    </row>
    <row r="51" spans="1:29" ht="15.75" customHeight="1">
      <c r="A51" s="454" t="s">
        <v>47</v>
      </c>
      <c r="B51" s="31" t="s">
        <v>79</v>
      </c>
      <c r="C51" s="444" t="s">
        <v>86</v>
      </c>
      <c r="D51" s="445"/>
      <c r="E51" s="31">
        <v>36.14</v>
      </c>
      <c r="F51" s="207">
        <v>2131</v>
      </c>
      <c r="G51" s="197">
        <v>77014.34</v>
      </c>
      <c r="H51" s="206" t="s">
        <v>103</v>
      </c>
      <c r="I51" s="205">
        <v>8</v>
      </c>
      <c r="J51" s="26">
        <v>3000</v>
      </c>
      <c r="K51" s="10">
        <f t="shared" si="15"/>
        <v>375</v>
      </c>
      <c r="L51" s="205">
        <v>8</v>
      </c>
      <c r="M51" s="11">
        <f t="shared" si="21"/>
        <v>2841.333333333333</v>
      </c>
      <c r="N51" s="10">
        <f t="shared" si="16"/>
        <v>355.16666666666663</v>
      </c>
      <c r="O51" s="12">
        <v>0</v>
      </c>
      <c r="P51" s="13">
        <f t="shared" si="17"/>
        <v>-19.833333333333371</v>
      </c>
      <c r="Q51" s="196">
        <f t="shared" si="18"/>
        <v>0.94711111111111101</v>
      </c>
      <c r="R51" s="457"/>
      <c r="S51" s="28">
        <v>0.46319444444444441</v>
      </c>
      <c r="T51" s="28">
        <v>0.49444444444444441</v>
      </c>
      <c r="U51" s="197">
        <v>7.9999999999999716</v>
      </c>
      <c r="V51" s="204">
        <v>45</v>
      </c>
      <c r="W51" s="16">
        <f>T51</f>
        <v>0.49444444444444441</v>
      </c>
      <c r="X51" s="16">
        <f>S52</f>
        <v>0.53472222222222221</v>
      </c>
      <c r="Y51" s="447"/>
      <c r="Z51" s="448"/>
      <c r="AA51" s="12">
        <f t="shared" si="19"/>
        <v>-158.66666666666697</v>
      </c>
      <c r="AB51" s="196">
        <f t="shared" si="20"/>
        <v>0.94711111111111101</v>
      </c>
      <c r="AC51" s="457"/>
    </row>
    <row r="52" spans="1:29" ht="15.75" customHeight="1">
      <c r="A52" s="454" t="s">
        <v>47</v>
      </c>
      <c r="B52" s="31" t="s">
        <v>79</v>
      </c>
      <c r="C52" s="444" t="s">
        <v>82</v>
      </c>
      <c r="D52" s="445"/>
      <c r="E52" s="31">
        <v>35.119999999999997</v>
      </c>
      <c r="F52" s="207">
        <v>1638</v>
      </c>
      <c r="G52" s="197">
        <v>57526.559999999998</v>
      </c>
      <c r="H52" s="206" t="s">
        <v>103</v>
      </c>
      <c r="I52" s="205">
        <v>10</v>
      </c>
      <c r="J52" s="26">
        <v>3000</v>
      </c>
      <c r="K52" s="10">
        <f t="shared" si="15"/>
        <v>300</v>
      </c>
      <c r="L52" s="205">
        <v>10</v>
      </c>
      <c r="M52" s="11">
        <f t="shared" si="21"/>
        <v>2890.5882352941139</v>
      </c>
      <c r="N52" s="10">
        <f t="shared" si="16"/>
        <v>289.05882352941137</v>
      </c>
      <c r="O52" s="12">
        <v>0</v>
      </c>
      <c r="P52" s="13">
        <f t="shared" si="17"/>
        <v>-10.94117647058863</v>
      </c>
      <c r="Q52" s="196">
        <f t="shared" si="18"/>
        <v>0.96352941176470452</v>
      </c>
      <c r="R52" s="457"/>
      <c r="S52" s="28">
        <v>0.53472222222222221</v>
      </c>
      <c r="T52" s="28">
        <v>0.55833333333333335</v>
      </c>
      <c r="U52" s="197">
        <v>58.000000000000036</v>
      </c>
      <c r="V52" s="204">
        <v>34.000000000000043</v>
      </c>
      <c r="W52" s="16"/>
      <c r="X52" s="16"/>
      <c r="Y52" s="447"/>
      <c r="Z52" s="448"/>
      <c r="AA52" s="12">
        <f t="shared" si="19"/>
        <v>-109.41176470588607</v>
      </c>
      <c r="AB52" s="196">
        <f t="shared" si="20"/>
        <v>0.96352941176470464</v>
      </c>
      <c r="AC52" s="457"/>
    </row>
    <row r="53" spans="1:29" ht="15.75" customHeight="1">
      <c r="A53" s="454" t="s">
        <v>47</v>
      </c>
      <c r="B53" s="31" t="s">
        <v>79</v>
      </c>
      <c r="C53" s="444" t="s">
        <v>81</v>
      </c>
      <c r="D53" s="445"/>
      <c r="E53" s="31">
        <v>27.17</v>
      </c>
      <c r="F53" s="207">
        <v>2442</v>
      </c>
      <c r="G53" s="197">
        <v>66349.14</v>
      </c>
      <c r="H53" s="206" t="s">
        <v>103</v>
      </c>
      <c r="I53" s="205">
        <v>10</v>
      </c>
      <c r="J53" s="26">
        <v>3000</v>
      </c>
      <c r="K53" s="10">
        <f t="shared" si="15"/>
        <v>300</v>
      </c>
      <c r="L53" s="205">
        <v>10</v>
      </c>
      <c r="M53" s="11">
        <f t="shared" si="21"/>
        <v>2872.9411764705897</v>
      </c>
      <c r="N53" s="10">
        <f t="shared" si="16"/>
        <v>287.29411764705895</v>
      </c>
      <c r="O53" s="12">
        <v>0</v>
      </c>
      <c r="P53" s="13">
        <f t="shared" si="17"/>
        <v>-12.705882352941046</v>
      </c>
      <c r="Q53" s="196">
        <f t="shared" si="18"/>
        <v>0.95764705882352985</v>
      </c>
      <c r="R53" s="457"/>
      <c r="S53" s="28">
        <v>0.5625</v>
      </c>
      <c r="T53" s="28">
        <v>0.59791666666666665</v>
      </c>
      <c r="U53" s="197">
        <v>5.9999999999999787</v>
      </c>
      <c r="V53" s="204">
        <v>50.999999999999979</v>
      </c>
      <c r="W53" s="16"/>
      <c r="X53" s="16"/>
      <c r="Y53" s="447"/>
      <c r="Z53" s="448"/>
      <c r="AA53" s="12">
        <f t="shared" si="19"/>
        <v>-127.05882352941035</v>
      </c>
      <c r="AB53" s="196">
        <f t="shared" si="20"/>
        <v>0.95764705882352985</v>
      </c>
      <c r="AC53" s="457"/>
    </row>
    <row r="54" spans="1:29" ht="15.75" customHeight="1">
      <c r="A54" s="454" t="s">
        <v>47</v>
      </c>
      <c r="B54" s="31" t="s">
        <v>79</v>
      </c>
      <c r="C54" s="444" t="s">
        <v>80</v>
      </c>
      <c r="D54" s="445"/>
      <c r="E54" s="31">
        <v>21.13</v>
      </c>
      <c r="F54" s="207">
        <v>1980</v>
      </c>
      <c r="G54" s="197">
        <v>41837.4</v>
      </c>
      <c r="H54" s="206" t="s">
        <v>103</v>
      </c>
      <c r="I54" s="205">
        <v>10</v>
      </c>
      <c r="J54" s="26">
        <v>3000</v>
      </c>
      <c r="K54" s="10">
        <f t="shared" si="15"/>
        <v>300</v>
      </c>
      <c r="L54" s="205">
        <v>10</v>
      </c>
      <c r="M54" s="11">
        <f t="shared" si="21"/>
        <v>2828.5714285714275</v>
      </c>
      <c r="N54" s="10">
        <f t="shared" si="16"/>
        <v>282.85714285714278</v>
      </c>
      <c r="O54" s="12">
        <v>0</v>
      </c>
      <c r="P54" s="13">
        <f t="shared" si="17"/>
        <v>-17.142857142857224</v>
      </c>
      <c r="Q54" s="196">
        <f t="shared" si="18"/>
        <v>0.94285714285714262</v>
      </c>
      <c r="R54" s="457"/>
      <c r="S54" s="28">
        <v>0.6020833333333333</v>
      </c>
      <c r="T54" s="28">
        <v>0.63124999999999998</v>
      </c>
      <c r="U54" s="197">
        <v>5.9999999999999787</v>
      </c>
      <c r="V54" s="204">
        <v>42.000000000000014</v>
      </c>
      <c r="W54" s="16"/>
      <c r="X54" s="16"/>
      <c r="Y54" s="447"/>
      <c r="Z54" s="448"/>
      <c r="AA54" s="12">
        <f t="shared" si="19"/>
        <v>-171.42857142857247</v>
      </c>
      <c r="AB54" s="196">
        <f t="shared" si="20"/>
        <v>0.94285714285714251</v>
      </c>
      <c r="AC54" s="457"/>
    </row>
    <row r="55" spans="1:29" ht="15.75" customHeight="1">
      <c r="A55" s="455" t="s">
        <v>855</v>
      </c>
      <c r="B55" s="31" t="s">
        <v>759</v>
      </c>
      <c r="C55" s="459"/>
      <c r="D55" s="460"/>
      <c r="E55" s="203"/>
      <c r="F55" s="207"/>
      <c r="G55" s="197"/>
      <c r="H55" s="207"/>
      <c r="I55" s="19">
        <v>9.7142857142857135</v>
      </c>
      <c r="J55" s="26">
        <v>3000</v>
      </c>
      <c r="K55" s="10">
        <f t="shared" si="15"/>
        <v>308.82352941176475</v>
      </c>
      <c r="L55" s="19">
        <v>9.7142857142857135</v>
      </c>
      <c r="M55" s="11">
        <f>AVERAGE(M45:M54)</f>
        <v>2861.5784428993234</v>
      </c>
      <c r="N55" s="10">
        <f t="shared" si="16"/>
        <v>294.57425147493035</v>
      </c>
      <c r="O55" s="12">
        <f t="shared" ref="O55:O77" si="22">L55-I55</f>
        <v>0</v>
      </c>
      <c r="P55" s="13">
        <f t="shared" si="17"/>
        <v>-14.249277936834403</v>
      </c>
      <c r="Q55" s="196">
        <f t="shared" si="18"/>
        <v>0.95385948096644102</v>
      </c>
      <c r="R55" s="458"/>
      <c r="S55" s="28"/>
      <c r="T55" s="28"/>
      <c r="U55" s="197"/>
      <c r="V55" s="204"/>
      <c r="W55" s="16"/>
      <c r="X55" s="16"/>
      <c r="Y55" s="447"/>
      <c r="Z55" s="448"/>
      <c r="AA55" s="12">
        <f t="shared" si="19"/>
        <v>-138.42155710067664</v>
      </c>
      <c r="AB55" s="196">
        <f t="shared" si="20"/>
        <v>0.95385948096644113</v>
      </c>
      <c r="AC55" s="458"/>
    </row>
    <row r="56" spans="1:29" ht="15.75" customHeight="1">
      <c r="A56" s="451" t="s">
        <v>769</v>
      </c>
      <c r="B56" s="31" t="s">
        <v>53</v>
      </c>
      <c r="C56" s="441" t="s">
        <v>87</v>
      </c>
      <c r="D56" s="441"/>
      <c r="E56" s="31">
        <v>46</v>
      </c>
      <c r="F56" s="35">
        <v>3128</v>
      </c>
      <c r="G56" s="197">
        <f t="shared" ref="G56:G61" si="23">E56*F56</f>
        <v>143888</v>
      </c>
      <c r="H56" s="206" t="s">
        <v>103</v>
      </c>
      <c r="I56" s="205">
        <v>17</v>
      </c>
      <c r="J56" s="26">
        <v>2000</v>
      </c>
      <c r="K56" s="10">
        <f t="shared" si="15"/>
        <v>117.64705882352941</v>
      </c>
      <c r="L56" s="205">
        <v>17</v>
      </c>
      <c r="M56" s="11">
        <f t="shared" ref="M56:M61" si="24">F56/V56*60</f>
        <v>1895.7575757575764</v>
      </c>
      <c r="N56" s="11">
        <f t="shared" si="16"/>
        <v>111.51515151515156</v>
      </c>
      <c r="O56" s="12">
        <f t="shared" si="22"/>
        <v>0</v>
      </c>
      <c r="P56" s="13">
        <f t="shared" si="17"/>
        <v>-6.1319073083778477</v>
      </c>
      <c r="Q56" s="196">
        <f t="shared" si="18"/>
        <v>0.94787878787878832</v>
      </c>
      <c r="R56" s="442">
        <f>Q62</f>
        <v>0.9493378284119971</v>
      </c>
      <c r="S56" s="28">
        <v>0.25</v>
      </c>
      <c r="T56" s="28">
        <v>0.31874999999999998</v>
      </c>
      <c r="U56" s="18"/>
      <c r="V56" s="204">
        <f t="shared" ref="V56:V61" si="25">(T56-S56)*24*60</f>
        <v>98.999999999999972</v>
      </c>
      <c r="W56" s="18"/>
      <c r="X56" s="18"/>
      <c r="Y56" s="443"/>
      <c r="Z56" s="443"/>
      <c r="AA56" s="12">
        <f t="shared" si="19"/>
        <v>-104.24242424242357</v>
      </c>
      <c r="AB56" s="196">
        <f t="shared" si="20"/>
        <v>0.94787878787878821</v>
      </c>
      <c r="AC56" s="442">
        <f>AB62</f>
        <v>0.94933782841199699</v>
      </c>
    </row>
    <row r="57" spans="1:29" ht="15.75" customHeight="1">
      <c r="A57" s="451" t="s">
        <v>769</v>
      </c>
      <c r="B57" s="31" t="s">
        <v>53</v>
      </c>
      <c r="C57" s="441" t="s">
        <v>88</v>
      </c>
      <c r="D57" s="441"/>
      <c r="E57" s="31">
        <v>46</v>
      </c>
      <c r="F57" s="35">
        <v>3222</v>
      </c>
      <c r="G57" s="197">
        <f t="shared" si="23"/>
        <v>148212</v>
      </c>
      <c r="H57" s="206" t="s">
        <v>103</v>
      </c>
      <c r="I57" s="205">
        <v>17</v>
      </c>
      <c r="J57" s="26">
        <v>2000</v>
      </c>
      <c r="K57" s="10">
        <f t="shared" si="15"/>
        <v>117.64705882352941</v>
      </c>
      <c r="L57" s="205">
        <v>17</v>
      </c>
      <c r="M57" s="11">
        <f t="shared" si="24"/>
        <v>1895.2941176470595</v>
      </c>
      <c r="N57" s="11">
        <f t="shared" si="16"/>
        <v>111.48788927335644</v>
      </c>
      <c r="O57" s="12">
        <f t="shared" si="22"/>
        <v>0</v>
      </c>
      <c r="P57" s="13">
        <f t="shared" si="17"/>
        <v>-6.1591695501729617</v>
      </c>
      <c r="Q57" s="196">
        <f t="shared" si="18"/>
        <v>0.94764705882352984</v>
      </c>
      <c r="R57" s="442"/>
      <c r="S57" s="28">
        <v>0.32430555555555551</v>
      </c>
      <c r="T57" s="28">
        <v>0.39513888888888882</v>
      </c>
      <c r="U57" s="197">
        <f>IF(S57=TIME(17,0,0),"",(S57-T56)*24*60)</f>
        <v>7.9999999999999716</v>
      </c>
      <c r="V57" s="204">
        <f t="shared" si="25"/>
        <v>101.99999999999996</v>
      </c>
      <c r="W57" s="16"/>
      <c r="X57" s="16"/>
      <c r="Y57" s="443"/>
      <c r="Z57" s="443"/>
      <c r="AA57" s="12">
        <f t="shared" si="19"/>
        <v>-104.70588235294053</v>
      </c>
      <c r="AB57" s="196">
        <f t="shared" si="20"/>
        <v>0.94764705882352973</v>
      </c>
      <c r="AC57" s="442"/>
    </row>
    <row r="58" spans="1:29" ht="15.75" customHeight="1">
      <c r="A58" s="451" t="s">
        <v>769</v>
      </c>
      <c r="B58" s="31" t="s">
        <v>58</v>
      </c>
      <c r="C58" s="444" t="s">
        <v>168</v>
      </c>
      <c r="D58" s="445"/>
      <c r="E58" s="31">
        <v>54.09</v>
      </c>
      <c r="F58" s="35">
        <v>387</v>
      </c>
      <c r="G58" s="197">
        <f t="shared" si="23"/>
        <v>20932.830000000002</v>
      </c>
      <c r="H58" s="206" t="s">
        <v>103</v>
      </c>
      <c r="I58" s="205">
        <v>16</v>
      </c>
      <c r="J58" s="26">
        <v>2000</v>
      </c>
      <c r="K58" s="10">
        <f t="shared" si="15"/>
        <v>125</v>
      </c>
      <c r="L58" s="205">
        <v>16</v>
      </c>
      <c r="M58" s="11">
        <f t="shared" si="24"/>
        <v>1934.9999999999941</v>
      </c>
      <c r="N58" s="11">
        <f t="shared" si="16"/>
        <v>120.93749999999963</v>
      </c>
      <c r="O58" s="12">
        <f t="shared" si="22"/>
        <v>0</v>
      </c>
      <c r="P58" s="13">
        <f t="shared" si="17"/>
        <v>-4.0625000000003695</v>
      </c>
      <c r="Q58" s="196">
        <f t="shared" si="18"/>
        <v>0.96749999999999703</v>
      </c>
      <c r="R58" s="442"/>
      <c r="S58" s="28">
        <v>0.39999999999999991</v>
      </c>
      <c r="T58" s="28">
        <v>0.40833333333333327</v>
      </c>
      <c r="U58" s="197">
        <f>IF(S58=TIME(17,0,0),"",(S58-T57)*24*60)</f>
        <v>6.9999999999999751</v>
      </c>
      <c r="V58" s="204">
        <f t="shared" si="25"/>
        <v>12.000000000000037</v>
      </c>
      <c r="W58" s="16"/>
      <c r="X58" s="16"/>
      <c r="Y58" s="201"/>
      <c r="Z58" s="202"/>
      <c r="AA58" s="12">
        <f t="shared" si="19"/>
        <v>-65.000000000005912</v>
      </c>
      <c r="AB58" s="196">
        <f t="shared" si="20"/>
        <v>0.96749999999999703</v>
      </c>
      <c r="AC58" s="442"/>
    </row>
    <row r="59" spans="1:29" ht="15.75" customHeight="1">
      <c r="A59" s="451" t="s">
        <v>769</v>
      </c>
      <c r="B59" s="31" t="s">
        <v>58</v>
      </c>
      <c r="C59" s="198" t="s">
        <v>89</v>
      </c>
      <c r="D59" s="199"/>
      <c r="E59" s="31">
        <v>55.56</v>
      </c>
      <c r="F59" s="35">
        <v>1891</v>
      </c>
      <c r="G59" s="197">
        <f t="shared" si="23"/>
        <v>105063.96</v>
      </c>
      <c r="H59" s="206" t="s">
        <v>103</v>
      </c>
      <c r="I59" s="205">
        <v>17</v>
      </c>
      <c r="J59" s="26">
        <v>2000</v>
      </c>
      <c r="K59" s="10">
        <f t="shared" si="15"/>
        <v>117.64705882352941</v>
      </c>
      <c r="L59" s="205">
        <v>17</v>
      </c>
      <c r="M59" s="11">
        <f t="shared" si="24"/>
        <v>1891.0000000000018</v>
      </c>
      <c r="N59" s="11">
        <f t="shared" si="16"/>
        <v>111.23529411764717</v>
      </c>
      <c r="O59" s="12">
        <f t="shared" si="22"/>
        <v>0</v>
      </c>
      <c r="P59" s="13">
        <f t="shared" si="17"/>
        <v>-6.4117647058822342</v>
      </c>
      <c r="Q59" s="196">
        <f t="shared" si="18"/>
        <v>0.94550000000000101</v>
      </c>
      <c r="R59" s="442"/>
      <c r="S59" s="28">
        <v>0.70833333333333337</v>
      </c>
      <c r="T59" s="28">
        <v>0.75</v>
      </c>
      <c r="U59" s="197" t="str">
        <f>IF(S59=TIME(17,0,0),"",(S59-T58)*24*60)</f>
        <v/>
      </c>
      <c r="V59" s="204">
        <f t="shared" si="25"/>
        <v>59.999999999999943</v>
      </c>
      <c r="W59" s="16"/>
      <c r="X59" s="16"/>
      <c r="Y59" s="201"/>
      <c r="Z59" s="202"/>
      <c r="AA59" s="12">
        <f t="shared" si="19"/>
        <v>-108.99999999999818</v>
      </c>
      <c r="AB59" s="196">
        <f t="shared" si="20"/>
        <v>0.9455000000000009</v>
      </c>
      <c r="AC59" s="442"/>
    </row>
    <row r="60" spans="1:29" ht="15.75" customHeight="1">
      <c r="A60" s="451" t="s">
        <v>769</v>
      </c>
      <c r="B60" s="31" t="s">
        <v>58</v>
      </c>
      <c r="C60" s="198" t="s">
        <v>90</v>
      </c>
      <c r="D60" s="199"/>
      <c r="E60" s="31">
        <v>55.32</v>
      </c>
      <c r="F60" s="35">
        <v>1414</v>
      </c>
      <c r="G60" s="197">
        <f t="shared" si="23"/>
        <v>78222.48</v>
      </c>
      <c r="H60" s="206" t="s">
        <v>103</v>
      </c>
      <c r="I60" s="205">
        <v>15</v>
      </c>
      <c r="J60" s="26">
        <v>2000</v>
      </c>
      <c r="K60" s="10">
        <f t="shared" si="15"/>
        <v>133.33333333333334</v>
      </c>
      <c r="L60" s="205">
        <v>15</v>
      </c>
      <c r="M60" s="11">
        <f t="shared" si="24"/>
        <v>1885.3333333333333</v>
      </c>
      <c r="N60" s="11">
        <f t="shared" si="16"/>
        <v>125.68888888888888</v>
      </c>
      <c r="O60" s="12">
        <f t="shared" si="22"/>
        <v>0</v>
      </c>
      <c r="P60" s="13">
        <f t="shared" si="17"/>
        <v>-7.6444444444444599</v>
      </c>
      <c r="Q60" s="196">
        <f t="shared" si="18"/>
        <v>0.94266666666666654</v>
      </c>
      <c r="R60" s="442"/>
      <c r="S60" s="28">
        <v>0.75416666666666665</v>
      </c>
      <c r="T60" s="28">
        <v>0.78541666666666665</v>
      </c>
      <c r="U60" s="197">
        <f>IF(S60=TIME(17,0,0),"",(S60-T59)*24*60)</f>
        <v>5.9999999999999787</v>
      </c>
      <c r="V60" s="204">
        <f t="shared" si="25"/>
        <v>45</v>
      </c>
      <c r="W60" s="16"/>
      <c r="X60" s="16"/>
      <c r="Y60" s="201"/>
      <c r="Z60" s="202"/>
      <c r="AA60" s="12">
        <f t="shared" si="19"/>
        <v>-114.66666666666674</v>
      </c>
      <c r="AB60" s="196">
        <f t="shared" si="20"/>
        <v>0.94266666666666665</v>
      </c>
      <c r="AC60" s="442"/>
    </row>
    <row r="61" spans="1:29" ht="15.75" customHeight="1">
      <c r="A61" s="451" t="s">
        <v>769</v>
      </c>
      <c r="B61" s="31" t="s">
        <v>58</v>
      </c>
      <c r="C61" s="444" t="s">
        <v>91</v>
      </c>
      <c r="D61" s="445"/>
      <c r="E61" s="31">
        <v>57.73</v>
      </c>
      <c r="F61" s="35">
        <v>1132</v>
      </c>
      <c r="G61" s="197">
        <f t="shared" si="23"/>
        <v>65350.359999999993</v>
      </c>
      <c r="H61" s="206" t="s">
        <v>103</v>
      </c>
      <c r="I61" s="205">
        <v>16</v>
      </c>
      <c r="J61" s="26">
        <v>1500</v>
      </c>
      <c r="K61" s="10">
        <f t="shared" si="15"/>
        <v>93.75</v>
      </c>
      <c r="L61" s="205">
        <v>16</v>
      </c>
      <c r="M61" s="11">
        <f t="shared" si="24"/>
        <v>1415.0000000000005</v>
      </c>
      <c r="N61" s="11">
        <f t="shared" si="16"/>
        <v>88.437500000000028</v>
      </c>
      <c r="O61" s="12">
        <f t="shared" si="22"/>
        <v>0</v>
      </c>
      <c r="P61" s="13">
        <f t="shared" si="17"/>
        <v>-5.3124999999999716</v>
      </c>
      <c r="Q61" s="196">
        <f t="shared" si="18"/>
        <v>0.94333333333333369</v>
      </c>
      <c r="R61" s="442"/>
      <c r="S61" s="28">
        <v>0.7895833333333333</v>
      </c>
      <c r="T61" s="28">
        <v>0.82291666666666663</v>
      </c>
      <c r="U61" s="197">
        <f>IF(S61=TIME(17,0,0),"",(S61-T60)*24*60)</f>
        <v>5.9999999999999787</v>
      </c>
      <c r="V61" s="204">
        <f t="shared" si="25"/>
        <v>47.999999999999986</v>
      </c>
      <c r="W61" s="16"/>
      <c r="X61" s="16"/>
      <c r="Y61" s="447"/>
      <c r="Z61" s="448"/>
      <c r="AA61" s="12">
        <f t="shared" si="19"/>
        <v>-84.999999999999545</v>
      </c>
      <c r="AB61" s="196">
        <f t="shared" si="20"/>
        <v>0.94333333333333369</v>
      </c>
      <c r="AC61" s="442"/>
    </row>
    <row r="62" spans="1:29">
      <c r="A62" s="452" t="s">
        <v>769</v>
      </c>
      <c r="B62" s="31" t="s">
        <v>759</v>
      </c>
      <c r="C62" s="446"/>
      <c r="D62" s="446"/>
      <c r="E62" s="200"/>
      <c r="F62" s="33"/>
      <c r="G62" s="10"/>
      <c r="H62" s="207"/>
      <c r="I62" s="19">
        <v>16.333333333333332</v>
      </c>
      <c r="J62" s="26">
        <v>1916.6666666666667</v>
      </c>
      <c r="K62" s="10">
        <f t="shared" si="15"/>
        <v>117.34693877551021</v>
      </c>
      <c r="L62" s="19">
        <v>16.333333333333332</v>
      </c>
      <c r="M62" s="11">
        <f>AVERAGE(M56:M61)</f>
        <v>1819.5641711229944</v>
      </c>
      <c r="N62" s="10">
        <f t="shared" si="16"/>
        <v>111.40188802793844</v>
      </c>
      <c r="O62" s="12">
        <f t="shared" si="22"/>
        <v>0</v>
      </c>
      <c r="P62" s="13">
        <f t="shared" si="17"/>
        <v>-5.94505074757177</v>
      </c>
      <c r="Q62" s="196">
        <f t="shared" si="18"/>
        <v>0.9493378284119971</v>
      </c>
      <c r="R62" s="442"/>
      <c r="S62" s="29"/>
      <c r="T62" s="28"/>
      <c r="U62" s="10"/>
      <c r="V62" s="204"/>
      <c r="W62" s="10"/>
      <c r="X62" s="10"/>
      <c r="Y62" s="443"/>
      <c r="Z62" s="443"/>
      <c r="AA62" s="12">
        <f t="shared" si="19"/>
        <v>-97.102495543672376</v>
      </c>
      <c r="AB62" s="196">
        <f t="shared" si="20"/>
        <v>0.94933782841199699</v>
      </c>
      <c r="AC62" s="442"/>
    </row>
    <row r="63" spans="1:29" ht="15.75" customHeight="1">
      <c r="A63" s="449" t="s">
        <v>765</v>
      </c>
      <c r="B63" s="207" t="s">
        <v>92</v>
      </c>
      <c r="C63" s="441" t="s">
        <v>93</v>
      </c>
      <c r="D63" s="441"/>
      <c r="E63" s="31">
        <v>84.51</v>
      </c>
      <c r="F63" s="35">
        <v>1080</v>
      </c>
      <c r="G63" s="197">
        <f t="shared" ref="G63:G68" si="26">E63*F63</f>
        <v>91270.8</v>
      </c>
      <c r="H63" s="206" t="s">
        <v>103</v>
      </c>
      <c r="I63" s="205">
        <v>17</v>
      </c>
      <c r="J63" s="26">
        <v>2400</v>
      </c>
      <c r="K63" s="10">
        <f t="shared" si="15"/>
        <v>141.1764705882353</v>
      </c>
      <c r="L63" s="19">
        <v>17</v>
      </c>
      <c r="M63" s="11">
        <f t="shared" ref="M63:M68" si="27">F63/V63*60</f>
        <v>2314.2857142857124</v>
      </c>
      <c r="N63" s="10">
        <f t="shared" si="16"/>
        <v>136.13445378151249</v>
      </c>
      <c r="O63" s="12">
        <f t="shared" si="22"/>
        <v>0</v>
      </c>
      <c r="P63" s="13">
        <f t="shared" si="17"/>
        <v>-5.0420168067228133</v>
      </c>
      <c r="Q63" s="196">
        <f t="shared" si="18"/>
        <v>0.96428571428571341</v>
      </c>
      <c r="R63" s="442">
        <f>Q69</f>
        <v>0.9526774160316398</v>
      </c>
      <c r="S63" s="28">
        <v>0.16666666666666666</v>
      </c>
      <c r="T63" s="28">
        <v>0.18611111111111112</v>
      </c>
      <c r="U63" s="197"/>
      <c r="V63" s="204">
        <f t="shared" ref="V63:V68" si="28">(T63-S63)*24*60</f>
        <v>28.000000000000021</v>
      </c>
      <c r="W63" s="16">
        <f>T63</f>
        <v>0.18611111111111112</v>
      </c>
      <c r="X63" s="16">
        <f>S64</f>
        <v>0.20486111111111113</v>
      </c>
      <c r="Y63" s="443"/>
      <c r="Z63" s="443"/>
      <c r="AA63" s="12">
        <f t="shared" si="19"/>
        <v>-85.714285714287598</v>
      </c>
      <c r="AB63" s="196">
        <f t="shared" si="20"/>
        <v>0.96428571428571352</v>
      </c>
      <c r="AC63" s="442">
        <f>AB69</f>
        <v>0.9526774160316398</v>
      </c>
    </row>
    <row r="64" spans="1:29" ht="15.75" customHeight="1">
      <c r="A64" s="449" t="s">
        <v>765</v>
      </c>
      <c r="B64" s="207" t="s">
        <v>79</v>
      </c>
      <c r="C64" s="441" t="s">
        <v>94</v>
      </c>
      <c r="D64" s="441"/>
      <c r="E64" s="31">
        <v>26.78</v>
      </c>
      <c r="F64" s="35">
        <v>2614</v>
      </c>
      <c r="G64" s="197">
        <f t="shared" si="26"/>
        <v>70002.92</v>
      </c>
      <c r="H64" s="206" t="s">
        <v>103</v>
      </c>
      <c r="I64" s="205">
        <v>10</v>
      </c>
      <c r="J64" s="26">
        <v>3000</v>
      </c>
      <c r="K64" s="10">
        <f t="shared" si="15"/>
        <v>300</v>
      </c>
      <c r="L64" s="19">
        <v>10</v>
      </c>
      <c r="M64" s="11">
        <f t="shared" si="27"/>
        <v>2851.6363636363635</v>
      </c>
      <c r="N64" s="10">
        <f t="shared" si="16"/>
        <v>285.16363636363633</v>
      </c>
      <c r="O64" s="12">
        <f t="shared" si="22"/>
        <v>0</v>
      </c>
      <c r="P64" s="13">
        <f t="shared" si="17"/>
        <v>-14.836363636363672</v>
      </c>
      <c r="Q64" s="196">
        <f t="shared" si="18"/>
        <v>0.95054545454545447</v>
      </c>
      <c r="R64" s="442"/>
      <c r="S64" s="28">
        <v>0.20486111111111113</v>
      </c>
      <c r="T64" s="28">
        <v>0.24305555555555558</v>
      </c>
      <c r="U64" s="197">
        <f>(S64-T63)*24*60</f>
        <v>27.000000000000025</v>
      </c>
      <c r="V64" s="204">
        <f t="shared" si="28"/>
        <v>55.000000000000007</v>
      </c>
      <c r="W64" s="197"/>
      <c r="X64" s="197"/>
      <c r="Y64" s="443"/>
      <c r="Z64" s="443"/>
      <c r="AA64" s="12">
        <f t="shared" si="19"/>
        <v>-148.36363636363649</v>
      </c>
      <c r="AB64" s="196">
        <f t="shared" si="20"/>
        <v>0.95054545454545447</v>
      </c>
      <c r="AC64" s="442"/>
    </row>
    <row r="65" spans="1:29" ht="15.75" customHeight="1">
      <c r="A65" s="449" t="s">
        <v>765</v>
      </c>
      <c r="B65" s="207" t="s">
        <v>79</v>
      </c>
      <c r="C65" s="441" t="s">
        <v>95</v>
      </c>
      <c r="D65" s="441"/>
      <c r="E65" s="31">
        <v>35.369999999999997</v>
      </c>
      <c r="F65" s="35">
        <v>1566</v>
      </c>
      <c r="G65" s="197">
        <f t="shared" si="26"/>
        <v>55389.42</v>
      </c>
      <c r="H65" s="206" t="s">
        <v>103</v>
      </c>
      <c r="I65" s="205">
        <v>10</v>
      </c>
      <c r="J65" s="26">
        <v>3000</v>
      </c>
      <c r="K65" s="10">
        <f t="shared" si="15"/>
        <v>300</v>
      </c>
      <c r="L65" s="19">
        <v>10</v>
      </c>
      <c r="M65" s="11">
        <f t="shared" si="27"/>
        <v>2847.2727272727238</v>
      </c>
      <c r="N65" s="10">
        <f t="shared" si="16"/>
        <v>284.72727272727241</v>
      </c>
      <c r="O65" s="12">
        <f t="shared" si="22"/>
        <v>0</v>
      </c>
      <c r="P65" s="13">
        <f t="shared" si="17"/>
        <v>-15.272727272727593</v>
      </c>
      <c r="Q65" s="196">
        <f t="shared" si="18"/>
        <v>0.94909090909090799</v>
      </c>
      <c r="R65" s="442"/>
      <c r="S65" s="28">
        <v>0.24652777777777779</v>
      </c>
      <c r="T65" s="28">
        <v>0.26944444444444449</v>
      </c>
      <c r="U65" s="197">
        <f>(S65-T64)*24*60</f>
        <v>4.9999999999999822</v>
      </c>
      <c r="V65" s="204">
        <f t="shared" si="28"/>
        <v>33.000000000000043</v>
      </c>
      <c r="W65" s="197"/>
      <c r="X65" s="197"/>
      <c r="Y65" s="443"/>
      <c r="Z65" s="443"/>
      <c r="AA65" s="12">
        <f t="shared" si="19"/>
        <v>-152.72727272727616</v>
      </c>
      <c r="AB65" s="196">
        <f t="shared" si="20"/>
        <v>0.94909090909090799</v>
      </c>
      <c r="AC65" s="442"/>
    </row>
    <row r="66" spans="1:29" ht="15.75" customHeight="1">
      <c r="A66" s="449" t="s">
        <v>765</v>
      </c>
      <c r="B66" s="207" t="s">
        <v>53</v>
      </c>
      <c r="C66" s="441" t="s">
        <v>96</v>
      </c>
      <c r="D66" s="441"/>
      <c r="E66" s="31">
        <v>26.97</v>
      </c>
      <c r="F66" s="35">
        <v>3284</v>
      </c>
      <c r="G66" s="197">
        <f t="shared" si="26"/>
        <v>88569.48</v>
      </c>
      <c r="H66" s="206" t="s">
        <v>103</v>
      </c>
      <c r="I66" s="205">
        <v>8</v>
      </c>
      <c r="J66" s="26">
        <v>1500</v>
      </c>
      <c r="K66" s="10">
        <f t="shared" si="15"/>
        <v>187.5</v>
      </c>
      <c r="L66" s="19">
        <v>8</v>
      </c>
      <c r="M66" s="11">
        <f t="shared" si="27"/>
        <v>1417.5539568345323</v>
      </c>
      <c r="N66" s="10">
        <f t="shared" si="16"/>
        <v>177.19424460431654</v>
      </c>
      <c r="O66" s="12">
        <f t="shared" si="22"/>
        <v>0</v>
      </c>
      <c r="P66" s="13">
        <f t="shared" si="17"/>
        <v>-10.305755395683462</v>
      </c>
      <c r="Q66" s="196">
        <f t="shared" si="18"/>
        <v>0.94503597122302152</v>
      </c>
      <c r="R66" s="442"/>
      <c r="S66" s="28">
        <v>0.27500000000000002</v>
      </c>
      <c r="T66" s="28">
        <v>0.37152777777777779</v>
      </c>
      <c r="U66" s="197">
        <f>(S66-T65)*24*60</f>
        <v>7.9999999999999716</v>
      </c>
      <c r="V66" s="204">
        <f t="shared" si="28"/>
        <v>139</v>
      </c>
      <c r="W66" s="197"/>
      <c r="X66" s="197"/>
      <c r="Y66" s="443"/>
      <c r="Z66" s="443"/>
      <c r="AA66" s="12">
        <f t="shared" si="19"/>
        <v>-82.4460431654677</v>
      </c>
      <c r="AB66" s="196">
        <f t="shared" si="20"/>
        <v>0.94503597122302152</v>
      </c>
      <c r="AC66" s="442"/>
    </row>
    <row r="67" spans="1:29">
      <c r="A67" s="450" t="s">
        <v>765</v>
      </c>
      <c r="B67" s="207" t="s">
        <v>79</v>
      </c>
      <c r="C67" s="441" t="s">
        <v>97</v>
      </c>
      <c r="D67" s="441"/>
      <c r="E67" s="31">
        <v>35.119999999999997</v>
      </c>
      <c r="F67" s="35">
        <v>1202</v>
      </c>
      <c r="G67" s="197">
        <f t="shared" si="26"/>
        <v>42214.239999999998</v>
      </c>
      <c r="H67" s="206" t="s">
        <v>103</v>
      </c>
      <c r="I67" s="205">
        <v>13</v>
      </c>
      <c r="J67" s="26">
        <v>2000</v>
      </c>
      <c r="K67" s="10">
        <f t="shared" si="15"/>
        <v>153.84615384615384</v>
      </c>
      <c r="L67" s="19">
        <v>13</v>
      </c>
      <c r="M67" s="11">
        <f t="shared" si="27"/>
        <v>1897.8947368421038</v>
      </c>
      <c r="N67" s="10">
        <f t="shared" si="16"/>
        <v>145.99190283400799</v>
      </c>
      <c r="O67" s="12">
        <f t="shared" si="22"/>
        <v>0</v>
      </c>
      <c r="P67" s="13">
        <f t="shared" si="17"/>
        <v>-7.854251012145852</v>
      </c>
      <c r="Q67" s="196">
        <f t="shared" si="18"/>
        <v>0.94894736842105198</v>
      </c>
      <c r="R67" s="442"/>
      <c r="S67" s="28">
        <v>0.375</v>
      </c>
      <c r="T67" s="28">
        <v>0.40138888888888891</v>
      </c>
      <c r="U67" s="197">
        <f>(S67-T66)*24*60</f>
        <v>4.9999999999999822</v>
      </c>
      <c r="V67" s="204">
        <f t="shared" si="28"/>
        <v>38.000000000000028</v>
      </c>
      <c r="W67" s="16"/>
      <c r="X67" s="16"/>
      <c r="Y67" s="443"/>
      <c r="Z67" s="443"/>
      <c r="AA67" s="12">
        <f t="shared" si="19"/>
        <v>-102.10526315789616</v>
      </c>
      <c r="AB67" s="196">
        <f t="shared" si="20"/>
        <v>0.94894736842105187</v>
      </c>
      <c r="AC67" s="442"/>
    </row>
    <row r="68" spans="1:29" ht="15" customHeight="1">
      <c r="A68" s="450" t="s">
        <v>765</v>
      </c>
      <c r="B68" s="207" t="s">
        <v>79</v>
      </c>
      <c r="C68" s="444" t="s">
        <v>98</v>
      </c>
      <c r="D68" s="445"/>
      <c r="E68" s="31">
        <v>35.869999999999997</v>
      </c>
      <c r="F68" s="35">
        <v>2293</v>
      </c>
      <c r="G68" s="197">
        <f t="shared" si="26"/>
        <v>82249.909999999989</v>
      </c>
      <c r="H68" s="206" t="s">
        <v>103</v>
      </c>
      <c r="I68" s="205">
        <v>10</v>
      </c>
      <c r="J68" s="26">
        <v>3000</v>
      </c>
      <c r="K68" s="10">
        <f t="shared" si="15"/>
        <v>300</v>
      </c>
      <c r="L68" s="19">
        <v>10</v>
      </c>
      <c r="M68" s="11">
        <f t="shared" si="27"/>
        <v>2866.2500000000009</v>
      </c>
      <c r="N68" s="10">
        <f t="shared" si="16"/>
        <v>286.62500000000011</v>
      </c>
      <c r="O68" s="12">
        <f t="shared" si="22"/>
        <v>0</v>
      </c>
      <c r="P68" s="13">
        <f t="shared" si="17"/>
        <v>-13.374999999999886</v>
      </c>
      <c r="Q68" s="196">
        <f t="shared" si="18"/>
        <v>0.95541666666666702</v>
      </c>
      <c r="R68" s="442"/>
      <c r="S68" s="28">
        <v>0.40486111111111112</v>
      </c>
      <c r="T68" s="28">
        <v>0.43819444444444444</v>
      </c>
      <c r="U68" s="197">
        <f>(S68-T67)*24*60</f>
        <v>4.9999999999999822</v>
      </c>
      <c r="V68" s="204">
        <f t="shared" si="28"/>
        <v>47.999999999999986</v>
      </c>
      <c r="W68" s="197"/>
      <c r="X68" s="197"/>
      <c r="Y68" s="447"/>
      <c r="Z68" s="448"/>
      <c r="AA68" s="12">
        <f t="shared" si="19"/>
        <v>-133.74999999999909</v>
      </c>
      <c r="AB68" s="196">
        <f t="shared" si="20"/>
        <v>0.95541666666666702</v>
      </c>
      <c r="AC68" s="442"/>
    </row>
    <row r="69" spans="1:29">
      <c r="A69" s="450" t="s">
        <v>765</v>
      </c>
      <c r="B69" s="31" t="s">
        <v>759</v>
      </c>
      <c r="C69" s="446"/>
      <c r="D69" s="446"/>
      <c r="E69" s="200"/>
      <c r="F69" s="33"/>
      <c r="G69" s="10"/>
      <c r="H69" s="207"/>
      <c r="I69" s="19">
        <v>11.333333333333334</v>
      </c>
      <c r="J69" s="26">
        <v>2483.3333333333335</v>
      </c>
      <c r="K69" s="10">
        <f t="shared" ref="K69:K77" si="29">J69/I69</f>
        <v>219.11764705882354</v>
      </c>
      <c r="L69" s="19">
        <v>11.333333333333334</v>
      </c>
      <c r="M69" s="11">
        <f>AVERAGE(M63:M68)</f>
        <v>2365.8155831452391</v>
      </c>
      <c r="N69" s="10">
        <f t="shared" ref="N69:N77" si="30">M69/L69</f>
        <v>208.74843380693284</v>
      </c>
      <c r="O69" s="12">
        <f t="shared" si="22"/>
        <v>0</v>
      </c>
      <c r="P69" s="13">
        <f t="shared" ref="P69:P77" si="31">N69-K69</f>
        <v>-10.369213251890699</v>
      </c>
      <c r="Q69" s="196">
        <f t="shared" ref="Q69:Q77" si="32">N69/K69</f>
        <v>0.9526774160316398</v>
      </c>
      <c r="R69" s="442"/>
      <c r="S69" s="28"/>
      <c r="T69" s="28"/>
      <c r="U69" s="10"/>
      <c r="V69" s="204"/>
      <c r="W69" s="10"/>
      <c r="X69" s="10"/>
      <c r="Y69" s="443"/>
      <c r="Z69" s="443"/>
      <c r="AA69" s="12">
        <f t="shared" ref="AA69:AA77" si="33">M69-J69</f>
        <v>-117.5177501880944</v>
      </c>
      <c r="AB69" s="196">
        <f t="shared" ref="AB69:AB77" si="34">M69/J69</f>
        <v>0.9526774160316398</v>
      </c>
      <c r="AC69" s="442"/>
    </row>
    <row r="70" spans="1:29" ht="15.75" customHeight="1">
      <c r="A70" s="439" t="s">
        <v>760</v>
      </c>
      <c r="B70" s="207" t="s">
        <v>67</v>
      </c>
      <c r="C70" s="441" t="s">
        <v>99</v>
      </c>
      <c r="D70" s="441"/>
      <c r="E70" s="31">
        <v>20.2</v>
      </c>
      <c r="F70" s="207">
        <v>2736</v>
      </c>
      <c r="G70" s="197">
        <f t="shared" ref="G70:G76" si="35">E70*F70</f>
        <v>55267.199999999997</v>
      </c>
      <c r="H70" s="206" t="s">
        <v>103</v>
      </c>
      <c r="I70" s="205">
        <v>19</v>
      </c>
      <c r="J70" s="26">
        <v>2400</v>
      </c>
      <c r="K70" s="10">
        <f t="shared" si="29"/>
        <v>126.31578947368421</v>
      </c>
      <c r="L70" s="19">
        <v>19</v>
      </c>
      <c r="M70" s="11">
        <f t="shared" ref="M70:M76" si="36">F70/V70*60</f>
        <v>2280.0000000000005</v>
      </c>
      <c r="N70" s="10">
        <f t="shared" si="30"/>
        <v>120.00000000000003</v>
      </c>
      <c r="O70" s="12">
        <f t="shared" si="22"/>
        <v>0</v>
      </c>
      <c r="P70" s="13">
        <f t="shared" si="31"/>
        <v>-6.3157894736841769</v>
      </c>
      <c r="Q70" s="196">
        <f t="shared" si="32"/>
        <v>0.95000000000000029</v>
      </c>
      <c r="R70" s="442">
        <f>Q77</f>
        <v>0.94911930079131579</v>
      </c>
      <c r="S70" s="28">
        <v>0.125</v>
      </c>
      <c r="T70" s="28">
        <v>0.17499999999999999</v>
      </c>
      <c r="U70" s="18"/>
      <c r="V70" s="204">
        <f t="shared" ref="V70:V76" si="37">(T70-S70)*24*60</f>
        <v>71.999999999999986</v>
      </c>
      <c r="W70" s="16">
        <f>T70</f>
        <v>0.17499999999999999</v>
      </c>
      <c r="X70" s="16">
        <f>S71</f>
        <v>0.19444444444444445</v>
      </c>
      <c r="Y70" s="443"/>
      <c r="Z70" s="443"/>
      <c r="AA70" s="12">
        <f t="shared" si="33"/>
        <v>-119.99999999999955</v>
      </c>
      <c r="AB70" s="196">
        <f t="shared" si="34"/>
        <v>0.95000000000000018</v>
      </c>
      <c r="AC70" s="442">
        <f>AB77</f>
        <v>0.94911930079131579</v>
      </c>
    </row>
    <row r="71" spans="1:29" ht="15.75" customHeight="1">
      <c r="A71" s="439" t="s">
        <v>760</v>
      </c>
      <c r="B71" s="207" t="s">
        <v>67</v>
      </c>
      <c r="C71" s="441" t="s">
        <v>100</v>
      </c>
      <c r="D71" s="441"/>
      <c r="E71" s="31">
        <v>19.02</v>
      </c>
      <c r="F71" s="207">
        <v>6500</v>
      </c>
      <c r="G71" s="197">
        <f t="shared" si="35"/>
        <v>123630</v>
      </c>
      <c r="H71" s="206">
        <v>2</v>
      </c>
      <c r="I71" s="205">
        <v>15</v>
      </c>
      <c r="J71" s="26">
        <v>2400</v>
      </c>
      <c r="K71" s="10">
        <f t="shared" si="29"/>
        <v>160</v>
      </c>
      <c r="L71" s="19">
        <v>15</v>
      </c>
      <c r="M71" s="11">
        <f t="shared" si="36"/>
        <v>2267.4418604651164</v>
      </c>
      <c r="N71" s="10">
        <f t="shared" si="30"/>
        <v>151.16279069767444</v>
      </c>
      <c r="O71" s="12">
        <f t="shared" si="22"/>
        <v>0</v>
      </c>
      <c r="P71" s="13">
        <f t="shared" si="31"/>
        <v>-8.8372093023255616</v>
      </c>
      <c r="Q71" s="196">
        <f t="shared" si="32"/>
        <v>0.94476744186046524</v>
      </c>
      <c r="R71" s="442"/>
      <c r="S71" s="28">
        <v>0.19444444444444445</v>
      </c>
      <c r="T71" s="28">
        <v>0.31388888888888888</v>
      </c>
      <c r="U71" s="197">
        <f t="shared" ref="U71:U76" si="38">(S71-T70)*24*60</f>
        <v>28.000000000000021</v>
      </c>
      <c r="V71" s="204">
        <f t="shared" si="37"/>
        <v>171.99999999999997</v>
      </c>
      <c r="W71" s="16"/>
      <c r="X71" s="16"/>
      <c r="Y71" s="443"/>
      <c r="Z71" s="443"/>
      <c r="AA71" s="12">
        <f t="shared" si="33"/>
        <v>-132.55813953488359</v>
      </c>
      <c r="AB71" s="196">
        <f t="shared" si="34"/>
        <v>0.94476744186046513</v>
      </c>
      <c r="AC71" s="442"/>
    </row>
    <row r="72" spans="1:29" ht="15.75" customHeight="1">
      <c r="A72" s="439" t="s">
        <v>798</v>
      </c>
      <c r="B72" s="207" t="s">
        <v>67</v>
      </c>
      <c r="C72" s="441" t="s">
        <v>101</v>
      </c>
      <c r="D72" s="441"/>
      <c r="E72" s="31">
        <v>25</v>
      </c>
      <c r="F72" s="207">
        <v>4353</v>
      </c>
      <c r="G72" s="197">
        <f t="shared" si="35"/>
        <v>108825</v>
      </c>
      <c r="H72" s="206" t="s">
        <v>103</v>
      </c>
      <c r="I72" s="205">
        <v>15</v>
      </c>
      <c r="J72" s="26">
        <v>2400</v>
      </c>
      <c r="K72" s="10">
        <f t="shared" si="29"/>
        <v>160</v>
      </c>
      <c r="L72" s="19">
        <v>15</v>
      </c>
      <c r="M72" s="11">
        <f t="shared" si="36"/>
        <v>2271.130434782609</v>
      </c>
      <c r="N72" s="10">
        <f t="shared" si="30"/>
        <v>151.40869565217392</v>
      </c>
      <c r="O72" s="12">
        <f t="shared" si="22"/>
        <v>0</v>
      </c>
      <c r="P72" s="13">
        <f t="shared" si="31"/>
        <v>-8.5913043478260818</v>
      </c>
      <c r="Q72" s="196">
        <f t="shared" si="32"/>
        <v>0.94630434782608697</v>
      </c>
      <c r="R72" s="442"/>
      <c r="S72" s="28">
        <v>0.31944444444444442</v>
      </c>
      <c r="T72" s="28">
        <v>0.39930555555555552</v>
      </c>
      <c r="U72" s="197">
        <f t="shared" si="38"/>
        <v>7.9999999999999716</v>
      </c>
      <c r="V72" s="204">
        <f t="shared" si="37"/>
        <v>114.99999999999999</v>
      </c>
      <c r="W72" s="16"/>
      <c r="X72" s="16"/>
      <c r="Y72" s="443"/>
      <c r="Z72" s="443"/>
      <c r="AA72" s="12">
        <f t="shared" si="33"/>
        <v>-128.86956521739103</v>
      </c>
      <c r="AB72" s="196">
        <f t="shared" si="34"/>
        <v>0.94630434782608708</v>
      </c>
      <c r="AC72" s="442"/>
    </row>
    <row r="73" spans="1:29" ht="15.75" customHeight="1">
      <c r="A73" s="439" t="s">
        <v>798</v>
      </c>
      <c r="B73" s="207" t="s">
        <v>67</v>
      </c>
      <c r="C73" s="441" t="s">
        <v>102</v>
      </c>
      <c r="D73" s="441"/>
      <c r="E73" s="31">
        <v>20.52</v>
      </c>
      <c r="F73" s="207">
        <v>2850</v>
      </c>
      <c r="G73" s="197">
        <f t="shared" si="35"/>
        <v>58482</v>
      </c>
      <c r="H73" s="206">
        <v>2</v>
      </c>
      <c r="I73" s="205">
        <v>18</v>
      </c>
      <c r="J73" s="26">
        <v>2400</v>
      </c>
      <c r="K73" s="10">
        <f t="shared" si="29"/>
        <v>133.33333333333334</v>
      </c>
      <c r="L73" s="19">
        <v>18</v>
      </c>
      <c r="M73" s="11">
        <f t="shared" si="36"/>
        <v>2280.0000000000009</v>
      </c>
      <c r="N73" s="10">
        <f t="shared" si="30"/>
        <v>126.66666666666671</v>
      </c>
      <c r="O73" s="12">
        <f t="shared" si="22"/>
        <v>0</v>
      </c>
      <c r="P73" s="13">
        <f t="shared" si="31"/>
        <v>-6.6666666666666288</v>
      </c>
      <c r="Q73" s="196">
        <f t="shared" si="32"/>
        <v>0.95000000000000029</v>
      </c>
      <c r="R73" s="442"/>
      <c r="S73" s="28">
        <v>0.40416666666666662</v>
      </c>
      <c r="T73" s="28">
        <v>0.45624999999999993</v>
      </c>
      <c r="U73" s="197">
        <f t="shared" si="38"/>
        <v>6.9999999999999751</v>
      </c>
      <c r="V73" s="204">
        <f t="shared" si="37"/>
        <v>74.999999999999972</v>
      </c>
      <c r="W73" s="16"/>
      <c r="X73" s="16"/>
      <c r="Y73" s="443"/>
      <c r="Z73" s="443"/>
      <c r="AA73" s="12">
        <f t="shared" si="33"/>
        <v>-119.99999999999909</v>
      </c>
      <c r="AB73" s="196">
        <f t="shared" si="34"/>
        <v>0.9500000000000004</v>
      </c>
      <c r="AC73" s="442"/>
    </row>
    <row r="74" spans="1:29" ht="15.75" customHeight="1">
      <c r="A74" s="439" t="s">
        <v>798</v>
      </c>
      <c r="B74" s="207" t="s">
        <v>67</v>
      </c>
      <c r="C74" s="441" t="s">
        <v>71</v>
      </c>
      <c r="D74" s="441"/>
      <c r="E74" s="31">
        <v>22.35</v>
      </c>
      <c r="F74" s="207">
        <v>1929</v>
      </c>
      <c r="G74" s="197">
        <f t="shared" si="35"/>
        <v>43113.15</v>
      </c>
      <c r="H74" s="206" t="s">
        <v>103</v>
      </c>
      <c r="I74" s="205">
        <v>16</v>
      </c>
      <c r="J74" s="26">
        <v>2400</v>
      </c>
      <c r="K74" s="10">
        <f t="shared" si="29"/>
        <v>150</v>
      </c>
      <c r="L74" s="19">
        <v>16</v>
      </c>
      <c r="M74" s="11">
        <f t="shared" si="36"/>
        <v>2269.4117647058833</v>
      </c>
      <c r="N74" s="10">
        <f t="shared" si="30"/>
        <v>141.83823529411771</v>
      </c>
      <c r="O74" s="12">
        <f t="shared" si="22"/>
        <v>0</v>
      </c>
      <c r="P74" s="13">
        <f t="shared" si="31"/>
        <v>-8.1617647058822911</v>
      </c>
      <c r="Q74" s="196">
        <f t="shared" si="32"/>
        <v>0.94558823529411806</v>
      </c>
      <c r="R74" s="442"/>
      <c r="S74" s="28">
        <v>0.45972222222222214</v>
      </c>
      <c r="T74" s="28">
        <v>0.4951388888888888</v>
      </c>
      <c r="U74" s="197">
        <f t="shared" si="38"/>
        <v>4.9999999999999822</v>
      </c>
      <c r="V74" s="204">
        <f t="shared" si="37"/>
        <v>50.999999999999979</v>
      </c>
      <c r="W74" s="16">
        <f>T74</f>
        <v>0.4951388888888888</v>
      </c>
      <c r="X74" s="16">
        <f>S75</f>
        <v>0.53541666666666654</v>
      </c>
      <c r="Y74" s="443"/>
      <c r="Z74" s="443"/>
      <c r="AA74" s="12">
        <f t="shared" si="33"/>
        <v>-130.58823529411666</v>
      </c>
      <c r="AB74" s="196">
        <f t="shared" si="34"/>
        <v>0.94558823529411806</v>
      </c>
      <c r="AC74" s="442"/>
    </row>
    <row r="75" spans="1:29" ht="15.75" customHeight="1">
      <c r="A75" s="439" t="s">
        <v>798</v>
      </c>
      <c r="B75" s="207" t="s">
        <v>67</v>
      </c>
      <c r="C75" s="441" t="s">
        <v>100</v>
      </c>
      <c r="D75" s="441"/>
      <c r="E75" s="31">
        <v>19.02</v>
      </c>
      <c r="F75" s="207">
        <v>3614</v>
      </c>
      <c r="G75" s="197">
        <f t="shared" si="35"/>
        <v>68738.28</v>
      </c>
      <c r="H75" s="206" t="s">
        <v>103</v>
      </c>
      <c r="I75" s="205">
        <v>15</v>
      </c>
      <c r="J75" s="26">
        <v>2400</v>
      </c>
      <c r="K75" s="10">
        <f t="shared" si="29"/>
        <v>160</v>
      </c>
      <c r="L75" s="19">
        <v>15</v>
      </c>
      <c r="M75" s="11">
        <f t="shared" si="36"/>
        <v>2282.5263157894742</v>
      </c>
      <c r="N75" s="10">
        <f t="shared" si="30"/>
        <v>152.1684210526316</v>
      </c>
      <c r="O75" s="12">
        <f t="shared" si="22"/>
        <v>0</v>
      </c>
      <c r="P75" s="13">
        <f t="shared" si="31"/>
        <v>-7.8315789473683992</v>
      </c>
      <c r="Q75" s="196">
        <f t="shared" si="32"/>
        <v>0.95105263157894748</v>
      </c>
      <c r="R75" s="442"/>
      <c r="S75" s="28">
        <v>0.53541666666666654</v>
      </c>
      <c r="T75" s="28">
        <v>0.60138888888888875</v>
      </c>
      <c r="U75" s="197">
        <f t="shared" si="38"/>
        <v>57.999999999999957</v>
      </c>
      <c r="V75" s="204">
        <f t="shared" si="37"/>
        <v>94.999999999999986</v>
      </c>
      <c r="W75" s="16"/>
      <c r="X75" s="16"/>
      <c r="Y75" s="443"/>
      <c r="Z75" s="443"/>
      <c r="AA75" s="12">
        <f t="shared" si="33"/>
        <v>-117.47368421052579</v>
      </c>
      <c r="AB75" s="196">
        <f t="shared" si="34"/>
        <v>0.95105263157894759</v>
      </c>
      <c r="AC75" s="442"/>
    </row>
    <row r="76" spans="1:29" ht="15.75" customHeight="1">
      <c r="A76" s="439" t="s">
        <v>797</v>
      </c>
      <c r="B76" s="207" t="s">
        <v>67</v>
      </c>
      <c r="C76" s="444" t="s">
        <v>102</v>
      </c>
      <c r="D76" s="445"/>
      <c r="E76" s="31">
        <v>20.52</v>
      </c>
      <c r="F76" s="207">
        <v>1874</v>
      </c>
      <c r="G76" s="197">
        <f t="shared" si="35"/>
        <v>38454.479999999996</v>
      </c>
      <c r="H76" s="206" t="s">
        <v>103</v>
      </c>
      <c r="I76" s="205">
        <v>18</v>
      </c>
      <c r="J76" s="26">
        <v>2400</v>
      </c>
      <c r="K76" s="10">
        <f t="shared" si="29"/>
        <v>133.33333333333334</v>
      </c>
      <c r="L76" s="19">
        <v>18</v>
      </c>
      <c r="M76" s="11">
        <f t="shared" si="36"/>
        <v>2294.6938775510207</v>
      </c>
      <c r="N76" s="10">
        <f t="shared" si="30"/>
        <v>127.48299319727893</v>
      </c>
      <c r="O76" s="12">
        <f t="shared" si="22"/>
        <v>0</v>
      </c>
      <c r="P76" s="13">
        <f t="shared" si="31"/>
        <v>-5.8503401360544132</v>
      </c>
      <c r="Q76" s="196">
        <f t="shared" si="32"/>
        <v>0.95612244897959187</v>
      </c>
      <c r="R76" s="442"/>
      <c r="S76" s="28">
        <v>0.60624999999999984</v>
      </c>
      <c r="T76" s="28">
        <v>0.64027777777777761</v>
      </c>
      <c r="U76" s="197">
        <f t="shared" si="38"/>
        <v>6.9999999999999751</v>
      </c>
      <c r="V76" s="204">
        <f t="shared" si="37"/>
        <v>48.999999999999986</v>
      </c>
      <c r="W76" s="16"/>
      <c r="X76" s="16"/>
      <c r="Y76" s="447"/>
      <c r="Z76" s="448"/>
      <c r="AA76" s="12">
        <f t="shared" si="33"/>
        <v>-105.30612244897929</v>
      </c>
      <c r="AB76" s="196">
        <f t="shared" si="34"/>
        <v>0.95612244897959198</v>
      </c>
      <c r="AC76" s="442"/>
    </row>
    <row r="77" spans="1:29" ht="16.5" customHeight="1">
      <c r="A77" s="440" t="s">
        <v>797</v>
      </c>
      <c r="B77" s="31" t="s">
        <v>796</v>
      </c>
      <c r="C77" s="446"/>
      <c r="D77" s="446"/>
      <c r="E77" s="200"/>
      <c r="F77" s="33"/>
      <c r="G77" s="10"/>
      <c r="H77" s="207"/>
      <c r="I77" s="19">
        <v>16.571428571428573</v>
      </c>
      <c r="J77" s="26">
        <v>2400</v>
      </c>
      <c r="K77" s="10">
        <f t="shared" si="29"/>
        <v>144.82758620689654</v>
      </c>
      <c r="L77" s="19">
        <v>16.571428571428573</v>
      </c>
      <c r="M77" s="11">
        <f>AVERAGE(M70:M76)</f>
        <v>2277.8863218991578</v>
      </c>
      <c r="N77" s="10">
        <f t="shared" si="30"/>
        <v>137.45865735598366</v>
      </c>
      <c r="O77" s="12">
        <f t="shared" si="22"/>
        <v>0</v>
      </c>
      <c r="P77" s="13">
        <f t="shared" si="31"/>
        <v>-7.3689288509128801</v>
      </c>
      <c r="Q77" s="196">
        <f t="shared" si="32"/>
        <v>0.94911930079131579</v>
      </c>
      <c r="R77" s="442"/>
      <c r="S77" s="28"/>
      <c r="T77" s="28"/>
      <c r="U77" s="10"/>
      <c r="V77" s="204"/>
      <c r="W77" s="10"/>
      <c r="X77" s="10"/>
      <c r="Y77" s="443"/>
      <c r="Z77" s="443"/>
      <c r="AA77" s="12">
        <f t="shared" si="33"/>
        <v>-122.11367810084221</v>
      </c>
      <c r="AB77" s="196">
        <f t="shared" si="34"/>
        <v>0.94911930079131579</v>
      </c>
      <c r="AC77" s="442"/>
    </row>
    <row r="78" spans="1:29">
      <c r="D78" s="208"/>
      <c r="E78" s="208"/>
    </row>
  </sheetData>
  <mergeCells count="202">
    <mergeCell ref="AC70:AC77"/>
    <mergeCell ref="C71:D71"/>
    <mergeCell ref="Y71:Z71"/>
    <mergeCell ref="C72:D72"/>
    <mergeCell ref="Y72:Z72"/>
    <mergeCell ref="C73:D73"/>
    <mergeCell ref="Y73:Z73"/>
    <mergeCell ref="C74:D74"/>
    <mergeCell ref="Y74:Z74"/>
    <mergeCell ref="C75:D75"/>
    <mergeCell ref="A70:A77"/>
    <mergeCell ref="C70:D70"/>
    <mergeCell ref="R70:R77"/>
    <mergeCell ref="Y70:Z70"/>
    <mergeCell ref="Y75:Z75"/>
    <mergeCell ref="C76:D76"/>
    <mergeCell ref="Y76:Z76"/>
    <mergeCell ref="C77:D77"/>
    <mergeCell ref="Y77:Z77"/>
    <mergeCell ref="AC56:AC62"/>
    <mergeCell ref="C57:D57"/>
    <mergeCell ref="Y57:Z57"/>
    <mergeCell ref="C58:D58"/>
    <mergeCell ref="C61:D61"/>
    <mergeCell ref="Y61:Z61"/>
    <mergeCell ref="C66:D66"/>
    <mergeCell ref="C62:D62"/>
    <mergeCell ref="Y62:Z62"/>
    <mergeCell ref="AC63:AC69"/>
    <mergeCell ref="C67:D67"/>
    <mergeCell ref="Y67:Z67"/>
    <mergeCell ref="C68:D68"/>
    <mergeCell ref="Y68:Z68"/>
    <mergeCell ref="C63:D63"/>
    <mergeCell ref="R63:R69"/>
    <mergeCell ref="Y63:Z63"/>
    <mergeCell ref="C69:D69"/>
    <mergeCell ref="Y69:Z69"/>
    <mergeCell ref="A34:A44"/>
    <mergeCell ref="C34:D34"/>
    <mergeCell ref="A45:A55"/>
    <mergeCell ref="A56:A62"/>
    <mergeCell ref="C56:D56"/>
    <mergeCell ref="R56:R62"/>
    <mergeCell ref="Y56:Z56"/>
    <mergeCell ref="Y66:Z66"/>
    <mergeCell ref="C53:D53"/>
    <mergeCell ref="C54:D54"/>
    <mergeCell ref="Y52:Z52"/>
    <mergeCell ref="Y53:Z53"/>
    <mergeCell ref="Y54:Z54"/>
    <mergeCell ref="C64:D64"/>
    <mergeCell ref="Y64:Z64"/>
    <mergeCell ref="C65:D65"/>
    <mergeCell ref="Y65:Z65"/>
    <mergeCell ref="C55:D55"/>
    <mergeCell ref="Y55:Z55"/>
    <mergeCell ref="A63:A69"/>
    <mergeCell ref="C36:D36"/>
    <mergeCell ref="Y36:Z36"/>
    <mergeCell ref="C37:D37"/>
    <mergeCell ref="C39:D39"/>
    <mergeCell ref="AC45:AC55"/>
    <mergeCell ref="C46:D46"/>
    <mergeCell ref="Y46:Z46"/>
    <mergeCell ref="C47:D47"/>
    <mergeCell ref="Y47:Z47"/>
    <mergeCell ref="R34:R44"/>
    <mergeCell ref="Y34:Z34"/>
    <mergeCell ref="C44:D44"/>
    <mergeCell ref="Y44:Z44"/>
    <mergeCell ref="C45:D45"/>
    <mergeCell ref="R45:R55"/>
    <mergeCell ref="Y45:Z45"/>
    <mergeCell ref="Y50:Z50"/>
    <mergeCell ref="C51:D51"/>
    <mergeCell ref="AC34:AC44"/>
    <mergeCell ref="C48:D48"/>
    <mergeCell ref="Y48:Z48"/>
    <mergeCell ref="C49:D49"/>
    <mergeCell ref="Y49:Z49"/>
    <mergeCell ref="C50:D50"/>
    <mergeCell ref="C52:D52"/>
    <mergeCell ref="Y51:Z51"/>
    <mergeCell ref="C35:D35"/>
    <mergeCell ref="Y35:Z35"/>
    <mergeCell ref="Y39:Z39"/>
    <mergeCell ref="C40:D40"/>
    <mergeCell ref="Y40:Z40"/>
    <mergeCell ref="C41:D41"/>
    <mergeCell ref="Y41:Z41"/>
    <mergeCell ref="C42:D42"/>
    <mergeCell ref="Y42:Z42"/>
    <mergeCell ref="C43:D43"/>
    <mergeCell ref="Y43:Z43"/>
    <mergeCell ref="Y37:Z37"/>
    <mergeCell ref="C38:D38"/>
    <mergeCell ref="Y38:Z38"/>
    <mergeCell ref="AC25:AC33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Y32:Z32"/>
    <mergeCell ref="A25:A33"/>
    <mergeCell ref="C25:D25"/>
    <mergeCell ref="R25:R33"/>
    <mergeCell ref="Y25:Z25"/>
    <mergeCell ref="Y30:Z30"/>
    <mergeCell ref="C31:D31"/>
    <mergeCell ref="Y31:Z31"/>
    <mergeCell ref="C33:D33"/>
    <mergeCell ref="Y33:Z33"/>
    <mergeCell ref="C32:D32"/>
    <mergeCell ref="AC19:AC24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C14:AC18"/>
    <mergeCell ref="C15:D15"/>
    <mergeCell ref="Y15:Z15"/>
    <mergeCell ref="C16:D16"/>
    <mergeCell ref="Y16:Z16"/>
    <mergeCell ref="C17:D17"/>
    <mergeCell ref="Y17:Z17"/>
    <mergeCell ref="C18:D18"/>
    <mergeCell ref="Y18:Z18"/>
    <mergeCell ref="A19:A24"/>
    <mergeCell ref="C19:D19"/>
    <mergeCell ref="R19:R24"/>
    <mergeCell ref="Y19:Z19"/>
    <mergeCell ref="Y24:Z24"/>
    <mergeCell ref="A14:A18"/>
    <mergeCell ref="C14:D14"/>
    <mergeCell ref="R14:R18"/>
    <mergeCell ref="Y14:Z14"/>
    <mergeCell ref="AC5:AC8"/>
    <mergeCell ref="C6:D6"/>
    <mergeCell ref="Y6:Z6"/>
    <mergeCell ref="C7:D7"/>
    <mergeCell ref="Y7:Z7"/>
    <mergeCell ref="C8:D8"/>
    <mergeCell ref="Y8:Z8"/>
    <mergeCell ref="AC9:AC13"/>
    <mergeCell ref="C10:D10"/>
    <mergeCell ref="Y10:Z10"/>
    <mergeCell ref="C11:D11"/>
    <mergeCell ref="Y11:Z11"/>
    <mergeCell ref="C12:D12"/>
    <mergeCell ref="A9:A13"/>
    <mergeCell ref="C9:D9"/>
    <mergeCell ref="R9:R13"/>
    <mergeCell ref="Y9:Z9"/>
    <mergeCell ref="C13:D13"/>
    <mergeCell ref="Y13:Z13"/>
    <mergeCell ref="Y12:Z12"/>
    <mergeCell ref="H3:H4"/>
    <mergeCell ref="I3:I4"/>
    <mergeCell ref="J3:J4"/>
    <mergeCell ref="K3:K4"/>
    <mergeCell ref="L3:L4"/>
    <mergeCell ref="M3:M4"/>
    <mergeCell ref="A5:A8"/>
    <mergeCell ref="C5:D5"/>
    <mergeCell ref="R5:R8"/>
    <mergeCell ref="Y5:Z5"/>
    <mergeCell ref="U3:U4"/>
    <mergeCell ref="V3:V4"/>
    <mergeCell ref="W3:X3"/>
    <mergeCell ref="Y3:Z4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AA3:AA4"/>
    <mergeCell ref="AB3:AB4"/>
    <mergeCell ref="AC3:AC4"/>
  </mergeCells>
  <phoneticPr fontId="3" type="noConversion"/>
  <conditionalFormatting sqref="O66:O75 O77 O5:O9 O13:O15 O55:O63 O18:O44">
    <cfRule type="cellIs" dxfId="586" priority="50" operator="greaterThan">
      <formula>0</formula>
    </cfRule>
  </conditionalFormatting>
  <conditionalFormatting sqref="P5:P7 P66:P68 AA66:AA68 P70:P75 P25:P32 P63 P9 P13:P15 P19:P23 P56:P61 P34:P50 AA70:AA77 AA5:AA63">
    <cfRule type="cellIs" dxfId="585" priority="54" operator="lessThan">
      <formula>0</formula>
    </cfRule>
  </conditionalFormatting>
  <conditionalFormatting sqref="AB66:AB68 Q66:Q75 Q77 Q5:Q9 Q13:Q15 Q55:Q63 Q18:Q50 AB70:AB77 AB5:AB63">
    <cfRule type="cellIs" dxfId="584" priority="51" operator="greaterThan">
      <formula>1</formula>
    </cfRule>
    <cfRule type="cellIs" dxfId="583" priority="52" operator="lessThan">
      <formula>0.8</formula>
    </cfRule>
  </conditionalFormatting>
  <conditionalFormatting sqref="AC14:AC15 R14:R15 AC66 R66:R75 R18:R41 AC18:AC41 R77 AC5:AC9 R5:R9 R44:R50 AC44:AC50 AC55:AC63 R55:R63">
    <cfRule type="cellIs" dxfId="582" priority="56" operator="lessThan">
      <formula>0.8</formula>
    </cfRule>
  </conditionalFormatting>
  <conditionalFormatting sqref="AC45">
    <cfRule type="cellIs" dxfId="581" priority="58" operator="lessThan">
      <formula>0.8</formula>
    </cfRule>
  </conditionalFormatting>
  <conditionalFormatting sqref="AC19:AC23">
    <cfRule type="cellIs" dxfId="580" priority="55" operator="lessThan">
      <formula>0.8</formula>
    </cfRule>
  </conditionalFormatting>
  <conditionalFormatting sqref="AC25">
    <cfRule type="cellIs" dxfId="579" priority="57" operator="lessThan">
      <formula>0.8</formula>
    </cfRule>
  </conditionalFormatting>
  <conditionalFormatting sqref="AC34:AC41">
    <cfRule type="cellIs" dxfId="578" priority="53" operator="lessThan">
      <formula>0.8</formula>
    </cfRule>
  </conditionalFormatting>
  <conditionalFormatting sqref="AA69">
    <cfRule type="cellIs" dxfId="577" priority="49" operator="lessThan">
      <formula>0</formula>
    </cfRule>
  </conditionalFormatting>
  <conditionalFormatting sqref="AB69">
    <cfRule type="cellIs" dxfId="576" priority="47" operator="greaterThan">
      <formula>1</formula>
    </cfRule>
    <cfRule type="cellIs" dxfId="575" priority="48" operator="lessThan">
      <formula>0.8</formula>
    </cfRule>
  </conditionalFormatting>
  <conditionalFormatting sqref="O16:O17">
    <cfRule type="cellIs" dxfId="574" priority="42" operator="greaterThan">
      <formula>0</formula>
    </cfRule>
  </conditionalFormatting>
  <conditionalFormatting sqref="P16:P17">
    <cfRule type="cellIs" dxfId="573" priority="45" operator="lessThan">
      <formula>0</formula>
    </cfRule>
  </conditionalFormatting>
  <conditionalFormatting sqref="Q16:Q17">
    <cfRule type="cellIs" dxfId="572" priority="43" operator="greaterThan">
      <formula>1</formula>
    </cfRule>
    <cfRule type="cellIs" dxfId="571" priority="44" operator="lessThan">
      <formula>0.8</formula>
    </cfRule>
  </conditionalFormatting>
  <conditionalFormatting sqref="R16:R17 AC16:AC17">
    <cfRule type="cellIs" dxfId="570" priority="46" operator="lessThan">
      <formula>0.8</formula>
    </cfRule>
  </conditionalFormatting>
  <conditionalFormatting sqref="O10:O12">
    <cfRule type="cellIs" dxfId="569" priority="38" operator="greaterThan">
      <formula>0</formula>
    </cfRule>
  </conditionalFormatting>
  <conditionalFormatting sqref="P10:P12">
    <cfRule type="cellIs" dxfId="568" priority="41" operator="lessThan">
      <formula>0</formula>
    </cfRule>
  </conditionalFormatting>
  <conditionalFormatting sqref="Q10:Q12">
    <cfRule type="cellIs" dxfId="567" priority="39" operator="greaterThan">
      <formula>1</formula>
    </cfRule>
    <cfRule type="cellIs" dxfId="566" priority="40" operator="lessThan">
      <formula>0.8</formula>
    </cfRule>
  </conditionalFormatting>
  <conditionalFormatting sqref="R42 AC42">
    <cfRule type="cellIs" dxfId="565" priority="37" operator="lessThan">
      <formula>0.8</formula>
    </cfRule>
  </conditionalFormatting>
  <conditionalFormatting sqref="AC42">
    <cfRule type="cellIs" dxfId="564" priority="36" operator="lessThan">
      <formula>0.8</formula>
    </cfRule>
  </conditionalFormatting>
  <conditionalFormatting sqref="O65">
    <cfRule type="cellIs" dxfId="563" priority="31" operator="greaterThan">
      <formula>0</formula>
    </cfRule>
  </conditionalFormatting>
  <conditionalFormatting sqref="P65 AA65">
    <cfRule type="cellIs" dxfId="562" priority="34" operator="lessThan">
      <formula>0</formula>
    </cfRule>
  </conditionalFormatting>
  <conditionalFormatting sqref="Q65 AB65">
    <cfRule type="cellIs" dxfId="561" priority="32" operator="greaterThan">
      <formula>1</formula>
    </cfRule>
    <cfRule type="cellIs" dxfId="560" priority="33" operator="lessThan">
      <formula>0.8</formula>
    </cfRule>
  </conditionalFormatting>
  <conditionalFormatting sqref="R65 AC65">
    <cfRule type="cellIs" dxfId="559" priority="35" operator="lessThan">
      <formula>0.8</formula>
    </cfRule>
  </conditionalFormatting>
  <conditionalFormatting sqref="O76">
    <cfRule type="cellIs" dxfId="558" priority="26" operator="greaterThan">
      <formula>0</formula>
    </cfRule>
  </conditionalFormatting>
  <conditionalFormatting sqref="P76">
    <cfRule type="cellIs" dxfId="557" priority="29" operator="lessThan">
      <formula>0</formula>
    </cfRule>
  </conditionalFormatting>
  <conditionalFormatting sqref="Q76">
    <cfRule type="cellIs" dxfId="556" priority="27" operator="greaterThan">
      <formula>1</formula>
    </cfRule>
    <cfRule type="cellIs" dxfId="555" priority="28" operator="lessThan">
      <formula>0.8</formula>
    </cfRule>
  </conditionalFormatting>
  <conditionalFormatting sqref="R76">
    <cfRule type="cellIs" dxfId="554" priority="30" operator="lessThan">
      <formula>0.8</formula>
    </cfRule>
  </conditionalFormatting>
  <conditionalFormatting sqref="P51:P54">
    <cfRule type="cellIs" dxfId="553" priority="24" operator="lessThan">
      <formula>0</formula>
    </cfRule>
  </conditionalFormatting>
  <conditionalFormatting sqref="Q51:Q54">
    <cfRule type="cellIs" dxfId="552" priority="21" operator="greaterThan">
      <formula>1</formula>
    </cfRule>
    <cfRule type="cellIs" dxfId="551" priority="22" operator="lessThan">
      <formula>0.8</formula>
    </cfRule>
  </conditionalFormatting>
  <conditionalFormatting sqref="R51:R54 AC51:AC54">
    <cfRule type="cellIs" dxfId="550" priority="25" operator="lessThan">
      <formula>0.8</formula>
    </cfRule>
  </conditionalFormatting>
  <conditionalFormatting sqref="AC51:AC54">
    <cfRule type="cellIs" dxfId="549" priority="23" operator="lessThan">
      <formula>0.8</formula>
    </cfRule>
  </conditionalFormatting>
  <conditionalFormatting sqref="O64">
    <cfRule type="cellIs" dxfId="548" priority="16" operator="greaterThan">
      <formula>0</formula>
    </cfRule>
  </conditionalFormatting>
  <conditionalFormatting sqref="P64 AA64">
    <cfRule type="cellIs" dxfId="547" priority="19" operator="lessThan">
      <formula>0</formula>
    </cfRule>
  </conditionalFormatting>
  <conditionalFormatting sqref="Q64 AB64">
    <cfRule type="cellIs" dxfId="546" priority="17" operator="greaterThan">
      <formula>1</formula>
    </cfRule>
    <cfRule type="cellIs" dxfId="545" priority="18" operator="lessThan">
      <formula>0.8</formula>
    </cfRule>
  </conditionalFormatting>
  <conditionalFormatting sqref="R64 AC64">
    <cfRule type="cellIs" dxfId="544" priority="20" operator="lessThan">
      <formula>0.8</formula>
    </cfRule>
  </conditionalFormatting>
  <conditionalFormatting sqref="P8">
    <cfRule type="cellIs" dxfId="543" priority="15" operator="lessThan">
      <formula>0</formula>
    </cfRule>
  </conditionalFormatting>
  <conditionalFormatting sqref="P18">
    <cfRule type="cellIs" dxfId="542" priority="14" operator="lessThan">
      <formula>0</formula>
    </cfRule>
  </conditionalFormatting>
  <conditionalFormatting sqref="P24">
    <cfRule type="cellIs" dxfId="541" priority="13" operator="lessThan">
      <formula>0</formula>
    </cfRule>
  </conditionalFormatting>
  <conditionalFormatting sqref="P33">
    <cfRule type="cellIs" dxfId="540" priority="12" operator="lessThan">
      <formula>0</formula>
    </cfRule>
  </conditionalFormatting>
  <conditionalFormatting sqref="P55">
    <cfRule type="cellIs" dxfId="539" priority="11" operator="lessThan">
      <formula>0</formula>
    </cfRule>
  </conditionalFormatting>
  <conditionalFormatting sqref="P62">
    <cfRule type="cellIs" dxfId="538" priority="10" operator="lessThan">
      <formula>0</formula>
    </cfRule>
  </conditionalFormatting>
  <conditionalFormatting sqref="P69">
    <cfRule type="cellIs" dxfId="537" priority="9" operator="lessThan">
      <formula>0</formula>
    </cfRule>
  </conditionalFormatting>
  <conditionalFormatting sqref="P77">
    <cfRule type="cellIs" dxfId="536" priority="8" operator="lessThan">
      <formula>0</formula>
    </cfRule>
  </conditionalFormatting>
  <conditionalFormatting sqref="R43 AC43">
    <cfRule type="cellIs" dxfId="535" priority="7" operator="lessThan">
      <formula>0.8</formula>
    </cfRule>
  </conditionalFormatting>
  <conditionalFormatting sqref="AC43">
    <cfRule type="cellIs" dxfId="534" priority="6" operator="lessThan">
      <formula>0.8</formula>
    </cfRule>
  </conditionalFormatting>
  <conditionalFormatting sqref="O45:O50">
    <cfRule type="cellIs" dxfId="533" priority="5" operator="greaterThan">
      <formula>0</formula>
    </cfRule>
  </conditionalFormatting>
  <conditionalFormatting sqref="O51">
    <cfRule type="cellIs" dxfId="532" priority="4" operator="greaterThan">
      <formula>0</formula>
    </cfRule>
  </conditionalFormatting>
  <conditionalFormatting sqref="O52">
    <cfRule type="cellIs" dxfId="531" priority="3" operator="greaterThan">
      <formula>0</formula>
    </cfRule>
  </conditionalFormatting>
  <conditionalFormatting sqref="O53">
    <cfRule type="cellIs" dxfId="530" priority="2" operator="greaterThan">
      <formula>0</formula>
    </cfRule>
  </conditionalFormatting>
  <conditionalFormatting sqref="O54">
    <cfRule type="cellIs" dxfId="529" priority="1" operator="greaterThan">
      <formula>0</formula>
    </cfRule>
  </conditionalFormatting>
  <dataValidations count="1">
    <dataValidation type="list" allowBlank="1" showInputMessage="1" showErrorMessage="1" sqref="Z8 Z67:Z68 Y5:Z7 Y69:Z77 Z10:Z63 Y8:Y6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B1:Q28"/>
  <sheetViews>
    <sheetView topLeftCell="A4" zoomScale="70" zoomScaleNormal="70" workbookViewId="0">
      <selection activeCell="H17" sqref="H17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758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94" t="s">
        <v>757</v>
      </c>
      <c r="C3" s="493" t="str">
        <f>TEXT('0910 4度C'!A2,"yyyy.mm.ddaaaa")</f>
        <v>2025.09.10星期三</v>
      </c>
      <c r="D3" s="493"/>
      <c r="E3" s="194" t="s">
        <v>110</v>
      </c>
      <c r="F3" s="494">
        <f>'0910 4度C'!D1</f>
        <v>175592</v>
      </c>
      <c r="G3" s="494"/>
      <c r="H3" s="194" t="s">
        <v>111</v>
      </c>
      <c r="I3" s="495">
        <f>'0910 4度C'!F1</f>
        <v>5803938.3200000012</v>
      </c>
      <c r="J3" s="495"/>
      <c r="K3" s="45"/>
      <c r="L3" s="46"/>
      <c r="M3" s="47"/>
      <c r="N3" s="47"/>
    </row>
    <row r="4" spans="2:17" ht="28.5" customHeight="1">
      <c r="B4" s="496" t="s">
        <v>112</v>
      </c>
      <c r="C4" s="496" t="s">
        <v>113</v>
      </c>
      <c r="D4" s="496"/>
      <c r="E4" s="497" t="s">
        <v>176</v>
      </c>
      <c r="F4" s="497"/>
      <c r="G4" s="497" t="s">
        <v>177</v>
      </c>
      <c r="H4" s="497"/>
      <c r="I4" s="497" t="s">
        <v>116</v>
      </c>
      <c r="J4" s="497"/>
      <c r="L4" s="47"/>
      <c r="M4" s="47"/>
      <c r="N4" s="47"/>
    </row>
    <row r="5" spans="2:17" ht="28.5" customHeight="1">
      <c r="B5" s="496"/>
      <c r="C5" s="496" t="s">
        <v>117</v>
      </c>
      <c r="D5" s="496"/>
      <c r="E5" s="496" t="s">
        <v>118</v>
      </c>
      <c r="F5" s="496"/>
      <c r="G5" s="498" t="s">
        <v>119</v>
      </c>
      <c r="H5" s="498"/>
      <c r="I5" s="499" t="s">
        <v>182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147.15231279529056</v>
      </c>
      <c r="F6" s="496">
        <f>AVERAGE(D27:O27,D13:J13)</f>
        <v>151.97813800483783</v>
      </c>
      <c r="G6" s="501">
        <f>AVERAGE(D13:J13)</f>
        <v>151.97813800483783</v>
      </c>
      <c r="H6" s="501"/>
      <c r="I6" s="501">
        <f>AVERAGE(K13:M13)</f>
        <v>135.8920539730135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139.77694950271459</v>
      </c>
      <c r="F7" s="506">
        <f>AVERAGE(D28:O28,D14:J14)</f>
        <v>144.52156076898589</v>
      </c>
      <c r="G7" s="507">
        <f>AVERAGE(D14:J14)</f>
        <v>144.52156076898589</v>
      </c>
      <c r="H7" s="507"/>
      <c r="I7" s="507">
        <f>AVERAGE(K14:M14)</f>
        <v>128.70618988141493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0.94890314830457645</v>
      </c>
      <c r="F8" s="504">
        <f>AVERAGE(D15:J15,D29:O29)</f>
        <v>0.94968951773554411</v>
      </c>
      <c r="G8" s="509">
        <f>AVERAGE(D15:J15)</f>
        <v>0.94968951773554411</v>
      </c>
      <c r="H8" s="509"/>
      <c r="I8" s="509">
        <f>AVERAGE(K15:M15)</f>
        <v>0.9470682862989851</v>
      </c>
      <c r="J8" s="509"/>
      <c r="K8" s="48" t="s">
        <v>756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125</v>
      </c>
      <c r="C10" s="414"/>
      <c r="D10" s="415" t="s">
        <v>185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503" t="s">
        <v>187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10</v>
      </c>
      <c r="C13" s="58" t="s">
        <v>189</v>
      </c>
      <c r="D13" s="59">
        <f>SUMIFS('0910 4度C'!$K:$K,'0910 4度C'!$A:$A,"新豐6線",'0910 4度C'!$B:$B,"平均")</f>
        <v>125</v>
      </c>
      <c r="E13" s="60">
        <f>SUMIFS('0910 4度C'!$K:$K,'0910 4度C'!$A:$A,"新豐2線",'0910 4度C'!$B:$B,"平均")</f>
        <v>83.333333333333329</v>
      </c>
      <c r="F13" s="61">
        <f>SUMIFS('0910 4度C'!$K:$K,'0910 4度C'!$A:$A,"新豐5線",'0910 4度C'!$B:$B,"平均")</f>
        <v>89.743589743589737</v>
      </c>
      <c r="G13" s="61">
        <f>SUMIFS('0910 4度C'!$K:$K,'0910 4度C'!$A:$A,"新豐7線",'0910 4度C'!$B:$B,"平均")</f>
        <v>120.48192771084337</v>
      </c>
      <c r="H13" s="61">
        <f>SUMIFS('0910 4度C'!$K:$K,'0910 4度C'!$A:$A,"新豐3線",'0910 4度C'!$B:$B,"平均")</f>
        <v>308.82352941176475</v>
      </c>
      <c r="I13" s="61">
        <f>SUMIFS('0910 4度C'!$K:$K,'0910 4度C'!$A:$A,"新豐1線",'0910 4度C'!$B:$B,"平均")</f>
        <v>117.34693877551021</v>
      </c>
      <c r="J13" s="62">
        <f>SUMIFS('0910 4度C'!$K:$K,'0910 4度C'!$A:$A,"新豐10線",'0910 4度C'!$B:$B,"平均")</f>
        <v>219.11764705882354</v>
      </c>
      <c r="K13" s="63">
        <f>SUMIFS('0910 4度C'!$K:$K,'0910 4度C'!$A:$A,"新豐8線",'0910 4度C'!$B:$B,"平均")</f>
        <v>132.41379310344828</v>
      </c>
      <c r="L13" s="64">
        <f>SUMIFS('0910 4度C'!$K:$K,'0910 4度C'!$A:$A,"新豐9線",'0910 4度C'!$B:$B,"平均")</f>
        <v>130.43478260869566</v>
      </c>
      <c r="M13" s="62">
        <f>SUMIFS('0910 4度C'!$K:$K,'0910 4度C'!$A:$A,"新豐4線",'0910 4度C'!$B:$B,"平均")</f>
        <v>144.82758620689654</v>
      </c>
    </row>
    <row r="14" spans="2:17" ht="39.6" customHeight="1">
      <c r="B14" s="515"/>
      <c r="C14" s="65" t="s">
        <v>190</v>
      </c>
      <c r="D14" s="66">
        <f>SUMIFS('0910 4度C'!$N:$N,'0910 4度C'!$A:$A,"新豐6線",'0910 4度C'!$B:$B,"平均")</f>
        <v>118.19782265756841</v>
      </c>
      <c r="E14" s="67">
        <f>SUMIFS('0910 4度C'!$N:$N,'0910 4度C'!$A:$A,"新豐2線",'0910 4度C'!$B:$B,"平均")</f>
        <v>78.766894859599688</v>
      </c>
      <c r="F14" s="67">
        <f>SUMIFS('0910 4度C'!$N:$N,'0910 4度C'!$A:$A,"新豐5線",'0910 4度C'!$B:$B,"平均")</f>
        <v>85.068778132622512</v>
      </c>
      <c r="G14" s="67">
        <f>SUMIFS('0910 4度C'!$N:$N,'0910 4度C'!$A:$A,"新豐7線",'0910 4度C'!$B:$B,"平均")</f>
        <v>114.02293970006464</v>
      </c>
      <c r="H14" s="67">
        <f>SUMIFS('0910 4度C'!$N:$N,'0910 4度C'!$A:$A,"新豐3線",'0910 4度C'!$B:$B,"平均")</f>
        <v>295.59578991013257</v>
      </c>
      <c r="I14" s="67">
        <f>SUMIFS('0910 4度C'!$N:$N,'0910 4度C'!$A:$A,"新豐1線",'0910 4度C'!$B:$B,"平均")</f>
        <v>112.47593663974433</v>
      </c>
      <c r="J14" s="68">
        <f>SUMIFS('0910 4度C'!$N:$N,'0910 4度C'!$A:$A,"新豐10線",'0910 4度C'!$B:$B,"平均")</f>
        <v>207.52276348316909</v>
      </c>
      <c r="K14" s="69">
        <f>SUMIFS('0910 4度C'!$N:$N,'0910 4度C'!$A:$A,"新豐8線",'0910 4度C'!$B:$B,"平均")</f>
        <v>125.44936866179174</v>
      </c>
      <c r="L14" s="70">
        <f>SUMIFS('0910 4度C'!$N:$N,'0910 4度C'!$A:$A,"新豐9線",'0910 4度C'!$B:$B,"平均")</f>
        <v>123.29888019839645</v>
      </c>
      <c r="M14" s="68">
        <f>SUMIFS('0910 4度C'!$N:$N,'0910 4度C'!$A:$A,"新豐4線",'0910 4度C'!$B:$B,"平均")</f>
        <v>137.37032078405653</v>
      </c>
    </row>
    <row r="15" spans="2:17" ht="40.15" customHeight="1">
      <c r="B15" s="515"/>
      <c r="C15" s="71" t="s">
        <v>142</v>
      </c>
      <c r="D15" s="72">
        <f t="shared" ref="D15:M15" si="0">D14/D13</f>
        <v>0.94558258126054728</v>
      </c>
      <c r="E15" s="73">
        <f t="shared" si="0"/>
        <v>0.9452027383151963</v>
      </c>
      <c r="F15" s="73">
        <f t="shared" si="0"/>
        <v>0.94790924204922233</v>
      </c>
      <c r="G15" s="73">
        <f t="shared" si="0"/>
        <v>0.94639039951053661</v>
      </c>
      <c r="H15" s="73">
        <f t="shared" si="0"/>
        <v>0.9571673197090006</v>
      </c>
      <c r="I15" s="73">
        <f t="shared" si="0"/>
        <v>0.95849059049521257</v>
      </c>
      <c r="J15" s="74">
        <f t="shared" si="0"/>
        <v>0.94708375280909374</v>
      </c>
      <c r="K15" s="72">
        <f t="shared" si="0"/>
        <v>0.94740408624790629</v>
      </c>
      <c r="L15" s="73">
        <f t="shared" si="0"/>
        <v>0.94529141485437274</v>
      </c>
      <c r="M15" s="74">
        <f t="shared" si="0"/>
        <v>0.94850935779467616</v>
      </c>
    </row>
    <row r="16" spans="2:17" ht="17.25" customHeight="1">
      <c r="B16" s="502" t="s">
        <v>143</v>
      </c>
      <c r="C16" s="195" t="s">
        <v>193</v>
      </c>
      <c r="D16" s="76">
        <f>VLOOKUP("新豐6線",'0910 4度C'!$A:$T,19,0)</f>
        <v>0.70833333333333337</v>
      </c>
      <c r="E16" s="28">
        <f>VLOOKUP("新豐2線",'0910 4度C'!$A:$T,19,0)</f>
        <v>0.125</v>
      </c>
      <c r="F16" s="28">
        <f>VLOOKUP("新豐5線",'0910 4度C'!$A:$T,19,0)</f>
        <v>0.20833333333333334</v>
      </c>
      <c r="G16" s="28">
        <f>VLOOKUP("新豐7線",'0910 4度C'!$A:$T,19,0)</f>
        <v>0.20833333333333334</v>
      </c>
      <c r="H16" s="28">
        <f>VLOOKUP("新豐3線",'0910 4度C'!$A:$T,19,0)</f>
        <v>0.20833333333333334</v>
      </c>
      <c r="I16" s="28">
        <f>VLOOKUP("新豐1線",'0910 4度C'!$A:$T,19,0)</f>
        <v>0.25</v>
      </c>
      <c r="J16" s="77">
        <f>VLOOKUP("新豐10線",'0910 4度C'!$A:$T,19,0)</f>
        <v>0.16666666666666666</v>
      </c>
      <c r="K16" s="78">
        <f>VLOOKUP("新豐8線",'0910 4度C'!$A:$T,19,0)</f>
        <v>0.125</v>
      </c>
      <c r="L16" s="79">
        <f>VLOOKUP("新豐9線",'0910 4度C'!$A:$T,19,0)</f>
        <v>0.125</v>
      </c>
      <c r="M16" s="80">
        <f>VLOOKUP("新豐4線",'0910 4度C'!$A:$T,19,0)</f>
        <v>0.125</v>
      </c>
    </row>
    <row r="17" spans="2:13" ht="17.25" customHeight="1">
      <c r="B17" s="503"/>
      <c r="C17" s="195" t="s">
        <v>145</v>
      </c>
      <c r="D17" s="78">
        <f>LOOKUP(2,1/(('0910 4度C'!$A:$A="新豐6線")*('0910 4度C'!$T:$T&lt;&gt;"")),'0910 4度C'!$T:$T)</f>
        <v>0.82430555555555551</v>
      </c>
      <c r="E17" s="28">
        <f>LOOKUP(2,1/(('0910 4度C'!$A:$A="新豐2線")*('0910 4度C'!$T:$T&lt;&gt;"")),'0910 4度C'!$T:$T)</f>
        <v>0.64652777777777781</v>
      </c>
      <c r="F17" s="28">
        <f>LOOKUP(2,1/(('0910 4度C'!$A:$A="新豐5線")*('0910 4度C'!$T:$T&lt;&gt;"")),'0910 4度C'!$T:$T)</f>
        <v>0.83472222222222225</v>
      </c>
      <c r="G17" s="28">
        <f>LOOKUP(2,1/(('0910 4度C'!$A:$A="新豐7線")*('0910 4度C'!$T:$T&lt;&gt;"")),'0910 4度C'!$T:$T)</f>
        <v>0.79027777777777775</v>
      </c>
      <c r="H17" s="28">
        <f>LOOKUP(2,1/(('0910 4度C'!$A:$A="新豐3線")*('0910 4度C'!$T:$T&lt;&gt;"")),'0910 4度C'!$T:$T)</f>
        <v>0.65833333333333321</v>
      </c>
      <c r="I17" s="28">
        <f>LOOKUP(2,1/(('0910 4度C'!$A:$A="新豐1線")*('0910 4度C'!$T:$T&lt;&gt;"")),'0910 4度C'!$T:$T)</f>
        <v>0.8354166666666667</v>
      </c>
      <c r="J17" s="77">
        <f>LOOKUP(2,1/(('0910 4度C'!$A:$A="新豐10線")*('0910 4度C'!$T:$T&lt;&gt;"")),'0910 4度C'!$T:$T)</f>
        <v>0.45555555555555538</v>
      </c>
      <c r="K17" s="76">
        <f>LOOKUP(2,1/(('0910 4度C'!$A:$A="新豐8線")*('0910 4度C'!$T:$T&lt;&gt;"")),'0910 4度C'!$T:$T)</f>
        <v>0.71666666666666645</v>
      </c>
      <c r="L17" s="28">
        <f>LOOKUP(2,1/(('0910 4度C'!$A:$A="新豐9線")*('0910 4度C'!$T:$T&lt;&gt;"")),'0910 4度C'!$T:$T)</f>
        <v>0.75138888888888877</v>
      </c>
      <c r="M17" s="77">
        <f>LOOKUP(2,1/(('0910 4度C'!$A:$A="新豐4線")*('0910 4度C'!$T:$T&lt;&gt;"")),'0910 4度C'!$T:$T)</f>
        <v>0.68263888888888868</v>
      </c>
    </row>
    <row r="18" spans="2:13" ht="17.25" customHeight="1">
      <c r="B18" s="503" t="s">
        <v>340</v>
      </c>
      <c r="C18" s="514"/>
      <c r="D18" s="81">
        <f>SUMIFS('0910 4度C'!$I:$I,'0910 4度C'!$A:$A,"新豐6線",'0910 4度C'!$B:$B,"平均")</f>
        <v>16</v>
      </c>
      <c r="E18" s="82">
        <f>SUMIFS('0910 4度C'!$I:$I,'0910 4度C'!$A:$A,"新豐2線",'0910 4度C'!$B:$B,"平均")</f>
        <v>18</v>
      </c>
      <c r="F18" s="82">
        <f>SUMIFS('0910 4度C'!$I:$I,'0910 4度C'!$A:$A,"新豐5線",'0910 4度C'!$B:$B,"平均")</f>
        <v>19.5</v>
      </c>
      <c r="G18" s="82">
        <f>SUMIFS('0910 4度C'!$I:$I,'0910 4度C'!$A:$A,"新豐7線",'0910 4度C'!$B:$B,"平均")</f>
        <v>16.600000000000001</v>
      </c>
      <c r="H18" s="82">
        <f>SUMIFS('0910 4度C'!$I:$I,'0910 4度C'!$A:$A,"新豐3線",'0910 4度C'!$B:$B,"平均")</f>
        <v>9.7142857142857135</v>
      </c>
      <c r="I18" s="82">
        <f>SUMIFS('0910 4度C'!$I:$I,'0910 4度C'!$A:$A,"新豐1線",'0910 4度C'!$B:$B,"平均")</f>
        <v>16.333333333333332</v>
      </c>
      <c r="J18" s="83">
        <f>SUMIFS('0910 4度C'!$I:$I,'0910 4度C'!$A:$A,"新豐10線",'0910 4度C'!$B:$B,"平均")</f>
        <v>11.333333333333334</v>
      </c>
      <c r="K18" s="81">
        <f>SUMIFS('0910 4度C'!$I:$I,'0910 4度C'!$A:$A,"新豐8線",'0910 4度C'!$B:$B,"平均")</f>
        <v>18.125</v>
      </c>
      <c r="L18" s="82">
        <f>SUMIFS('0910 4度C'!$I:$I,'0910 4度C'!$A:$A,"新豐9線",'0910 4度C'!$B:$B,"平均")</f>
        <v>18.399999999999999</v>
      </c>
      <c r="M18" s="83">
        <f>SUMIFS('0910 4度C'!$I:$I,'0910 4度C'!$A:$A,"新豐4線",'0910 4度C'!$B:$B,"平均")</f>
        <v>16.571428571428573</v>
      </c>
    </row>
    <row r="19" spans="2:13" ht="17.25" customHeight="1">
      <c r="B19" s="510" t="s">
        <v>562</v>
      </c>
      <c r="C19" s="511"/>
      <c r="D19" s="84" t="s">
        <v>148</v>
      </c>
      <c r="E19" s="85" t="s">
        <v>149</v>
      </c>
      <c r="F19" s="85" t="s">
        <v>150</v>
      </c>
      <c r="G19" s="85" t="s">
        <v>755</v>
      </c>
      <c r="H19" s="85" t="s">
        <v>151</v>
      </c>
      <c r="I19" s="85" t="s">
        <v>148</v>
      </c>
      <c r="J19" s="86" t="s">
        <v>151</v>
      </c>
      <c r="K19" s="84" t="s">
        <v>152</v>
      </c>
      <c r="L19" s="85" t="s">
        <v>152</v>
      </c>
      <c r="M19" s="86" t="s">
        <v>152</v>
      </c>
    </row>
    <row r="20" spans="2:13" ht="17.25" customHeight="1">
      <c r="B20" s="510" t="s">
        <v>153</v>
      </c>
      <c r="C20" s="511"/>
      <c r="D20" s="84"/>
      <c r="E20" s="85"/>
      <c r="F20" s="85" t="s">
        <v>754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201</v>
      </c>
      <c r="C21" s="513"/>
      <c r="D21" s="87"/>
      <c r="E21" s="88" t="s">
        <v>202</v>
      </c>
      <c r="F21" s="387" t="s">
        <v>203</v>
      </c>
      <c r="G21" s="388"/>
      <c r="H21" s="88" t="s">
        <v>158</v>
      </c>
      <c r="I21" s="88" t="s">
        <v>753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K10:M10"/>
    <mergeCell ref="B11:C12"/>
    <mergeCell ref="B13:B15"/>
    <mergeCell ref="B18:C18"/>
    <mergeCell ref="B19:C19"/>
    <mergeCell ref="B16:B17"/>
    <mergeCell ref="B10:C10"/>
    <mergeCell ref="B21:C21"/>
    <mergeCell ref="F21:G21"/>
    <mergeCell ref="D10:J10"/>
    <mergeCell ref="B20:C2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I5:J5"/>
    <mergeCell ref="C6:D6"/>
    <mergeCell ref="C8:D8"/>
    <mergeCell ref="E8:F8"/>
    <mergeCell ref="G8:H8"/>
    <mergeCell ref="I8:J8"/>
    <mergeCell ref="E5:F5"/>
    <mergeCell ref="G5:H5"/>
    <mergeCell ref="I6:J6"/>
    <mergeCell ref="C7:D7"/>
    <mergeCell ref="E7:F7"/>
    <mergeCell ref="G7:H7"/>
    <mergeCell ref="I7:J7"/>
    <mergeCell ref="E6:F6"/>
    <mergeCell ref="G6:H6"/>
  </mergeCells>
  <phoneticPr fontId="3" type="noConversion"/>
  <conditionalFormatting sqref="D15:M15">
    <cfRule type="cellIs" dxfId="52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pageSetUpPr fitToPage="1"/>
  </sheetPr>
  <dimension ref="A1:AC78"/>
  <sheetViews>
    <sheetView zoomScale="80" zoomScaleNormal="80" workbookViewId="0">
      <pane ySplit="4" topLeftCell="A59" activePane="bottomLeft" state="frozen"/>
      <selection activeCell="AO33" activeCellId="2" sqref="AO26 AO28:AO31 AO33:AO3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852</v>
      </c>
      <c r="B1" s="1"/>
      <c r="C1" s="2" t="s">
        <v>1</v>
      </c>
      <c r="D1" s="3">
        <f>SUM(F5:F77)</f>
        <v>175592</v>
      </c>
      <c r="E1" s="197" t="s">
        <v>795</v>
      </c>
      <c r="F1" s="1">
        <f>SUM(G5:G77)</f>
        <v>5803938.3200000012</v>
      </c>
      <c r="G1" s="1" t="s">
        <v>749</v>
      </c>
      <c r="H1" s="106">
        <f>L8+L13+L44+L55+L18+L62+L77+L33+L24+L69</f>
        <v>160.57738095238096</v>
      </c>
      <c r="I1" s="482" t="s">
        <v>794</v>
      </c>
      <c r="J1" s="482"/>
      <c r="K1" s="482"/>
      <c r="L1" s="482" t="s">
        <v>793</v>
      </c>
      <c r="M1" s="482"/>
      <c r="N1" s="482"/>
      <c r="O1" s="482" t="s">
        <v>6</v>
      </c>
      <c r="P1" s="482"/>
      <c r="Q1" s="482"/>
      <c r="R1" s="482"/>
      <c r="S1" s="482" t="s">
        <v>792</v>
      </c>
      <c r="T1" s="482"/>
      <c r="U1" s="482"/>
      <c r="V1" s="482"/>
      <c r="W1" s="482"/>
      <c r="X1" s="482"/>
      <c r="Y1" s="482" t="s">
        <v>744</v>
      </c>
      <c r="Z1" s="482"/>
      <c r="AA1" s="482" t="s">
        <v>791</v>
      </c>
      <c r="AB1" s="483"/>
      <c r="AC1" s="483"/>
    </row>
    <row r="2" spans="1:29" ht="26.25" customHeight="1">
      <c r="A2" s="24">
        <v>45910</v>
      </c>
      <c r="B2" s="25" t="s">
        <v>237</v>
      </c>
      <c r="C2" s="2" t="s">
        <v>733</v>
      </c>
      <c r="D2" s="6">
        <f>AVERAGE(N8,N13,N55,N62,N18,N69,N24,N33,N44,N77)</f>
        <v>139.77694950271459</v>
      </c>
      <c r="E2" s="7" t="s">
        <v>11</v>
      </c>
      <c r="F2" s="8">
        <f>F1/D1</f>
        <v>33.053546403025202</v>
      </c>
      <c r="G2" s="1" t="s">
        <v>790</v>
      </c>
      <c r="H2" s="344">
        <f>COUNT(H5:H77)</f>
        <v>13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789</v>
      </c>
      <c r="B3" s="443" t="s">
        <v>740</v>
      </c>
      <c r="C3" s="443" t="s">
        <v>739</v>
      </c>
      <c r="D3" s="443"/>
      <c r="E3" s="484" t="s">
        <v>738</v>
      </c>
      <c r="F3" s="443" t="s">
        <v>788</v>
      </c>
      <c r="G3" s="484" t="s">
        <v>787</v>
      </c>
      <c r="H3" s="487" t="s">
        <v>19</v>
      </c>
      <c r="I3" s="474" t="s">
        <v>734</v>
      </c>
      <c r="J3" s="479" t="s">
        <v>21</v>
      </c>
      <c r="K3" s="481" t="s">
        <v>786</v>
      </c>
      <c r="L3" s="474" t="s">
        <v>785</v>
      </c>
      <c r="M3" s="479" t="s">
        <v>784</v>
      </c>
      <c r="N3" s="481" t="s">
        <v>783</v>
      </c>
      <c r="O3" s="474" t="s">
        <v>782</v>
      </c>
      <c r="P3" s="481" t="s">
        <v>733</v>
      </c>
      <c r="Q3" s="480" t="s">
        <v>728</v>
      </c>
      <c r="R3" s="451" t="s">
        <v>727</v>
      </c>
      <c r="S3" s="486" t="s">
        <v>25</v>
      </c>
      <c r="T3" s="486"/>
      <c r="U3" s="476" t="s">
        <v>26</v>
      </c>
      <c r="V3" s="476" t="s">
        <v>732</v>
      </c>
      <c r="W3" s="443" t="s">
        <v>781</v>
      </c>
      <c r="X3" s="443"/>
      <c r="Y3" s="477" t="s">
        <v>29</v>
      </c>
      <c r="Z3" s="478"/>
      <c r="AA3" s="479" t="s">
        <v>780</v>
      </c>
      <c r="AB3" s="480" t="s">
        <v>728</v>
      </c>
      <c r="AC3" s="451" t="s">
        <v>779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07" t="s">
        <v>31</v>
      </c>
      <c r="T4" s="207" t="s">
        <v>32</v>
      </c>
      <c r="U4" s="476"/>
      <c r="V4" s="476"/>
      <c r="W4" s="197" t="s">
        <v>778</v>
      </c>
      <c r="X4" s="197" t="s">
        <v>777</v>
      </c>
      <c r="Y4" s="478"/>
      <c r="Z4" s="478"/>
      <c r="AA4" s="479"/>
      <c r="AB4" s="480"/>
      <c r="AC4" s="451"/>
    </row>
    <row r="5" spans="1:29">
      <c r="A5" s="473" t="s">
        <v>35</v>
      </c>
      <c r="B5" s="31" t="s">
        <v>58</v>
      </c>
      <c r="C5" s="475" t="s">
        <v>104</v>
      </c>
      <c r="D5" s="475"/>
      <c r="E5" s="31">
        <v>46.93</v>
      </c>
      <c r="F5" s="207">
        <v>880</v>
      </c>
      <c r="G5" s="197">
        <f>E5*F5</f>
        <v>41298.400000000001</v>
      </c>
      <c r="H5" s="206" t="s">
        <v>103</v>
      </c>
      <c r="I5" s="205">
        <v>16</v>
      </c>
      <c r="J5" s="26">
        <v>2000</v>
      </c>
      <c r="K5" s="10">
        <f t="shared" ref="K5:K44" si="0">J5/I5</f>
        <v>125</v>
      </c>
      <c r="L5" s="205">
        <v>16</v>
      </c>
      <c r="M5" s="11">
        <f>F5/V5*60</f>
        <v>1885.7142857142817</v>
      </c>
      <c r="N5" s="10">
        <f t="shared" ref="N5:N36" si="1">M5/L5</f>
        <v>117.85714285714261</v>
      </c>
      <c r="O5" s="12">
        <f t="shared" ref="O5:O44" si="2">L5-I5</f>
        <v>0</v>
      </c>
      <c r="P5" s="13">
        <f t="shared" ref="P5:P36" si="3">N5-K5</f>
        <v>-7.1428571428573946</v>
      </c>
      <c r="Q5" s="196">
        <f t="shared" ref="Q5:Q36" si="4">N5/K5</f>
        <v>0.94285714285714084</v>
      </c>
      <c r="R5" s="442">
        <f>Q8</f>
        <v>0.94558258126054728</v>
      </c>
      <c r="S5" s="28">
        <v>0.70833333333333337</v>
      </c>
      <c r="T5" s="28">
        <v>0.72777777777777786</v>
      </c>
      <c r="U5" s="197"/>
      <c r="V5" s="204">
        <f>(T5-S5)*24*60</f>
        <v>28.00000000000006</v>
      </c>
      <c r="W5" s="16"/>
      <c r="X5" s="17"/>
      <c r="Y5" s="443"/>
      <c r="Z5" s="443"/>
      <c r="AA5" s="12">
        <f t="shared" ref="AA5:AA44" si="5">M5-J5</f>
        <v>-114.28571428571831</v>
      </c>
      <c r="AB5" s="196">
        <f t="shared" ref="AB5:AB36" si="6">M5/J5</f>
        <v>0.94285714285714084</v>
      </c>
      <c r="AC5" s="442">
        <f>AB8</f>
        <v>0.94558258126054728</v>
      </c>
    </row>
    <row r="6" spans="1:29">
      <c r="A6" s="474" t="s">
        <v>35</v>
      </c>
      <c r="B6" s="31" t="s">
        <v>58</v>
      </c>
      <c r="C6" s="475" t="s">
        <v>105</v>
      </c>
      <c r="D6" s="475"/>
      <c r="E6" s="31">
        <v>50.49</v>
      </c>
      <c r="F6" s="207">
        <v>2087</v>
      </c>
      <c r="G6" s="197">
        <f>E6*F6</f>
        <v>105372.63</v>
      </c>
      <c r="H6" s="206" t="s">
        <v>103</v>
      </c>
      <c r="I6" s="205">
        <v>15</v>
      </c>
      <c r="J6" s="26">
        <v>2000</v>
      </c>
      <c r="K6" s="10">
        <f t="shared" si="0"/>
        <v>133.33333333333334</v>
      </c>
      <c r="L6" s="205">
        <v>15</v>
      </c>
      <c r="M6" s="11">
        <f>F6/V6*60</f>
        <v>1897.2727272727293</v>
      </c>
      <c r="N6" s="10">
        <f t="shared" si="1"/>
        <v>126.48484848484863</v>
      </c>
      <c r="O6" s="12">
        <f t="shared" si="2"/>
        <v>0</v>
      </c>
      <c r="P6" s="13">
        <f t="shared" si="3"/>
        <v>-6.8484848484847163</v>
      </c>
      <c r="Q6" s="196">
        <f t="shared" si="4"/>
        <v>0.94863636363636461</v>
      </c>
      <c r="R6" s="442"/>
      <c r="S6" s="28">
        <v>0.73263888888888895</v>
      </c>
      <c r="T6" s="28">
        <v>0.77847222222222223</v>
      </c>
      <c r="U6" s="197">
        <f>(S6-T5)*24*60</f>
        <v>6.9999999999999751</v>
      </c>
      <c r="V6" s="204">
        <f>(T6-S6)*24*60</f>
        <v>65.999999999999929</v>
      </c>
      <c r="W6" s="16"/>
      <c r="X6" s="16"/>
      <c r="Y6" s="443"/>
      <c r="Z6" s="443"/>
      <c r="AA6" s="12">
        <f t="shared" si="5"/>
        <v>-102.7272727272707</v>
      </c>
      <c r="AB6" s="196">
        <f t="shared" si="6"/>
        <v>0.94863636363636461</v>
      </c>
      <c r="AC6" s="442"/>
    </row>
    <row r="7" spans="1:29">
      <c r="A7" s="474" t="s">
        <v>35</v>
      </c>
      <c r="B7" s="31" t="s">
        <v>58</v>
      </c>
      <c r="C7" s="471" t="s">
        <v>106</v>
      </c>
      <c r="D7" s="472"/>
      <c r="E7" s="31">
        <v>50.67</v>
      </c>
      <c r="F7" s="207">
        <v>1859</v>
      </c>
      <c r="G7" s="197">
        <f>E7*F7</f>
        <v>94195.53</v>
      </c>
      <c r="H7" s="206" t="s">
        <v>103</v>
      </c>
      <c r="I7" s="205">
        <v>17</v>
      </c>
      <c r="J7" s="26">
        <v>2000</v>
      </c>
      <c r="K7" s="10">
        <f t="shared" si="0"/>
        <v>117.64705882352941</v>
      </c>
      <c r="L7" s="205">
        <v>17</v>
      </c>
      <c r="M7" s="11">
        <f>F7/V7*60</f>
        <v>1890.5084745762726</v>
      </c>
      <c r="N7" s="10">
        <f t="shared" si="1"/>
        <v>111.2063808574278</v>
      </c>
      <c r="O7" s="12">
        <f t="shared" si="2"/>
        <v>0</v>
      </c>
      <c r="P7" s="13">
        <f t="shared" si="3"/>
        <v>-6.4406779661016031</v>
      </c>
      <c r="Q7" s="196">
        <f t="shared" si="4"/>
        <v>0.9452542372881364</v>
      </c>
      <c r="R7" s="442"/>
      <c r="S7" s="28">
        <v>0.78333333333333333</v>
      </c>
      <c r="T7" s="28">
        <v>0.82430555555555551</v>
      </c>
      <c r="U7" s="197">
        <f>(S7-T6)*24*60</f>
        <v>6.9999999999999751</v>
      </c>
      <c r="V7" s="204">
        <f>(T7-S7)*24*60</f>
        <v>58.99999999999995</v>
      </c>
      <c r="W7" s="16"/>
      <c r="X7" s="16"/>
      <c r="Y7" s="447"/>
      <c r="Z7" s="448"/>
      <c r="AA7" s="12">
        <f t="shared" si="5"/>
        <v>-109.49152542372735</v>
      </c>
      <c r="AB7" s="196">
        <f t="shared" si="6"/>
        <v>0.94525423728813629</v>
      </c>
      <c r="AC7" s="442"/>
    </row>
    <row r="8" spans="1:29">
      <c r="A8" s="474" t="s">
        <v>776</v>
      </c>
      <c r="B8" s="31" t="s">
        <v>775</v>
      </c>
      <c r="C8" s="446"/>
      <c r="D8" s="446"/>
      <c r="E8" s="200"/>
      <c r="F8" s="33"/>
      <c r="G8" s="10"/>
      <c r="H8" s="207"/>
      <c r="I8" s="19">
        <v>16</v>
      </c>
      <c r="J8" s="26">
        <v>2000</v>
      </c>
      <c r="K8" s="10">
        <f t="shared" si="0"/>
        <v>125</v>
      </c>
      <c r="L8" s="19">
        <v>16</v>
      </c>
      <c r="M8" s="11">
        <f>AVERAGE(M5:M7)</f>
        <v>1891.1651625210945</v>
      </c>
      <c r="N8" s="10">
        <f t="shared" si="1"/>
        <v>118.19782265756841</v>
      </c>
      <c r="O8" s="12">
        <f t="shared" si="2"/>
        <v>0</v>
      </c>
      <c r="P8" s="13">
        <f t="shared" si="3"/>
        <v>-6.802177342431591</v>
      </c>
      <c r="Q8" s="196">
        <f t="shared" si="4"/>
        <v>0.94558258126054728</v>
      </c>
      <c r="R8" s="442"/>
      <c r="S8" s="28"/>
      <c r="T8" s="28"/>
      <c r="U8" s="197"/>
      <c r="V8" s="204"/>
      <c r="W8" s="10"/>
      <c r="X8" s="10"/>
      <c r="Y8" s="443"/>
      <c r="Z8" s="443"/>
      <c r="AA8" s="12">
        <f t="shared" si="5"/>
        <v>-108.83483747890546</v>
      </c>
      <c r="AB8" s="196">
        <f t="shared" si="6"/>
        <v>0.94558258126054728</v>
      </c>
      <c r="AC8" s="442"/>
    </row>
    <row r="9" spans="1:29" ht="15.75" customHeight="1">
      <c r="A9" s="439" t="s">
        <v>774</v>
      </c>
      <c r="B9" s="31" t="s">
        <v>53</v>
      </c>
      <c r="C9" s="471" t="s">
        <v>107</v>
      </c>
      <c r="D9" s="472"/>
      <c r="E9" s="31">
        <v>39.619999999999997</v>
      </c>
      <c r="F9" s="207">
        <v>4905</v>
      </c>
      <c r="G9" s="197">
        <f>E9*F9</f>
        <v>194336.09999999998</v>
      </c>
      <c r="H9" s="206" t="s">
        <v>103</v>
      </c>
      <c r="I9" s="205">
        <v>19</v>
      </c>
      <c r="J9" s="26">
        <v>1500</v>
      </c>
      <c r="K9" s="10">
        <f t="shared" si="0"/>
        <v>78.94736842105263</v>
      </c>
      <c r="L9" s="205">
        <v>19</v>
      </c>
      <c r="M9" s="11">
        <f>F9/V9*60</f>
        <v>1414.9038461538457</v>
      </c>
      <c r="N9" s="10">
        <f t="shared" si="1"/>
        <v>74.46862348178135</v>
      </c>
      <c r="O9" s="12">
        <f t="shared" si="2"/>
        <v>0</v>
      </c>
      <c r="P9" s="13">
        <f t="shared" si="3"/>
        <v>-4.4787449392712801</v>
      </c>
      <c r="Q9" s="196">
        <f t="shared" si="4"/>
        <v>0.94326923076923042</v>
      </c>
      <c r="R9" s="442">
        <f>Q13</f>
        <v>0.9452027383151963</v>
      </c>
      <c r="S9" s="28">
        <v>0.125</v>
      </c>
      <c r="T9" s="28">
        <v>0.26944444444444449</v>
      </c>
      <c r="U9" s="197"/>
      <c r="V9" s="204">
        <f>(T9-S9)*24*60</f>
        <v>208.00000000000006</v>
      </c>
      <c r="W9" s="16">
        <f>T9</f>
        <v>0.26944444444444449</v>
      </c>
      <c r="X9" s="16">
        <f>S10</f>
        <v>0.28888888888888892</v>
      </c>
      <c r="Y9" s="443"/>
      <c r="Z9" s="443"/>
      <c r="AA9" s="12">
        <f t="shared" si="5"/>
        <v>-85.096153846154266</v>
      </c>
      <c r="AB9" s="196">
        <f t="shared" si="6"/>
        <v>0.94326923076923053</v>
      </c>
      <c r="AC9" s="442">
        <f>AB13</f>
        <v>0.9452027383151963</v>
      </c>
    </row>
    <row r="10" spans="1:29" ht="15.75" customHeight="1">
      <c r="A10" s="439" t="s">
        <v>772</v>
      </c>
      <c r="B10" s="31" t="s">
        <v>53</v>
      </c>
      <c r="C10" s="471" t="s">
        <v>54</v>
      </c>
      <c r="D10" s="472"/>
      <c r="E10" s="31">
        <v>39.799999999999997</v>
      </c>
      <c r="F10" s="207">
        <v>4000</v>
      </c>
      <c r="G10" s="197">
        <f>E10*F10</f>
        <v>159200</v>
      </c>
      <c r="H10" s="206">
        <v>2</v>
      </c>
      <c r="I10" s="205">
        <v>17</v>
      </c>
      <c r="J10" s="26">
        <v>1500</v>
      </c>
      <c r="K10" s="10">
        <f t="shared" si="0"/>
        <v>88.235294117647058</v>
      </c>
      <c r="L10" s="205">
        <v>17</v>
      </c>
      <c r="M10" s="11">
        <f>F10/V10*60</f>
        <v>1420.1183431952661</v>
      </c>
      <c r="N10" s="10">
        <f t="shared" si="1"/>
        <v>83.536373129133295</v>
      </c>
      <c r="O10" s="12">
        <f t="shared" si="2"/>
        <v>0</v>
      </c>
      <c r="P10" s="13">
        <f t="shared" si="3"/>
        <v>-4.6989209885137626</v>
      </c>
      <c r="Q10" s="196">
        <f t="shared" si="4"/>
        <v>0.94674556213017735</v>
      </c>
      <c r="R10" s="442"/>
      <c r="S10" s="28">
        <v>0.28888888888888892</v>
      </c>
      <c r="T10" s="28">
        <v>0.40625000000000006</v>
      </c>
      <c r="U10" s="197">
        <f>(S10-T9)*24*60</f>
        <v>27.999999999999979</v>
      </c>
      <c r="V10" s="204">
        <f>(T10-S10)*24*60</f>
        <v>169.00000000000003</v>
      </c>
      <c r="W10" s="16"/>
      <c r="X10" s="16"/>
      <c r="Y10" s="443"/>
      <c r="Z10" s="443"/>
      <c r="AA10" s="12">
        <f t="shared" si="5"/>
        <v>-79.881656804733893</v>
      </c>
      <c r="AB10" s="196">
        <f t="shared" si="6"/>
        <v>0.94674556213017735</v>
      </c>
      <c r="AC10" s="442"/>
    </row>
    <row r="11" spans="1:29" ht="15.75" customHeight="1">
      <c r="A11" s="439" t="s">
        <v>773</v>
      </c>
      <c r="B11" s="31" t="s">
        <v>53</v>
      </c>
      <c r="C11" s="471" t="s">
        <v>55</v>
      </c>
      <c r="D11" s="472"/>
      <c r="E11" s="31">
        <v>39.29</v>
      </c>
      <c r="F11" s="207">
        <v>3805</v>
      </c>
      <c r="G11" s="197">
        <f>E11*F11</f>
        <v>149498.44999999998</v>
      </c>
      <c r="H11" s="206" t="s">
        <v>103</v>
      </c>
      <c r="I11" s="205">
        <v>19</v>
      </c>
      <c r="J11" s="26">
        <v>1500</v>
      </c>
      <c r="K11" s="10">
        <f t="shared" si="0"/>
        <v>78.94736842105263</v>
      </c>
      <c r="L11" s="205">
        <v>19</v>
      </c>
      <c r="M11" s="11">
        <f>F11/V11*60</f>
        <v>1418.0124223602484</v>
      </c>
      <c r="N11" s="10">
        <f t="shared" si="1"/>
        <v>74.632232755802548</v>
      </c>
      <c r="O11" s="12">
        <f t="shared" si="2"/>
        <v>0</v>
      </c>
      <c r="P11" s="13">
        <f t="shared" si="3"/>
        <v>-4.3151356652500823</v>
      </c>
      <c r="Q11" s="196">
        <f t="shared" si="4"/>
        <v>0.94534161490683233</v>
      </c>
      <c r="R11" s="442"/>
      <c r="S11" s="28">
        <v>0.41041666666666671</v>
      </c>
      <c r="T11" s="28">
        <v>0.52222222222222225</v>
      </c>
      <c r="U11" s="197">
        <f>(S11-T10)*24*60</f>
        <v>5.9999999999999787</v>
      </c>
      <c r="V11" s="204">
        <f>(T11-S11)*24*60</f>
        <v>161</v>
      </c>
      <c r="W11" s="16">
        <f>T11</f>
        <v>0.52222222222222225</v>
      </c>
      <c r="X11" s="16">
        <f>S12</f>
        <v>0.5625</v>
      </c>
      <c r="Y11" s="443"/>
      <c r="Z11" s="443"/>
      <c r="AA11" s="12">
        <f t="shared" si="5"/>
        <v>-81.987577639751635</v>
      </c>
      <c r="AB11" s="196">
        <f t="shared" si="6"/>
        <v>0.94534161490683222</v>
      </c>
      <c r="AC11" s="442"/>
    </row>
    <row r="12" spans="1:29" ht="15.75" customHeight="1">
      <c r="A12" s="439" t="s">
        <v>772</v>
      </c>
      <c r="B12" s="31" t="s">
        <v>53</v>
      </c>
      <c r="C12" s="471" t="s">
        <v>54</v>
      </c>
      <c r="D12" s="472"/>
      <c r="E12" s="31">
        <v>39.799999999999997</v>
      </c>
      <c r="F12" s="207">
        <v>2860</v>
      </c>
      <c r="G12" s="197">
        <f>E12*F12</f>
        <v>113827.99999999999</v>
      </c>
      <c r="H12" s="206" t="s">
        <v>103</v>
      </c>
      <c r="I12" s="205">
        <v>17</v>
      </c>
      <c r="J12" s="26">
        <v>1500</v>
      </c>
      <c r="K12" s="10">
        <f t="shared" si="0"/>
        <v>88.235294117647058</v>
      </c>
      <c r="L12" s="205">
        <v>17</v>
      </c>
      <c r="M12" s="11">
        <f>F12/V12*60</f>
        <v>1418.1818181818176</v>
      </c>
      <c r="N12" s="10">
        <f t="shared" si="1"/>
        <v>83.422459893048085</v>
      </c>
      <c r="O12" s="12">
        <f t="shared" si="2"/>
        <v>0</v>
      </c>
      <c r="P12" s="13">
        <f t="shared" si="3"/>
        <v>-4.8128342245989728</v>
      </c>
      <c r="Q12" s="196">
        <f t="shared" si="4"/>
        <v>0.94545454545454499</v>
      </c>
      <c r="R12" s="442"/>
      <c r="S12" s="28">
        <v>0.5625</v>
      </c>
      <c r="T12" s="28">
        <v>0.64652777777777781</v>
      </c>
      <c r="U12" s="197">
        <f>(S12-T11)*24*60</f>
        <v>57.999999999999957</v>
      </c>
      <c r="V12" s="204">
        <f>(T12-S12)*24*60</f>
        <v>121.00000000000006</v>
      </c>
      <c r="W12" s="16"/>
      <c r="X12" s="16"/>
      <c r="Y12" s="443"/>
      <c r="Z12" s="443"/>
      <c r="AA12" s="12">
        <f t="shared" si="5"/>
        <v>-81.818181818182438</v>
      </c>
      <c r="AB12" s="196">
        <f t="shared" si="6"/>
        <v>0.94545454545454499</v>
      </c>
      <c r="AC12" s="442"/>
    </row>
    <row r="13" spans="1:29" ht="16.5" customHeight="1">
      <c r="A13" s="439" t="s">
        <v>37</v>
      </c>
      <c r="B13" s="31" t="s">
        <v>39</v>
      </c>
      <c r="C13" s="446"/>
      <c r="D13" s="446"/>
      <c r="E13" s="200"/>
      <c r="F13" s="26"/>
      <c r="G13" s="11"/>
      <c r="H13" s="207"/>
      <c r="I13" s="19">
        <v>18</v>
      </c>
      <c r="J13" s="26">
        <v>1500</v>
      </c>
      <c r="K13" s="10">
        <f t="shared" si="0"/>
        <v>83.333333333333329</v>
      </c>
      <c r="L13" s="19">
        <v>18</v>
      </c>
      <c r="M13" s="11">
        <f>AVERAGE(M9:M12)</f>
        <v>1417.8041074727944</v>
      </c>
      <c r="N13" s="10">
        <f t="shared" si="1"/>
        <v>78.766894859599688</v>
      </c>
      <c r="O13" s="12">
        <f t="shared" si="2"/>
        <v>0</v>
      </c>
      <c r="P13" s="13">
        <f t="shared" si="3"/>
        <v>-4.5664384737336405</v>
      </c>
      <c r="Q13" s="196">
        <f t="shared" si="4"/>
        <v>0.9452027383151963</v>
      </c>
      <c r="R13" s="442"/>
      <c r="S13" s="28"/>
      <c r="T13" s="28"/>
      <c r="U13" s="10"/>
      <c r="V13" s="204"/>
      <c r="W13" s="10"/>
      <c r="X13" s="10"/>
      <c r="Y13" s="443"/>
      <c r="Z13" s="443"/>
      <c r="AA13" s="12">
        <f t="shared" si="5"/>
        <v>-82.195892527205615</v>
      </c>
      <c r="AB13" s="196">
        <f t="shared" si="6"/>
        <v>0.9452027383151963</v>
      </c>
      <c r="AC13" s="442"/>
    </row>
    <row r="14" spans="1:29" ht="16.5" customHeight="1">
      <c r="A14" s="469" t="s">
        <v>40</v>
      </c>
      <c r="B14" s="207" t="s">
        <v>56</v>
      </c>
      <c r="C14" s="464" t="s">
        <v>57</v>
      </c>
      <c r="D14" s="464"/>
      <c r="E14" s="31">
        <v>41</v>
      </c>
      <c r="F14" s="207">
        <v>1789</v>
      </c>
      <c r="G14" s="197">
        <f>E14*F14</f>
        <v>73349</v>
      </c>
      <c r="H14" s="206" t="s">
        <v>103</v>
      </c>
      <c r="I14" s="205">
        <v>26</v>
      </c>
      <c r="J14" s="26">
        <v>1500</v>
      </c>
      <c r="K14" s="10">
        <f t="shared" si="0"/>
        <v>57.692307692307693</v>
      </c>
      <c r="L14" s="205">
        <v>26</v>
      </c>
      <c r="M14" s="11">
        <f>F14/V14*60</f>
        <v>1412.3684210526312</v>
      </c>
      <c r="N14" s="10">
        <f t="shared" si="1"/>
        <v>54.321862348178122</v>
      </c>
      <c r="O14" s="12">
        <f t="shared" si="2"/>
        <v>0</v>
      </c>
      <c r="P14" s="13">
        <f t="shared" si="3"/>
        <v>-3.3704453441295712</v>
      </c>
      <c r="Q14" s="196">
        <f t="shared" si="4"/>
        <v>0.94157894736842074</v>
      </c>
      <c r="R14" s="442">
        <f>Q18</f>
        <v>0.94790924204922233</v>
      </c>
      <c r="S14" s="28">
        <v>0.20833333333333334</v>
      </c>
      <c r="T14" s="28">
        <v>0.26111111111111113</v>
      </c>
      <c r="U14" s="197"/>
      <c r="V14" s="204">
        <f>(T14-S14)*24*60</f>
        <v>76.000000000000014</v>
      </c>
      <c r="W14" s="18"/>
      <c r="X14" s="18"/>
      <c r="Y14" s="443"/>
      <c r="Z14" s="443"/>
      <c r="AA14" s="12">
        <f t="shared" si="5"/>
        <v>-87.63157894736878</v>
      </c>
      <c r="AB14" s="196">
        <f t="shared" si="6"/>
        <v>0.94157894736842085</v>
      </c>
      <c r="AC14" s="442">
        <f>AB18</f>
        <v>0.94790924204922233</v>
      </c>
    </row>
    <row r="15" spans="1:29" ht="16.5" customHeight="1">
      <c r="A15" s="470" t="s">
        <v>40</v>
      </c>
      <c r="B15" s="207" t="s">
        <v>53</v>
      </c>
      <c r="C15" s="464" t="s">
        <v>163</v>
      </c>
      <c r="D15" s="464"/>
      <c r="E15" s="31">
        <v>39.36</v>
      </c>
      <c r="F15" s="207">
        <v>4728</v>
      </c>
      <c r="G15" s="197">
        <f>E15*F15</f>
        <v>186094.07999999999</v>
      </c>
      <c r="H15" s="206" t="s">
        <v>103</v>
      </c>
      <c r="I15" s="205">
        <v>20</v>
      </c>
      <c r="J15" s="26">
        <v>1500</v>
      </c>
      <c r="K15" s="10">
        <f t="shared" si="0"/>
        <v>75</v>
      </c>
      <c r="L15" s="205">
        <v>20</v>
      </c>
      <c r="M15" s="11">
        <f>F15/V15*60</f>
        <v>1418.4</v>
      </c>
      <c r="N15" s="10">
        <f t="shared" si="1"/>
        <v>70.92</v>
      </c>
      <c r="O15" s="12">
        <f t="shared" si="2"/>
        <v>0</v>
      </c>
      <c r="P15" s="13">
        <f t="shared" si="3"/>
        <v>-4.0799999999999983</v>
      </c>
      <c r="Q15" s="196">
        <f t="shared" si="4"/>
        <v>0.9456</v>
      </c>
      <c r="R15" s="442"/>
      <c r="S15" s="28">
        <v>0.26597222222222222</v>
      </c>
      <c r="T15" s="28">
        <v>0.40486111111111112</v>
      </c>
      <c r="U15" s="197">
        <f>IF(S15=TIME(17,0,0),"",(S15-T14)*24*60)</f>
        <v>6.9999999999999751</v>
      </c>
      <c r="V15" s="204">
        <f>(T15-S15)*24*60</f>
        <v>200</v>
      </c>
      <c r="W15" s="16"/>
      <c r="X15" s="16"/>
      <c r="Y15" s="443"/>
      <c r="Z15" s="443"/>
      <c r="AA15" s="12">
        <f t="shared" si="5"/>
        <v>-81.599999999999909</v>
      </c>
      <c r="AB15" s="196">
        <f t="shared" si="6"/>
        <v>0.94560000000000011</v>
      </c>
      <c r="AC15" s="442"/>
    </row>
    <row r="16" spans="1:29" ht="16.5" customHeight="1">
      <c r="A16" s="470" t="s">
        <v>771</v>
      </c>
      <c r="B16" s="207" t="s">
        <v>58</v>
      </c>
      <c r="C16" s="464" t="s">
        <v>59</v>
      </c>
      <c r="D16" s="464"/>
      <c r="E16" s="31">
        <v>50.98</v>
      </c>
      <c r="F16" s="207">
        <v>2664</v>
      </c>
      <c r="G16" s="197">
        <f>E16*F16</f>
        <v>135810.72</v>
      </c>
      <c r="H16" s="206" t="s">
        <v>103</v>
      </c>
      <c r="I16" s="205">
        <v>16</v>
      </c>
      <c r="J16" s="26">
        <v>2000</v>
      </c>
      <c r="K16" s="10">
        <f t="shared" si="0"/>
        <v>125</v>
      </c>
      <c r="L16" s="205">
        <v>16</v>
      </c>
      <c r="M16" s="11">
        <f>F16/V16*60</f>
        <v>1902.8571428571422</v>
      </c>
      <c r="N16" s="10">
        <f t="shared" si="1"/>
        <v>118.92857142857139</v>
      </c>
      <c r="O16" s="12">
        <f t="shared" si="2"/>
        <v>0</v>
      </c>
      <c r="P16" s="13">
        <f t="shared" si="3"/>
        <v>-6.071428571428612</v>
      </c>
      <c r="Q16" s="196">
        <f t="shared" si="4"/>
        <v>0.95142857142857107</v>
      </c>
      <c r="R16" s="442"/>
      <c r="S16" s="28">
        <v>0.70833333333333337</v>
      </c>
      <c r="T16" s="28">
        <v>0.76666666666666672</v>
      </c>
      <c r="U16" s="197" t="str">
        <f>IF(S16=TIME(17,0,0),"",(S16-T15)*24*60)</f>
        <v/>
      </c>
      <c r="V16" s="204">
        <f>(T16-S16)*24*60</f>
        <v>84.000000000000028</v>
      </c>
      <c r="W16" s="16"/>
      <c r="X16" s="16"/>
      <c r="Y16" s="443"/>
      <c r="Z16" s="443"/>
      <c r="AA16" s="12">
        <f t="shared" si="5"/>
        <v>-97.142857142857792</v>
      </c>
      <c r="AB16" s="196">
        <f t="shared" si="6"/>
        <v>0.95142857142857107</v>
      </c>
      <c r="AC16" s="442"/>
    </row>
    <row r="17" spans="1:29" ht="16.5" customHeight="1">
      <c r="A17" s="470" t="s">
        <v>40</v>
      </c>
      <c r="B17" s="207" t="s">
        <v>58</v>
      </c>
      <c r="C17" s="464" t="s">
        <v>60</v>
      </c>
      <c r="D17" s="464"/>
      <c r="E17" s="31">
        <v>50.92</v>
      </c>
      <c r="F17" s="207">
        <v>2916</v>
      </c>
      <c r="G17" s="197">
        <f>E17*F17</f>
        <v>148482.72</v>
      </c>
      <c r="H17" s="206" t="s">
        <v>103</v>
      </c>
      <c r="I17" s="205">
        <v>15</v>
      </c>
      <c r="J17" s="26">
        <v>2000</v>
      </c>
      <c r="K17" s="10">
        <f t="shared" si="0"/>
        <v>133.33333333333334</v>
      </c>
      <c r="L17" s="205">
        <v>15</v>
      </c>
      <c r="M17" s="11">
        <f>F17/V17*60</f>
        <v>1901.7391304347825</v>
      </c>
      <c r="N17" s="10">
        <f t="shared" si="1"/>
        <v>126.78260869565217</v>
      </c>
      <c r="O17" s="12">
        <f t="shared" si="2"/>
        <v>0</v>
      </c>
      <c r="P17" s="13">
        <f t="shared" si="3"/>
        <v>-6.5507246376811707</v>
      </c>
      <c r="Q17" s="196">
        <f t="shared" si="4"/>
        <v>0.95086956521739119</v>
      </c>
      <c r="R17" s="442"/>
      <c r="S17" s="28">
        <v>0.77083333333333337</v>
      </c>
      <c r="T17" s="28">
        <v>0.83472222222222225</v>
      </c>
      <c r="U17" s="197">
        <f>IF(S17=TIME(17,0,0),"",(S17-T16)*24*60)</f>
        <v>5.9999999999999787</v>
      </c>
      <c r="V17" s="204">
        <f>(T17-S17)*24*60</f>
        <v>92</v>
      </c>
      <c r="W17" s="16"/>
      <c r="X17" s="16"/>
      <c r="Y17" s="443"/>
      <c r="Z17" s="443"/>
      <c r="AA17" s="12">
        <f t="shared" si="5"/>
        <v>-98.26086956521749</v>
      </c>
      <c r="AB17" s="196">
        <f t="shared" si="6"/>
        <v>0.9508695652173913</v>
      </c>
      <c r="AC17" s="442"/>
    </row>
    <row r="18" spans="1:29" ht="16.5" customHeight="1">
      <c r="A18" s="470" t="s">
        <v>40</v>
      </c>
      <c r="B18" s="31" t="s">
        <v>39</v>
      </c>
      <c r="C18" s="446"/>
      <c r="D18" s="446"/>
      <c r="E18" s="200"/>
      <c r="F18" s="33"/>
      <c r="G18" s="10"/>
      <c r="H18" s="207"/>
      <c r="I18" s="19">
        <v>19.5</v>
      </c>
      <c r="J18" s="26">
        <v>1750</v>
      </c>
      <c r="K18" s="10">
        <f t="shared" si="0"/>
        <v>89.743589743589737</v>
      </c>
      <c r="L18" s="19">
        <v>19.5</v>
      </c>
      <c r="M18" s="11">
        <f>AVERAGE(M14:M17)</f>
        <v>1658.8411735861391</v>
      </c>
      <c r="N18" s="10">
        <f t="shared" si="1"/>
        <v>85.068778132622512</v>
      </c>
      <c r="O18" s="12">
        <f t="shared" si="2"/>
        <v>0</v>
      </c>
      <c r="P18" s="13">
        <f t="shared" si="3"/>
        <v>-4.6748116109672253</v>
      </c>
      <c r="Q18" s="196">
        <f t="shared" si="4"/>
        <v>0.94790924204922233</v>
      </c>
      <c r="R18" s="442"/>
      <c r="S18" s="28"/>
      <c r="T18" s="28"/>
      <c r="U18" s="197"/>
      <c r="V18" s="204"/>
      <c r="W18" s="10"/>
      <c r="X18" s="10"/>
      <c r="Y18" s="443"/>
      <c r="Z18" s="443"/>
      <c r="AA18" s="12">
        <f t="shared" si="5"/>
        <v>-91.158826413860879</v>
      </c>
      <c r="AB18" s="196">
        <f t="shared" si="6"/>
        <v>0.94790924204922233</v>
      </c>
      <c r="AC18" s="442"/>
    </row>
    <row r="19" spans="1:29" ht="15.75" customHeight="1">
      <c r="A19" s="467" t="s">
        <v>41</v>
      </c>
      <c r="B19" s="31" t="s">
        <v>56</v>
      </c>
      <c r="C19" s="464" t="s">
        <v>61</v>
      </c>
      <c r="D19" s="464"/>
      <c r="E19" s="31">
        <v>43.14</v>
      </c>
      <c r="F19" s="207">
        <v>1446</v>
      </c>
      <c r="G19" s="197">
        <f>E19*F19</f>
        <v>62380.44</v>
      </c>
      <c r="H19" s="206" t="s">
        <v>103</v>
      </c>
      <c r="I19" s="205">
        <v>17</v>
      </c>
      <c r="J19" s="26">
        <v>2000</v>
      </c>
      <c r="K19" s="10">
        <f t="shared" si="0"/>
        <v>117.64705882352941</v>
      </c>
      <c r="L19" s="205">
        <v>17</v>
      </c>
      <c r="M19" s="11">
        <f>F19/V19*60</f>
        <v>1886.0869565217392</v>
      </c>
      <c r="N19" s="10">
        <f t="shared" si="1"/>
        <v>110.94629156010231</v>
      </c>
      <c r="O19" s="12">
        <f t="shared" si="2"/>
        <v>0</v>
      </c>
      <c r="P19" s="13">
        <f t="shared" si="3"/>
        <v>-6.7007672634270961</v>
      </c>
      <c r="Q19" s="196">
        <f t="shared" si="4"/>
        <v>0.94304347826086965</v>
      </c>
      <c r="R19" s="442">
        <f>Q24</f>
        <v>0.94639039951053661</v>
      </c>
      <c r="S19" s="28">
        <v>0.20833333333333334</v>
      </c>
      <c r="T19" s="28">
        <v>0.24027777777777778</v>
      </c>
      <c r="U19" s="197"/>
      <c r="V19" s="204">
        <f>(T19-S19)*24*60</f>
        <v>46</v>
      </c>
      <c r="W19" s="18"/>
      <c r="X19" s="18"/>
      <c r="Y19" s="443"/>
      <c r="Z19" s="443"/>
      <c r="AA19" s="12">
        <f t="shared" si="5"/>
        <v>-113.91304347826076</v>
      </c>
      <c r="AB19" s="196">
        <f t="shared" si="6"/>
        <v>0.94304347826086965</v>
      </c>
      <c r="AC19" s="442">
        <f>AB24</f>
        <v>0.94639039951053661</v>
      </c>
    </row>
    <row r="20" spans="1:29" ht="15.75" customHeight="1">
      <c r="A20" s="468" t="s">
        <v>41</v>
      </c>
      <c r="B20" s="31" t="s">
        <v>58</v>
      </c>
      <c r="C20" s="464" t="s">
        <v>62</v>
      </c>
      <c r="D20" s="464"/>
      <c r="E20" s="31">
        <v>57.73</v>
      </c>
      <c r="F20" s="207">
        <v>2810</v>
      </c>
      <c r="G20" s="197">
        <f>E20*F20</f>
        <v>162221.29999999999</v>
      </c>
      <c r="H20" s="206" t="s">
        <v>103</v>
      </c>
      <c r="I20" s="205">
        <v>15</v>
      </c>
      <c r="J20" s="26">
        <v>2000</v>
      </c>
      <c r="K20" s="10">
        <f t="shared" si="0"/>
        <v>133.33333333333334</v>
      </c>
      <c r="L20" s="205">
        <v>15</v>
      </c>
      <c r="M20" s="11">
        <f>F20/V20*60</f>
        <v>1894.38202247191</v>
      </c>
      <c r="N20" s="10">
        <f t="shared" si="1"/>
        <v>126.29213483146067</v>
      </c>
      <c r="O20" s="12">
        <f t="shared" si="2"/>
        <v>0</v>
      </c>
      <c r="P20" s="13">
        <f t="shared" si="3"/>
        <v>-7.041198501872671</v>
      </c>
      <c r="Q20" s="196">
        <f t="shared" si="4"/>
        <v>0.94719101123595495</v>
      </c>
      <c r="R20" s="442"/>
      <c r="S20" s="28">
        <v>0.24444444444444446</v>
      </c>
      <c r="T20" s="28">
        <v>0.30625000000000002</v>
      </c>
      <c r="U20" s="197">
        <f>IF(S20=TIME(17,0,0),"",(S20-T19)*24*60)</f>
        <v>6.0000000000000187</v>
      </c>
      <c r="V20" s="204">
        <f>(T20-S20)*24*60</f>
        <v>89</v>
      </c>
      <c r="W20" s="16"/>
      <c r="X20" s="197"/>
      <c r="Y20" s="443"/>
      <c r="Z20" s="443"/>
      <c r="AA20" s="12">
        <f t="shared" si="5"/>
        <v>-105.61797752809002</v>
      </c>
      <c r="AB20" s="196">
        <f t="shared" si="6"/>
        <v>0.94719101123595495</v>
      </c>
      <c r="AC20" s="442"/>
    </row>
    <row r="21" spans="1:29" ht="15.75" customHeight="1">
      <c r="A21" s="468" t="s">
        <v>41</v>
      </c>
      <c r="B21" s="31" t="s">
        <v>58</v>
      </c>
      <c r="C21" s="464" t="s">
        <v>63</v>
      </c>
      <c r="D21" s="464"/>
      <c r="E21" s="31">
        <v>53.68</v>
      </c>
      <c r="F21" s="207">
        <v>1790</v>
      </c>
      <c r="G21" s="197">
        <f>E21*F21</f>
        <v>96087.2</v>
      </c>
      <c r="H21" s="206" t="s">
        <v>103</v>
      </c>
      <c r="I21" s="205">
        <v>16</v>
      </c>
      <c r="J21" s="26">
        <v>2000</v>
      </c>
      <c r="K21" s="10">
        <f t="shared" si="0"/>
        <v>125</v>
      </c>
      <c r="L21" s="205">
        <v>16</v>
      </c>
      <c r="M21" s="11">
        <f>F21/V21*60</f>
        <v>1884.2105263157907</v>
      </c>
      <c r="N21" s="10">
        <f t="shared" si="1"/>
        <v>117.76315789473692</v>
      </c>
      <c r="O21" s="12">
        <f t="shared" si="2"/>
        <v>0</v>
      </c>
      <c r="P21" s="13">
        <f t="shared" si="3"/>
        <v>-7.2368421052630794</v>
      </c>
      <c r="Q21" s="196">
        <f t="shared" si="4"/>
        <v>0.94210526315789533</v>
      </c>
      <c r="R21" s="442"/>
      <c r="S21" s="28">
        <v>0.31180555555555556</v>
      </c>
      <c r="T21" s="28">
        <v>0.35138888888888886</v>
      </c>
      <c r="U21" s="197">
        <f>IF(S21=TIME(17,0,0),"",(S21-T20)*24*60)</f>
        <v>7.9999999999999716</v>
      </c>
      <c r="V21" s="204">
        <f>(T21-S21)*24*60</f>
        <v>56.999999999999957</v>
      </c>
      <c r="W21" s="16"/>
      <c r="X21" s="197"/>
      <c r="Y21" s="443"/>
      <c r="Z21" s="443"/>
      <c r="AA21" s="12">
        <f t="shared" si="5"/>
        <v>-115.78947368420927</v>
      </c>
      <c r="AB21" s="196">
        <f t="shared" si="6"/>
        <v>0.94210526315789533</v>
      </c>
      <c r="AC21" s="442"/>
    </row>
    <row r="22" spans="1:29" ht="15.75" customHeight="1">
      <c r="A22" s="468" t="s">
        <v>41</v>
      </c>
      <c r="B22" s="31" t="s">
        <v>58</v>
      </c>
      <c r="C22" s="464" t="s">
        <v>65</v>
      </c>
      <c r="D22" s="464"/>
      <c r="E22" s="31">
        <v>54.09</v>
      </c>
      <c r="F22" s="207">
        <v>3089</v>
      </c>
      <c r="G22" s="197">
        <f>E22*F22</f>
        <v>167084.01</v>
      </c>
      <c r="H22" s="206" t="s">
        <v>103</v>
      </c>
      <c r="I22" s="205">
        <v>19</v>
      </c>
      <c r="J22" s="26">
        <v>2000</v>
      </c>
      <c r="K22" s="10">
        <f t="shared" si="0"/>
        <v>105.26315789473684</v>
      </c>
      <c r="L22" s="205">
        <v>19</v>
      </c>
      <c r="M22" s="11">
        <f>F22/V22*60</f>
        <v>1891.224489795919</v>
      </c>
      <c r="N22" s="10">
        <f t="shared" si="1"/>
        <v>99.53813104189048</v>
      </c>
      <c r="O22" s="12">
        <f t="shared" si="2"/>
        <v>0</v>
      </c>
      <c r="P22" s="13">
        <f t="shared" si="3"/>
        <v>-5.725026852846355</v>
      </c>
      <c r="Q22" s="196">
        <f t="shared" si="4"/>
        <v>0.94561224489795959</v>
      </c>
      <c r="R22" s="442"/>
      <c r="S22" s="28">
        <v>0.70833333333333337</v>
      </c>
      <c r="T22" s="28">
        <v>0.77638888888888891</v>
      </c>
      <c r="U22" s="197" t="str">
        <f>IF(S22=TIME(17,0,0),"",(S22-T21)*24*60)</f>
        <v/>
      </c>
      <c r="V22" s="204">
        <f>(T22-S22)*24*60</f>
        <v>97.999999999999972</v>
      </c>
      <c r="W22" s="16"/>
      <c r="X22" s="197"/>
      <c r="Y22" s="443"/>
      <c r="Z22" s="443"/>
      <c r="AA22" s="12">
        <f t="shared" si="5"/>
        <v>-108.775510204081</v>
      </c>
      <c r="AB22" s="196">
        <f t="shared" si="6"/>
        <v>0.94561224489795948</v>
      </c>
      <c r="AC22" s="442"/>
    </row>
    <row r="23" spans="1:29" ht="15.75" customHeight="1">
      <c r="A23" s="468" t="s">
        <v>41</v>
      </c>
      <c r="B23" s="31" t="s">
        <v>58</v>
      </c>
      <c r="C23" s="464" t="s">
        <v>66</v>
      </c>
      <c r="D23" s="464"/>
      <c r="E23" s="31">
        <v>53.27</v>
      </c>
      <c r="F23" s="207">
        <v>477</v>
      </c>
      <c r="G23" s="197">
        <f>E23*F23</f>
        <v>25409.79</v>
      </c>
      <c r="H23" s="206" t="s">
        <v>103</v>
      </c>
      <c r="I23" s="205">
        <v>15</v>
      </c>
      <c r="J23" s="26">
        <v>2000</v>
      </c>
      <c r="K23" s="10">
        <f t="shared" si="0"/>
        <v>133.33333333333334</v>
      </c>
      <c r="L23" s="205">
        <v>15</v>
      </c>
      <c r="M23" s="11">
        <f>F23/V23*60</f>
        <v>1908.0000000000068</v>
      </c>
      <c r="N23" s="10">
        <f t="shared" si="1"/>
        <v>127.20000000000046</v>
      </c>
      <c r="O23" s="12">
        <f t="shared" si="2"/>
        <v>0</v>
      </c>
      <c r="P23" s="13">
        <f t="shared" si="3"/>
        <v>-6.1333333333328852</v>
      </c>
      <c r="Q23" s="196">
        <f t="shared" si="4"/>
        <v>0.9540000000000034</v>
      </c>
      <c r="R23" s="442"/>
      <c r="S23" s="28">
        <v>0.77986111111111112</v>
      </c>
      <c r="T23" s="28">
        <v>0.79027777777777775</v>
      </c>
      <c r="U23" s="197">
        <f>IF(S23=TIME(17,0,0),"",(S23-T22)*24*60)</f>
        <v>4.9999999999999822</v>
      </c>
      <c r="V23" s="204">
        <f>(T23-S23)*24*60</f>
        <v>14.999999999999947</v>
      </c>
      <c r="W23" s="16"/>
      <c r="X23" s="197"/>
      <c r="Y23" s="443"/>
      <c r="Z23" s="443"/>
      <c r="AA23" s="12">
        <f t="shared" si="5"/>
        <v>-91.999999999993179</v>
      </c>
      <c r="AB23" s="196">
        <f t="shared" si="6"/>
        <v>0.9540000000000034</v>
      </c>
      <c r="AC23" s="442"/>
    </row>
    <row r="24" spans="1:29" ht="15.75" customHeight="1">
      <c r="A24" s="468" t="s">
        <v>41</v>
      </c>
      <c r="B24" s="31" t="s">
        <v>39</v>
      </c>
      <c r="C24" s="446"/>
      <c r="D24" s="446"/>
      <c r="E24" s="200"/>
      <c r="F24" s="207"/>
      <c r="G24" s="197"/>
      <c r="H24" s="207"/>
      <c r="I24" s="19">
        <v>16.600000000000001</v>
      </c>
      <c r="J24" s="26">
        <v>2000</v>
      </c>
      <c r="K24" s="10">
        <f t="shared" si="0"/>
        <v>120.48192771084337</v>
      </c>
      <c r="L24" s="19">
        <v>16.600000000000001</v>
      </c>
      <c r="M24" s="11">
        <f>AVERAGE(M19:M23)</f>
        <v>1892.7807990210731</v>
      </c>
      <c r="N24" s="10">
        <f t="shared" si="1"/>
        <v>114.02293970006464</v>
      </c>
      <c r="O24" s="12">
        <f t="shared" si="2"/>
        <v>0</v>
      </c>
      <c r="P24" s="13">
        <f t="shared" si="3"/>
        <v>-6.4589880107787252</v>
      </c>
      <c r="Q24" s="196">
        <f t="shared" si="4"/>
        <v>0.94639039951053661</v>
      </c>
      <c r="R24" s="442"/>
      <c r="S24" s="28"/>
      <c r="T24" s="28"/>
      <c r="U24" s="10"/>
      <c r="V24" s="204"/>
      <c r="W24" s="10"/>
      <c r="X24" s="10"/>
      <c r="Y24" s="443"/>
      <c r="Z24" s="443"/>
      <c r="AA24" s="12">
        <f t="shared" si="5"/>
        <v>-107.21920097892689</v>
      </c>
      <c r="AB24" s="196">
        <f t="shared" si="6"/>
        <v>0.94639039951053661</v>
      </c>
      <c r="AC24" s="442"/>
    </row>
    <row r="25" spans="1:29" ht="15.75" customHeight="1">
      <c r="A25" s="463" t="s">
        <v>43</v>
      </c>
      <c r="B25" s="31" t="s">
        <v>67</v>
      </c>
      <c r="C25" s="464" t="s">
        <v>68</v>
      </c>
      <c r="D25" s="464"/>
      <c r="E25" s="31">
        <v>26.2</v>
      </c>
      <c r="F25" s="207">
        <v>2600</v>
      </c>
      <c r="G25" s="197">
        <f t="shared" ref="G25:G32" si="7">E25*F25</f>
        <v>68120</v>
      </c>
      <c r="H25" s="206">
        <v>2</v>
      </c>
      <c r="I25" s="205">
        <v>20</v>
      </c>
      <c r="J25" s="26">
        <v>2400</v>
      </c>
      <c r="K25" s="10">
        <f t="shared" si="0"/>
        <v>120</v>
      </c>
      <c r="L25" s="205">
        <v>20</v>
      </c>
      <c r="M25" s="11">
        <f t="shared" ref="M25:M32" si="8">F25/V25*60</f>
        <v>2260.869565217391</v>
      </c>
      <c r="N25" s="10">
        <f t="shared" si="1"/>
        <v>113.04347826086955</v>
      </c>
      <c r="O25" s="12">
        <f t="shared" si="2"/>
        <v>0</v>
      </c>
      <c r="P25" s="13">
        <f t="shared" si="3"/>
        <v>-6.9565217391304515</v>
      </c>
      <c r="Q25" s="196">
        <f t="shared" si="4"/>
        <v>0.94202898550724623</v>
      </c>
      <c r="R25" s="442">
        <f>Q33</f>
        <v>0.94740408624790629</v>
      </c>
      <c r="S25" s="28">
        <v>0.125</v>
      </c>
      <c r="T25" s="28">
        <v>0.17291666666666666</v>
      </c>
      <c r="U25" s="197"/>
      <c r="V25" s="204">
        <f t="shared" ref="V25:V32" si="9">(T25-S25)*24*60</f>
        <v>69</v>
      </c>
      <c r="W25" s="16">
        <f>T25</f>
        <v>0.17291666666666666</v>
      </c>
      <c r="X25" s="16">
        <f>S26</f>
        <v>0.19166666666666665</v>
      </c>
      <c r="Y25" s="443"/>
      <c r="Z25" s="443"/>
      <c r="AA25" s="12">
        <f t="shared" si="5"/>
        <v>-139.13043478260897</v>
      </c>
      <c r="AB25" s="196">
        <f t="shared" si="6"/>
        <v>0.94202898550724623</v>
      </c>
      <c r="AC25" s="442">
        <f>AB33</f>
        <v>0.94740408624790629</v>
      </c>
    </row>
    <row r="26" spans="1:29" ht="15.75" customHeight="1">
      <c r="A26" s="463" t="s">
        <v>43</v>
      </c>
      <c r="B26" s="31" t="s">
        <v>67</v>
      </c>
      <c r="C26" s="464" t="s">
        <v>69</v>
      </c>
      <c r="D26" s="464"/>
      <c r="E26" s="31">
        <v>31.29</v>
      </c>
      <c r="F26" s="207">
        <v>5600</v>
      </c>
      <c r="G26" s="197">
        <f t="shared" si="7"/>
        <v>175224</v>
      </c>
      <c r="H26" s="206">
        <v>2</v>
      </c>
      <c r="I26" s="205">
        <v>16</v>
      </c>
      <c r="J26" s="26">
        <v>2400</v>
      </c>
      <c r="K26" s="10">
        <f t="shared" si="0"/>
        <v>150</v>
      </c>
      <c r="L26" s="205">
        <v>16</v>
      </c>
      <c r="M26" s="11">
        <f t="shared" si="8"/>
        <v>2270.27027027027</v>
      </c>
      <c r="N26" s="10">
        <f t="shared" si="1"/>
        <v>141.89189189189187</v>
      </c>
      <c r="O26" s="12">
        <f t="shared" si="2"/>
        <v>0</v>
      </c>
      <c r="P26" s="13">
        <f t="shared" si="3"/>
        <v>-8.1081081081081265</v>
      </c>
      <c r="Q26" s="196">
        <f t="shared" si="4"/>
        <v>0.94594594594594583</v>
      </c>
      <c r="R26" s="442"/>
      <c r="S26" s="28">
        <v>0.19166666666666665</v>
      </c>
      <c r="T26" s="28">
        <v>0.29444444444444445</v>
      </c>
      <c r="U26" s="197">
        <f t="shared" ref="U26:U32" si="10">(S26-T25)*24*60</f>
        <v>26.999999999999986</v>
      </c>
      <c r="V26" s="204">
        <f t="shared" si="9"/>
        <v>148.00000000000003</v>
      </c>
      <c r="W26" s="16"/>
      <c r="X26" s="16"/>
      <c r="Y26" s="443"/>
      <c r="Z26" s="443"/>
      <c r="AA26" s="12">
        <f t="shared" si="5"/>
        <v>-129.72972972973002</v>
      </c>
      <c r="AB26" s="196">
        <f t="shared" si="6"/>
        <v>0.94594594594594583</v>
      </c>
      <c r="AC26" s="442"/>
    </row>
    <row r="27" spans="1:29" ht="15.75" customHeight="1">
      <c r="A27" s="463" t="s">
        <v>43</v>
      </c>
      <c r="B27" s="31" t="s">
        <v>67</v>
      </c>
      <c r="C27" s="464" t="s">
        <v>70</v>
      </c>
      <c r="D27" s="464"/>
      <c r="E27" s="31">
        <v>24.25</v>
      </c>
      <c r="F27" s="207">
        <v>4065</v>
      </c>
      <c r="G27" s="197">
        <f t="shared" si="7"/>
        <v>98576.25</v>
      </c>
      <c r="H27" s="206" t="s">
        <v>103</v>
      </c>
      <c r="I27" s="205">
        <v>18</v>
      </c>
      <c r="J27" s="26">
        <v>2400</v>
      </c>
      <c r="K27" s="10">
        <f t="shared" si="0"/>
        <v>133.33333333333334</v>
      </c>
      <c r="L27" s="205">
        <v>18</v>
      </c>
      <c r="M27" s="11">
        <f t="shared" si="8"/>
        <v>2279.4392523364481</v>
      </c>
      <c r="N27" s="10">
        <f t="shared" si="1"/>
        <v>126.63551401869157</v>
      </c>
      <c r="O27" s="12">
        <f t="shared" si="2"/>
        <v>0</v>
      </c>
      <c r="P27" s="13">
        <f t="shared" si="3"/>
        <v>-6.6978193146417766</v>
      </c>
      <c r="Q27" s="196">
        <f t="shared" si="4"/>
        <v>0.9497663551401867</v>
      </c>
      <c r="R27" s="442"/>
      <c r="S27" s="28">
        <v>0.29791666666666666</v>
      </c>
      <c r="T27" s="28">
        <v>0.37222222222222223</v>
      </c>
      <c r="U27" s="197">
        <f t="shared" si="10"/>
        <v>4.9999999999999822</v>
      </c>
      <c r="V27" s="204">
        <f t="shared" si="9"/>
        <v>107.00000000000001</v>
      </c>
      <c r="W27" s="16"/>
      <c r="X27" s="16"/>
      <c r="Y27" s="443"/>
      <c r="Z27" s="443"/>
      <c r="AA27" s="12">
        <f t="shared" si="5"/>
        <v>-120.56074766355187</v>
      </c>
      <c r="AB27" s="196">
        <f t="shared" si="6"/>
        <v>0.9497663551401867</v>
      </c>
      <c r="AC27" s="442"/>
    </row>
    <row r="28" spans="1:29" ht="15.75" customHeight="1">
      <c r="A28" s="463" t="s">
        <v>43</v>
      </c>
      <c r="B28" s="31" t="s">
        <v>67</v>
      </c>
      <c r="C28" s="464" t="s">
        <v>72</v>
      </c>
      <c r="D28" s="464"/>
      <c r="E28" s="31">
        <v>25.98</v>
      </c>
      <c r="F28" s="207">
        <v>3574</v>
      </c>
      <c r="G28" s="197">
        <f t="shared" si="7"/>
        <v>92852.52</v>
      </c>
      <c r="H28" s="206" t="s">
        <v>103</v>
      </c>
      <c r="I28" s="205">
        <v>17</v>
      </c>
      <c r="J28" s="26">
        <v>2400</v>
      </c>
      <c r="K28" s="10">
        <f t="shared" si="0"/>
        <v>141.1764705882353</v>
      </c>
      <c r="L28" s="205">
        <v>17</v>
      </c>
      <c r="M28" s="11">
        <f t="shared" si="8"/>
        <v>2281.2765957446813</v>
      </c>
      <c r="N28" s="10">
        <f t="shared" si="1"/>
        <v>134.19274092615774</v>
      </c>
      <c r="O28" s="12">
        <f t="shared" si="2"/>
        <v>0</v>
      </c>
      <c r="P28" s="13">
        <f t="shared" si="3"/>
        <v>-6.9837296620775646</v>
      </c>
      <c r="Q28" s="196">
        <f t="shared" si="4"/>
        <v>0.95053191489361721</v>
      </c>
      <c r="R28" s="442"/>
      <c r="S28" s="28">
        <v>0.37777777777777777</v>
      </c>
      <c r="T28" s="28">
        <v>0.44305555555555554</v>
      </c>
      <c r="U28" s="197">
        <f t="shared" si="10"/>
        <v>7.9999999999999716</v>
      </c>
      <c r="V28" s="204">
        <f t="shared" si="9"/>
        <v>93.999999999999986</v>
      </c>
      <c r="W28" s="16"/>
      <c r="X28" s="16"/>
      <c r="Y28" s="443"/>
      <c r="Z28" s="443"/>
      <c r="AA28" s="12">
        <f t="shared" si="5"/>
        <v>-118.72340425531866</v>
      </c>
      <c r="AB28" s="196">
        <f t="shared" si="6"/>
        <v>0.95053191489361721</v>
      </c>
      <c r="AC28" s="442"/>
    </row>
    <row r="29" spans="1:29" ht="15.75" customHeight="1">
      <c r="A29" s="463" t="s">
        <v>43</v>
      </c>
      <c r="B29" s="31" t="s">
        <v>67</v>
      </c>
      <c r="C29" s="464" t="s">
        <v>165</v>
      </c>
      <c r="D29" s="464"/>
      <c r="E29" s="31">
        <v>26.18</v>
      </c>
      <c r="F29" s="207">
        <v>3200</v>
      </c>
      <c r="G29" s="197">
        <f t="shared" si="7"/>
        <v>83776</v>
      </c>
      <c r="H29" s="206">
        <v>2</v>
      </c>
      <c r="I29" s="205">
        <v>19</v>
      </c>
      <c r="J29" s="26">
        <v>2400</v>
      </c>
      <c r="K29" s="10">
        <f t="shared" si="0"/>
        <v>126.31578947368421</v>
      </c>
      <c r="L29" s="205">
        <v>19</v>
      </c>
      <c r="M29" s="11">
        <f t="shared" si="8"/>
        <v>2258.8235294117644</v>
      </c>
      <c r="N29" s="10">
        <f t="shared" si="1"/>
        <v>118.88544891640865</v>
      </c>
      <c r="O29" s="12">
        <f t="shared" si="2"/>
        <v>0</v>
      </c>
      <c r="P29" s="13">
        <f t="shared" si="3"/>
        <v>-7.4303405572755565</v>
      </c>
      <c r="Q29" s="196">
        <f t="shared" si="4"/>
        <v>0.94117647058823517</v>
      </c>
      <c r="R29" s="442"/>
      <c r="S29" s="28">
        <v>0.44722222222222219</v>
      </c>
      <c r="T29" s="28">
        <v>0.50624999999999998</v>
      </c>
      <c r="U29" s="197">
        <f t="shared" si="10"/>
        <v>5.9999999999999787</v>
      </c>
      <c r="V29" s="204">
        <f t="shared" si="9"/>
        <v>85.000000000000014</v>
      </c>
      <c r="W29" s="16">
        <f>T29</f>
        <v>0.50624999999999998</v>
      </c>
      <c r="X29" s="16">
        <f>S30</f>
        <v>0.54791666666666661</v>
      </c>
      <c r="Y29" s="443"/>
      <c r="Z29" s="443"/>
      <c r="AA29" s="12">
        <f t="shared" si="5"/>
        <v>-141.17647058823559</v>
      </c>
      <c r="AB29" s="196">
        <f t="shared" si="6"/>
        <v>0.94117647058823517</v>
      </c>
      <c r="AC29" s="442"/>
    </row>
    <row r="30" spans="1:29" ht="15.75" customHeight="1">
      <c r="A30" s="463" t="s">
        <v>43</v>
      </c>
      <c r="B30" s="31" t="s">
        <v>67</v>
      </c>
      <c r="C30" s="464" t="s">
        <v>69</v>
      </c>
      <c r="D30" s="464"/>
      <c r="E30" s="31">
        <v>31.29</v>
      </c>
      <c r="F30" s="207">
        <v>4079</v>
      </c>
      <c r="G30" s="197">
        <f t="shared" si="7"/>
        <v>127631.91</v>
      </c>
      <c r="H30" s="206" t="s">
        <v>103</v>
      </c>
      <c r="I30" s="205">
        <v>16</v>
      </c>
      <c r="J30" s="26">
        <v>2400</v>
      </c>
      <c r="K30" s="10">
        <f t="shared" si="0"/>
        <v>150</v>
      </c>
      <c r="L30" s="205">
        <v>16</v>
      </c>
      <c r="M30" s="11">
        <f t="shared" si="8"/>
        <v>2266.1111111111122</v>
      </c>
      <c r="N30" s="10">
        <f t="shared" si="1"/>
        <v>141.63194444444451</v>
      </c>
      <c r="O30" s="12">
        <f t="shared" si="2"/>
        <v>0</v>
      </c>
      <c r="P30" s="13">
        <f t="shared" si="3"/>
        <v>-8.3680555555554861</v>
      </c>
      <c r="Q30" s="196">
        <f t="shared" si="4"/>
        <v>0.94421296296296342</v>
      </c>
      <c r="R30" s="442"/>
      <c r="S30" s="28">
        <v>0.54791666666666661</v>
      </c>
      <c r="T30" s="28">
        <v>0.62291666666666656</v>
      </c>
      <c r="U30" s="197">
        <f t="shared" si="10"/>
        <v>59.999999999999943</v>
      </c>
      <c r="V30" s="204">
        <f t="shared" si="9"/>
        <v>107.99999999999994</v>
      </c>
      <c r="W30" s="16"/>
      <c r="X30" s="16"/>
      <c r="Y30" s="443"/>
      <c r="Z30" s="443"/>
      <c r="AA30" s="12">
        <f t="shared" si="5"/>
        <v>-133.88888888888778</v>
      </c>
      <c r="AB30" s="196">
        <f t="shared" si="6"/>
        <v>0.94421296296296342</v>
      </c>
      <c r="AC30" s="442"/>
    </row>
    <row r="31" spans="1:29" ht="15.75" customHeight="1">
      <c r="A31" s="463" t="s">
        <v>43</v>
      </c>
      <c r="B31" s="31" t="s">
        <v>67</v>
      </c>
      <c r="C31" s="464" t="s">
        <v>165</v>
      </c>
      <c r="D31" s="464"/>
      <c r="E31" s="31">
        <v>26.18</v>
      </c>
      <c r="F31" s="207">
        <v>2481</v>
      </c>
      <c r="G31" s="197">
        <f t="shared" si="7"/>
        <v>64952.58</v>
      </c>
      <c r="H31" s="206" t="s">
        <v>103</v>
      </c>
      <c r="I31" s="205">
        <v>19</v>
      </c>
      <c r="J31" s="26">
        <v>2400</v>
      </c>
      <c r="K31" s="10">
        <f t="shared" si="0"/>
        <v>126.31578947368421</v>
      </c>
      <c r="L31" s="205">
        <v>19</v>
      </c>
      <c r="M31" s="11">
        <f t="shared" si="8"/>
        <v>2290.1538461538485</v>
      </c>
      <c r="N31" s="10">
        <f t="shared" si="1"/>
        <v>120.53441295546571</v>
      </c>
      <c r="O31" s="12">
        <f t="shared" si="2"/>
        <v>0</v>
      </c>
      <c r="P31" s="13">
        <f t="shared" si="3"/>
        <v>-5.7813765182184937</v>
      </c>
      <c r="Q31" s="196">
        <f t="shared" si="4"/>
        <v>0.95423076923077021</v>
      </c>
      <c r="R31" s="442"/>
      <c r="S31" s="28">
        <v>0.62708333333333321</v>
      </c>
      <c r="T31" s="28">
        <v>0.67222222222222205</v>
      </c>
      <c r="U31" s="197">
        <f t="shared" si="10"/>
        <v>5.9999999999999787</v>
      </c>
      <c r="V31" s="204">
        <f t="shared" si="9"/>
        <v>64.999999999999929</v>
      </c>
      <c r="W31" s="16"/>
      <c r="X31" s="16"/>
      <c r="Y31" s="443"/>
      <c r="Z31" s="443"/>
      <c r="AA31" s="12">
        <f t="shared" si="5"/>
        <v>-109.84615384615154</v>
      </c>
      <c r="AB31" s="196">
        <f t="shared" si="6"/>
        <v>0.95423076923077021</v>
      </c>
      <c r="AC31" s="442"/>
    </row>
    <row r="32" spans="1:29" ht="15.75" customHeight="1">
      <c r="A32" s="463" t="s">
        <v>43</v>
      </c>
      <c r="B32" s="31" t="s">
        <v>67</v>
      </c>
      <c r="C32" s="464" t="s">
        <v>68</v>
      </c>
      <c r="D32" s="464"/>
      <c r="E32" s="31">
        <v>26.2</v>
      </c>
      <c r="F32" s="207">
        <v>2131</v>
      </c>
      <c r="G32" s="197">
        <f t="shared" si="7"/>
        <v>55832.2</v>
      </c>
      <c r="H32" s="206" t="s">
        <v>103</v>
      </c>
      <c r="I32" s="205">
        <v>20</v>
      </c>
      <c r="J32" s="26">
        <v>2400</v>
      </c>
      <c r="K32" s="10">
        <f t="shared" si="0"/>
        <v>120</v>
      </c>
      <c r="L32" s="205">
        <v>20</v>
      </c>
      <c r="M32" s="11">
        <f t="shared" si="8"/>
        <v>2283.2142857142876</v>
      </c>
      <c r="N32" s="10">
        <f t="shared" si="1"/>
        <v>114.16071428571438</v>
      </c>
      <c r="O32" s="12">
        <f t="shared" si="2"/>
        <v>0</v>
      </c>
      <c r="P32" s="13">
        <f t="shared" si="3"/>
        <v>-5.8392857142856229</v>
      </c>
      <c r="Q32" s="196">
        <f t="shared" si="4"/>
        <v>0.9513392857142865</v>
      </c>
      <c r="R32" s="442"/>
      <c r="S32" s="28">
        <v>0.67777777777777759</v>
      </c>
      <c r="T32" s="28">
        <v>0.71666666666666645</v>
      </c>
      <c r="U32" s="197">
        <f t="shared" si="10"/>
        <v>7.9999999999999716</v>
      </c>
      <c r="V32" s="204">
        <f t="shared" si="9"/>
        <v>55.999999999999957</v>
      </c>
      <c r="W32" s="16"/>
      <c r="X32" s="16"/>
      <c r="Y32" s="443"/>
      <c r="Z32" s="443"/>
      <c r="AA32" s="12">
        <f t="shared" si="5"/>
        <v>-116.7857142857124</v>
      </c>
      <c r="AB32" s="196">
        <f t="shared" si="6"/>
        <v>0.9513392857142865</v>
      </c>
      <c r="AC32" s="442"/>
    </row>
    <row r="33" spans="1:29" ht="15.75" customHeight="1">
      <c r="A33" s="463" t="s">
        <v>43</v>
      </c>
      <c r="B33" s="31" t="s">
        <v>39</v>
      </c>
      <c r="C33" s="446"/>
      <c r="D33" s="446"/>
      <c r="E33" s="200"/>
      <c r="F33" s="207"/>
      <c r="G33" s="197"/>
      <c r="H33" s="207"/>
      <c r="I33" s="19">
        <v>18.125</v>
      </c>
      <c r="J33" s="26">
        <v>2400</v>
      </c>
      <c r="K33" s="10">
        <f t="shared" si="0"/>
        <v>132.41379310344828</v>
      </c>
      <c r="L33" s="19">
        <v>18.125</v>
      </c>
      <c r="M33" s="11">
        <f>AVERAGE(M25:M32)</f>
        <v>2273.7698069949752</v>
      </c>
      <c r="N33" s="10">
        <f t="shared" si="1"/>
        <v>125.44936866179174</v>
      </c>
      <c r="O33" s="12">
        <f t="shared" si="2"/>
        <v>0</v>
      </c>
      <c r="P33" s="13">
        <f t="shared" si="3"/>
        <v>-6.9644244416565471</v>
      </c>
      <c r="Q33" s="196">
        <f t="shared" si="4"/>
        <v>0.94740408624790629</v>
      </c>
      <c r="R33" s="442"/>
      <c r="S33" s="28"/>
      <c r="T33" s="28"/>
      <c r="U33" s="197"/>
      <c r="V33" s="204"/>
      <c r="W33" s="197"/>
      <c r="X33" s="197"/>
      <c r="Y33" s="443"/>
      <c r="Z33" s="443"/>
      <c r="AA33" s="12">
        <f t="shared" si="5"/>
        <v>-126.23019300502483</v>
      </c>
      <c r="AB33" s="196">
        <f t="shared" si="6"/>
        <v>0.94740408624790629</v>
      </c>
      <c r="AC33" s="442"/>
    </row>
    <row r="34" spans="1:29" ht="15.75" customHeight="1">
      <c r="A34" s="461" t="s">
        <v>44</v>
      </c>
      <c r="B34" s="31" t="s">
        <v>67</v>
      </c>
      <c r="C34" s="441" t="s">
        <v>73</v>
      </c>
      <c r="D34" s="441"/>
      <c r="E34" s="31">
        <v>26.2</v>
      </c>
      <c r="F34" s="207">
        <v>4500</v>
      </c>
      <c r="G34" s="197">
        <f t="shared" ref="G34:G43" si="11">E34*F34</f>
        <v>117900</v>
      </c>
      <c r="H34" s="206">
        <v>2</v>
      </c>
      <c r="I34" s="205">
        <v>18</v>
      </c>
      <c r="J34" s="26">
        <v>2400</v>
      </c>
      <c r="K34" s="10">
        <f t="shared" si="0"/>
        <v>133.33333333333334</v>
      </c>
      <c r="L34" s="205">
        <v>18</v>
      </c>
      <c r="M34" s="11">
        <f t="shared" ref="M34:M43" si="12">F34/V34*60</f>
        <v>2268.9075630252105</v>
      </c>
      <c r="N34" s="10">
        <f t="shared" si="1"/>
        <v>126.05042016806725</v>
      </c>
      <c r="O34" s="12">
        <f t="shared" si="2"/>
        <v>0</v>
      </c>
      <c r="P34" s="13">
        <f t="shared" si="3"/>
        <v>-7.2829131652660948</v>
      </c>
      <c r="Q34" s="196">
        <f t="shared" si="4"/>
        <v>0.94537815126050428</v>
      </c>
      <c r="R34" s="442">
        <f>Q44</f>
        <v>0.94529141485437274</v>
      </c>
      <c r="S34" s="28">
        <v>0.125</v>
      </c>
      <c r="T34" s="28">
        <v>0.20763888888888887</v>
      </c>
      <c r="U34" s="197"/>
      <c r="V34" s="204">
        <f t="shared" ref="V34:V43" si="13">(T34-S34)*24*60</f>
        <v>118.99999999999997</v>
      </c>
      <c r="W34" s="18">
        <f>T34</f>
        <v>0.20763888888888887</v>
      </c>
      <c r="X34" s="18">
        <f>S35</f>
        <v>0.22847222222222222</v>
      </c>
      <c r="Y34" s="443"/>
      <c r="Z34" s="443"/>
      <c r="AA34" s="12">
        <f t="shared" si="5"/>
        <v>-131.09243697478951</v>
      </c>
      <c r="AB34" s="196">
        <f t="shared" si="6"/>
        <v>0.9453781512605044</v>
      </c>
      <c r="AC34" s="442">
        <f>AB44</f>
        <v>0.94529141485437262</v>
      </c>
    </row>
    <row r="35" spans="1:29" ht="15.75" customHeight="1">
      <c r="A35" s="461" t="s">
        <v>44</v>
      </c>
      <c r="B35" s="31" t="s">
        <v>67</v>
      </c>
      <c r="C35" s="441" t="s">
        <v>74</v>
      </c>
      <c r="D35" s="441"/>
      <c r="E35" s="31">
        <v>24.45</v>
      </c>
      <c r="F35" s="207">
        <v>2447</v>
      </c>
      <c r="G35" s="197">
        <f t="shared" si="11"/>
        <v>59829.15</v>
      </c>
      <c r="H35" s="206" t="s">
        <v>103</v>
      </c>
      <c r="I35" s="205">
        <v>20</v>
      </c>
      <c r="J35" s="26">
        <v>2400</v>
      </c>
      <c r="K35" s="10">
        <f t="shared" si="0"/>
        <v>120</v>
      </c>
      <c r="L35" s="205">
        <v>20</v>
      </c>
      <c r="M35" s="11">
        <f t="shared" si="12"/>
        <v>2258.7692307692319</v>
      </c>
      <c r="N35" s="10">
        <f t="shared" si="1"/>
        <v>112.9384615384616</v>
      </c>
      <c r="O35" s="12">
        <f t="shared" si="2"/>
        <v>0</v>
      </c>
      <c r="P35" s="13">
        <f t="shared" si="3"/>
        <v>-7.0615384615384045</v>
      </c>
      <c r="Q35" s="196">
        <f t="shared" si="4"/>
        <v>0.94115384615384667</v>
      </c>
      <c r="R35" s="442"/>
      <c r="S35" s="28">
        <v>0.22847222222222222</v>
      </c>
      <c r="T35" s="28">
        <v>0.27361111111111108</v>
      </c>
      <c r="U35" s="197">
        <f t="shared" ref="U35:U43" si="14">(S35-T34)*24*60</f>
        <v>30.000000000000014</v>
      </c>
      <c r="V35" s="204">
        <f t="shared" si="13"/>
        <v>64.999999999999972</v>
      </c>
      <c r="W35" s="197"/>
      <c r="X35" s="197"/>
      <c r="Y35" s="443"/>
      <c r="Z35" s="443"/>
      <c r="AA35" s="12">
        <f t="shared" si="5"/>
        <v>-141.23076923076815</v>
      </c>
      <c r="AB35" s="196">
        <f t="shared" si="6"/>
        <v>0.94115384615384656</v>
      </c>
      <c r="AC35" s="442"/>
    </row>
    <row r="36" spans="1:29">
      <c r="A36" s="462" t="s">
        <v>44</v>
      </c>
      <c r="B36" s="31" t="s">
        <v>67</v>
      </c>
      <c r="C36" s="441" t="s">
        <v>75</v>
      </c>
      <c r="D36" s="441"/>
      <c r="E36" s="31">
        <v>26.39</v>
      </c>
      <c r="F36" s="207">
        <v>4000</v>
      </c>
      <c r="G36" s="197">
        <f t="shared" si="11"/>
        <v>105560</v>
      </c>
      <c r="H36" s="206">
        <v>2</v>
      </c>
      <c r="I36" s="205">
        <v>19</v>
      </c>
      <c r="J36" s="26">
        <v>2400</v>
      </c>
      <c r="K36" s="10">
        <f t="shared" si="0"/>
        <v>126.31578947368421</v>
      </c>
      <c r="L36" s="205">
        <v>19</v>
      </c>
      <c r="M36" s="11">
        <f t="shared" si="12"/>
        <v>2264.1509433962256</v>
      </c>
      <c r="N36" s="10">
        <f t="shared" si="1"/>
        <v>119.16583912611713</v>
      </c>
      <c r="O36" s="12">
        <f t="shared" si="2"/>
        <v>0</v>
      </c>
      <c r="P36" s="13">
        <f t="shared" si="3"/>
        <v>-7.1499503475670707</v>
      </c>
      <c r="Q36" s="196">
        <f t="shared" si="4"/>
        <v>0.94339622641509402</v>
      </c>
      <c r="R36" s="442"/>
      <c r="S36" s="28">
        <v>0.27708333333333329</v>
      </c>
      <c r="T36" s="28">
        <v>0.35069444444444442</v>
      </c>
      <c r="U36" s="197">
        <f t="shared" si="14"/>
        <v>4.9999999999999822</v>
      </c>
      <c r="V36" s="204">
        <f t="shared" si="13"/>
        <v>106.00000000000003</v>
      </c>
      <c r="W36" s="197"/>
      <c r="X36" s="197"/>
      <c r="Y36" s="443"/>
      <c r="Z36" s="443"/>
      <c r="AA36" s="12">
        <f t="shared" si="5"/>
        <v>-135.84905660377444</v>
      </c>
      <c r="AB36" s="196">
        <f t="shared" si="6"/>
        <v>0.94339622641509402</v>
      </c>
      <c r="AC36" s="442"/>
    </row>
    <row r="37" spans="1:29">
      <c r="A37" s="462" t="s">
        <v>44</v>
      </c>
      <c r="B37" s="31" t="s">
        <v>67</v>
      </c>
      <c r="C37" s="441" t="s">
        <v>76</v>
      </c>
      <c r="D37" s="441"/>
      <c r="E37" s="31">
        <v>20.52</v>
      </c>
      <c r="F37" s="207">
        <v>3711</v>
      </c>
      <c r="G37" s="197">
        <f t="shared" si="11"/>
        <v>76149.72</v>
      </c>
      <c r="H37" s="206" t="s">
        <v>103</v>
      </c>
      <c r="I37" s="205">
        <v>18</v>
      </c>
      <c r="J37" s="26">
        <v>2400</v>
      </c>
      <c r="K37" s="10">
        <f t="shared" si="0"/>
        <v>133.33333333333334</v>
      </c>
      <c r="L37" s="205">
        <v>18</v>
      </c>
      <c r="M37" s="11">
        <f t="shared" si="12"/>
        <v>2272.0408163265311</v>
      </c>
      <c r="N37" s="10">
        <f t="shared" ref="N37:N68" si="15">M37/L37</f>
        <v>126.22448979591839</v>
      </c>
      <c r="O37" s="12">
        <f t="shared" si="2"/>
        <v>0</v>
      </c>
      <c r="P37" s="13">
        <f t="shared" ref="P37:P68" si="16">N37-K37</f>
        <v>-7.1088435374149554</v>
      </c>
      <c r="Q37" s="196">
        <f t="shared" ref="Q37:Q68" si="17">N37/K37</f>
        <v>0.94668367346938787</v>
      </c>
      <c r="R37" s="442"/>
      <c r="S37" s="28">
        <v>0.35555555555555551</v>
      </c>
      <c r="T37" s="28">
        <v>0.42361111111111105</v>
      </c>
      <c r="U37" s="197">
        <f t="shared" si="14"/>
        <v>6.9999999999999751</v>
      </c>
      <c r="V37" s="204">
        <f t="shared" si="13"/>
        <v>97.999999999999972</v>
      </c>
      <c r="W37" s="16"/>
      <c r="X37" s="16"/>
      <c r="Y37" s="443"/>
      <c r="Z37" s="443"/>
      <c r="AA37" s="12">
        <f t="shared" si="5"/>
        <v>-127.95918367346894</v>
      </c>
      <c r="AB37" s="196">
        <f t="shared" ref="AB37:AB68" si="18">M37/J37</f>
        <v>0.94668367346938798</v>
      </c>
      <c r="AC37" s="442"/>
    </row>
    <row r="38" spans="1:29">
      <c r="A38" s="462" t="s">
        <v>44</v>
      </c>
      <c r="B38" s="31" t="s">
        <v>67</v>
      </c>
      <c r="C38" s="441" t="s">
        <v>77</v>
      </c>
      <c r="D38" s="441"/>
      <c r="E38" s="31">
        <v>26.2</v>
      </c>
      <c r="F38" s="207">
        <v>2900</v>
      </c>
      <c r="G38" s="197">
        <f t="shared" si="11"/>
        <v>75980</v>
      </c>
      <c r="H38" s="206">
        <v>2</v>
      </c>
      <c r="I38" s="205">
        <v>19</v>
      </c>
      <c r="J38" s="26">
        <v>2400</v>
      </c>
      <c r="K38" s="10">
        <f t="shared" si="0"/>
        <v>126.31578947368421</v>
      </c>
      <c r="L38" s="205">
        <v>19</v>
      </c>
      <c r="M38" s="11">
        <f t="shared" si="12"/>
        <v>2289.4736842105272</v>
      </c>
      <c r="N38" s="10">
        <f t="shared" si="15"/>
        <v>120.4986149584488</v>
      </c>
      <c r="O38" s="12">
        <f t="shared" si="2"/>
        <v>0</v>
      </c>
      <c r="P38" s="13">
        <f t="shared" si="16"/>
        <v>-5.8171745152354077</v>
      </c>
      <c r="Q38" s="196">
        <f t="shared" si="17"/>
        <v>0.95394736842105299</v>
      </c>
      <c r="R38" s="442"/>
      <c r="S38" s="28">
        <v>0.42847222222222214</v>
      </c>
      <c r="T38" s="28">
        <v>0.4812499999999999</v>
      </c>
      <c r="U38" s="197">
        <f t="shared" si="14"/>
        <v>6.9999999999999751</v>
      </c>
      <c r="V38" s="204">
        <f t="shared" si="13"/>
        <v>75.999999999999972</v>
      </c>
      <c r="W38" s="16"/>
      <c r="X38" s="16"/>
      <c r="Y38" s="443"/>
      <c r="Z38" s="443"/>
      <c r="AA38" s="12">
        <f t="shared" si="5"/>
        <v>-110.52631578947285</v>
      </c>
      <c r="AB38" s="196">
        <f t="shared" si="18"/>
        <v>0.95394736842105299</v>
      </c>
      <c r="AC38" s="442"/>
    </row>
    <row r="39" spans="1:29">
      <c r="A39" s="462" t="s">
        <v>44</v>
      </c>
      <c r="B39" s="31" t="s">
        <v>67</v>
      </c>
      <c r="C39" s="441" t="s">
        <v>78</v>
      </c>
      <c r="D39" s="441"/>
      <c r="E39" s="31">
        <v>25.98</v>
      </c>
      <c r="F39" s="207">
        <v>2000</v>
      </c>
      <c r="G39" s="197">
        <f t="shared" si="11"/>
        <v>51960</v>
      </c>
      <c r="H39" s="206">
        <v>2</v>
      </c>
      <c r="I39" s="205">
        <v>17</v>
      </c>
      <c r="J39" s="26">
        <v>2400</v>
      </c>
      <c r="K39" s="10">
        <f t="shared" si="0"/>
        <v>141.1764705882353</v>
      </c>
      <c r="L39" s="205">
        <v>17</v>
      </c>
      <c r="M39" s="11">
        <f t="shared" si="12"/>
        <v>2264.1509433962246</v>
      </c>
      <c r="N39" s="10">
        <f t="shared" si="15"/>
        <v>133.18534961154262</v>
      </c>
      <c r="O39" s="12">
        <f t="shared" si="2"/>
        <v>0</v>
      </c>
      <c r="P39" s="13">
        <f t="shared" si="16"/>
        <v>-7.9911209766926845</v>
      </c>
      <c r="Q39" s="196">
        <f t="shared" si="17"/>
        <v>0.94339622641509346</v>
      </c>
      <c r="R39" s="442"/>
      <c r="S39" s="28">
        <v>0.48611111111111099</v>
      </c>
      <c r="T39" s="28">
        <v>0.52291666666666659</v>
      </c>
      <c r="U39" s="197">
        <f t="shared" si="14"/>
        <v>6.9999999999999751</v>
      </c>
      <c r="V39" s="204">
        <f t="shared" si="13"/>
        <v>53.00000000000005</v>
      </c>
      <c r="W39" s="16">
        <f>T39</f>
        <v>0.52291666666666659</v>
      </c>
      <c r="X39" s="16">
        <f>S40</f>
        <v>0.56388888888888877</v>
      </c>
      <c r="Y39" s="443"/>
      <c r="Z39" s="443"/>
      <c r="AA39" s="12">
        <f t="shared" si="5"/>
        <v>-135.84905660377535</v>
      </c>
      <c r="AB39" s="196">
        <f t="shared" si="18"/>
        <v>0.94339622641509358</v>
      </c>
      <c r="AC39" s="442"/>
    </row>
    <row r="40" spans="1:29">
      <c r="A40" s="462" t="s">
        <v>44</v>
      </c>
      <c r="B40" s="31" t="s">
        <v>67</v>
      </c>
      <c r="C40" s="441" t="s">
        <v>73</v>
      </c>
      <c r="D40" s="441"/>
      <c r="E40" s="31">
        <v>26.2</v>
      </c>
      <c r="F40" s="207">
        <v>3287</v>
      </c>
      <c r="G40" s="197">
        <f t="shared" si="11"/>
        <v>86119.4</v>
      </c>
      <c r="H40" s="206" t="s">
        <v>103</v>
      </c>
      <c r="I40" s="205">
        <v>18</v>
      </c>
      <c r="J40" s="26">
        <v>2400</v>
      </c>
      <c r="K40" s="10">
        <f t="shared" si="0"/>
        <v>133.33333333333334</v>
      </c>
      <c r="L40" s="205">
        <v>18</v>
      </c>
      <c r="M40" s="11">
        <f t="shared" si="12"/>
        <v>2266.8965517241372</v>
      </c>
      <c r="N40" s="10">
        <f t="shared" si="15"/>
        <v>125.93869731800763</v>
      </c>
      <c r="O40" s="12">
        <f t="shared" si="2"/>
        <v>0</v>
      </c>
      <c r="P40" s="13">
        <f t="shared" si="16"/>
        <v>-7.394636015325716</v>
      </c>
      <c r="Q40" s="196">
        <f t="shared" si="17"/>
        <v>0.94454022988505715</v>
      </c>
      <c r="R40" s="442"/>
      <c r="S40" s="28">
        <v>0.56388888888888877</v>
      </c>
      <c r="T40" s="28">
        <v>0.62430555555555545</v>
      </c>
      <c r="U40" s="197">
        <f t="shared" si="14"/>
        <v>58.99999999999995</v>
      </c>
      <c r="V40" s="204">
        <f t="shared" si="13"/>
        <v>87.000000000000014</v>
      </c>
      <c r="W40" s="16"/>
      <c r="X40" s="16"/>
      <c r="Y40" s="447"/>
      <c r="Z40" s="448"/>
      <c r="AA40" s="12">
        <f t="shared" si="5"/>
        <v>-133.10344827586277</v>
      </c>
      <c r="AB40" s="196">
        <f t="shared" si="18"/>
        <v>0.94454022988505715</v>
      </c>
      <c r="AC40" s="442"/>
    </row>
    <row r="41" spans="1:29">
      <c r="A41" s="462" t="s">
        <v>44</v>
      </c>
      <c r="B41" s="31" t="s">
        <v>67</v>
      </c>
      <c r="C41" s="441" t="s">
        <v>75</v>
      </c>
      <c r="D41" s="441"/>
      <c r="E41" s="31">
        <v>26.39</v>
      </c>
      <c r="F41" s="207">
        <v>2787</v>
      </c>
      <c r="G41" s="197">
        <f t="shared" si="11"/>
        <v>73548.930000000008</v>
      </c>
      <c r="H41" s="206" t="s">
        <v>103</v>
      </c>
      <c r="I41" s="205">
        <v>19</v>
      </c>
      <c r="J41" s="26">
        <v>2400</v>
      </c>
      <c r="K41" s="10">
        <f t="shared" si="0"/>
        <v>126.31578947368421</v>
      </c>
      <c r="L41" s="205">
        <v>19</v>
      </c>
      <c r="M41" s="11">
        <f t="shared" si="12"/>
        <v>2259.7297297297282</v>
      </c>
      <c r="N41" s="10">
        <f t="shared" si="15"/>
        <v>118.9331436699857</v>
      </c>
      <c r="O41" s="12">
        <f t="shared" si="2"/>
        <v>0</v>
      </c>
      <c r="P41" s="13">
        <f t="shared" si="16"/>
        <v>-7.3826458036985088</v>
      </c>
      <c r="Q41" s="196">
        <f t="shared" si="17"/>
        <v>0.94155405405405346</v>
      </c>
      <c r="R41" s="442"/>
      <c r="S41" s="28">
        <v>0.62777777777777766</v>
      </c>
      <c r="T41" s="28">
        <v>0.67916666666666659</v>
      </c>
      <c r="U41" s="197">
        <f t="shared" si="14"/>
        <v>4.9999999999999822</v>
      </c>
      <c r="V41" s="204">
        <f t="shared" si="13"/>
        <v>74.000000000000057</v>
      </c>
      <c r="W41" s="16"/>
      <c r="X41" s="16"/>
      <c r="Y41" s="447"/>
      <c r="Z41" s="448"/>
      <c r="AA41" s="12">
        <f t="shared" si="5"/>
        <v>-140.27027027027179</v>
      </c>
      <c r="AB41" s="196">
        <f t="shared" si="18"/>
        <v>0.94155405405405346</v>
      </c>
      <c r="AC41" s="442"/>
    </row>
    <row r="42" spans="1:29">
      <c r="A42" s="462" t="s">
        <v>44</v>
      </c>
      <c r="B42" s="31" t="s">
        <v>67</v>
      </c>
      <c r="C42" s="441" t="s">
        <v>78</v>
      </c>
      <c r="D42" s="441"/>
      <c r="E42" s="31">
        <v>25.98</v>
      </c>
      <c r="F42" s="207">
        <v>1439</v>
      </c>
      <c r="G42" s="197">
        <f t="shared" si="11"/>
        <v>37385.22</v>
      </c>
      <c r="H42" s="206" t="s">
        <v>103</v>
      </c>
      <c r="I42" s="205">
        <v>17</v>
      </c>
      <c r="J42" s="26">
        <v>2400</v>
      </c>
      <c r="K42" s="10">
        <f t="shared" si="0"/>
        <v>141.1764705882353</v>
      </c>
      <c r="L42" s="205">
        <v>17</v>
      </c>
      <c r="M42" s="11">
        <f t="shared" si="12"/>
        <v>2272.1052631578932</v>
      </c>
      <c r="N42" s="10">
        <f t="shared" si="15"/>
        <v>133.6532507739937</v>
      </c>
      <c r="O42" s="12">
        <f t="shared" si="2"/>
        <v>0</v>
      </c>
      <c r="P42" s="13">
        <f t="shared" si="16"/>
        <v>-7.5232198142415996</v>
      </c>
      <c r="Q42" s="196">
        <f t="shared" si="17"/>
        <v>0.94671052631578867</v>
      </c>
      <c r="R42" s="442"/>
      <c r="S42" s="28">
        <v>0.68402777777777768</v>
      </c>
      <c r="T42" s="28">
        <v>0.71041666666666659</v>
      </c>
      <c r="U42" s="197">
        <f t="shared" si="14"/>
        <v>6.9999999999999751</v>
      </c>
      <c r="V42" s="204">
        <f t="shared" si="13"/>
        <v>38.000000000000028</v>
      </c>
      <c r="W42" s="16"/>
      <c r="X42" s="16"/>
      <c r="Y42" s="447"/>
      <c r="Z42" s="448"/>
      <c r="AA42" s="12">
        <f t="shared" si="5"/>
        <v>-127.89473684210679</v>
      </c>
      <c r="AB42" s="196">
        <f t="shared" si="18"/>
        <v>0.94671052631578878</v>
      </c>
      <c r="AC42" s="442"/>
    </row>
    <row r="43" spans="1:29">
      <c r="A43" s="462" t="s">
        <v>44</v>
      </c>
      <c r="B43" s="31" t="s">
        <v>67</v>
      </c>
      <c r="C43" s="441" t="s">
        <v>77</v>
      </c>
      <c r="D43" s="441"/>
      <c r="E43" s="31">
        <v>26.2</v>
      </c>
      <c r="F43" s="207">
        <v>1968</v>
      </c>
      <c r="G43" s="197">
        <f t="shared" si="11"/>
        <v>51561.599999999999</v>
      </c>
      <c r="H43" s="206" t="s">
        <v>103</v>
      </c>
      <c r="I43" s="205">
        <v>19</v>
      </c>
      <c r="J43" s="26">
        <v>2400</v>
      </c>
      <c r="K43" s="10">
        <f t="shared" si="0"/>
        <v>126.31578947368421</v>
      </c>
      <c r="L43" s="205">
        <v>19</v>
      </c>
      <c r="M43" s="11">
        <f t="shared" si="12"/>
        <v>2270.7692307692323</v>
      </c>
      <c r="N43" s="10">
        <f t="shared" si="15"/>
        <v>119.51417004048591</v>
      </c>
      <c r="O43" s="12">
        <f t="shared" si="2"/>
        <v>0</v>
      </c>
      <c r="P43" s="13">
        <f t="shared" si="16"/>
        <v>-6.8016194331982973</v>
      </c>
      <c r="Q43" s="196">
        <f t="shared" si="17"/>
        <v>0.94615384615384679</v>
      </c>
      <c r="R43" s="442"/>
      <c r="S43" s="28">
        <v>0.71527777777777768</v>
      </c>
      <c r="T43" s="28">
        <v>0.75138888888888877</v>
      </c>
      <c r="U43" s="197">
        <f t="shared" si="14"/>
        <v>6.9999999999999751</v>
      </c>
      <c r="V43" s="204">
        <f t="shared" si="13"/>
        <v>51.999999999999972</v>
      </c>
      <c r="W43" s="16"/>
      <c r="X43" s="16"/>
      <c r="Y43" s="447"/>
      <c r="Z43" s="448"/>
      <c r="AA43" s="12">
        <f t="shared" si="5"/>
        <v>-129.23076923076769</v>
      </c>
      <c r="AB43" s="196">
        <f t="shared" si="18"/>
        <v>0.94615384615384679</v>
      </c>
      <c r="AC43" s="442"/>
    </row>
    <row r="44" spans="1:29">
      <c r="A44" s="462" t="s">
        <v>44</v>
      </c>
      <c r="B44" s="33" t="s">
        <v>39</v>
      </c>
      <c r="C44" s="446"/>
      <c r="D44" s="446"/>
      <c r="E44" s="200"/>
      <c r="F44" s="33"/>
      <c r="G44" s="10"/>
      <c r="H44" s="207"/>
      <c r="I44" s="19">
        <v>18.399999999999999</v>
      </c>
      <c r="J44" s="26">
        <v>2400</v>
      </c>
      <c r="K44" s="10">
        <f t="shared" si="0"/>
        <v>130.43478260869566</v>
      </c>
      <c r="L44" s="19">
        <v>18.399999999999999</v>
      </c>
      <c r="M44" s="11">
        <f>AVERAGE(M34:M43)</f>
        <v>2268.6993956504944</v>
      </c>
      <c r="N44" s="10">
        <f t="shared" si="15"/>
        <v>123.29888019839645</v>
      </c>
      <c r="O44" s="12">
        <f t="shared" si="2"/>
        <v>0</v>
      </c>
      <c r="P44" s="13">
        <f t="shared" si="16"/>
        <v>-7.1359024102992095</v>
      </c>
      <c r="Q44" s="196">
        <f t="shared" si="17"/>
        <v>0.94529141485437274</v>
      </c>
      <c r="R44" s="442"/>
      <c r="S44" s="28"/>
      <c r="T44" s="28"/>
      <c r="U44" s="10"/>
      <c r="V44" s="204"/>
      <c r="W44" s="10"/>
      <c r="X44" s="10"/>
      <c r="Y44" s="443"/>
      <c r="Z44" s="443"/>
      <c r="AA44" s="12">
        <f t="shared" si="5"/>
        <v>-131.30060434950565</v>
      </c>
      <c r="AB44" s="196">
        <f t="shared" si="18"/>
        <v>0.94529141485437262</v>
      </c>
      <c r="AC44" s="442"/>
    </row>
    <row r="45" spans="1:29" ht="15.75" customHeight="1">
      <c r="A45" s="453" t="s">
        <v>47</v>
      </c>
      <c r="B45" s="31" t="s">
        <v>79</v>
      </c>
      <c r="C45" s="444" t="s">
        <v>80</v>
      </c>
      <c r="D45" s="445"/>
      <c r="E45" s="31">
        <v>21.13</v>
      </c>
      <c r="F45" s="207">
        <v>3100</v>
      </c>
      <c r="G45" s="197">
        <f t="shared" ref="G45:G54" si="19">E45*F45</f>
        <v>65503</v>
      </c>
      <c r="H45" s="206">
        <v>2</v>
      </c>
      <c r="I45" s="205">
        <v>10</v>
      </c>
      <c r="J45" s="26">
        <v>3000</v>
      </c>
      <c r="K45" s="10">
        <v>300</v>
      </c>
      <c r="L45" s="205">
        <v>10</v>
      </c>
      <c r="M45" s="11">
        <f t="shared" ref="M45:M54" si="20">F45/V45*60</f>
        <v>2861.5384615384628</v>
      </c>
      <c r="N45" s="10">
        <f t="shared" si="15"/>
        <v>286.1538461538463</v>
      </c>
      <c r="O45" s="12">
        <v>0</v>
      </c>
      <c r="P45" s="13">
        <f t="shared" si="16"/>
        <v>-13.846153846153697</v>
      </c>
      <c r="Q45" s="196">
        <f t="shared" si="17"/>
        <v>0.95384615384615434</v>
      </c>
      <c r="R45" s="456">
        <f>Q55</f>
        <v>0.9571673197090006</v>
      </c>
      <c r="S45" s="28">
        <v>0.20833333333333334</v>
      </c>
      <c r="T45" s="28">
        <v>0.25347222222222221</v>
      </c>
      <c r="U45" s="18"/>
      <c r="V45" s="204">
        <v>64.999999999999972</v>
      </c>
      <c r="W45" s="16"/>
      <c r="X45" s="16"/>
      <c r="Y45" s="447"/>
      <c r="Z45" s="448"/>
      <c r="AA45" s="12">
        <v>-138.4615384615372</v>
      </c>
      <c r="AB45" s="196">
        <f t="shared" si="18"/>
        <v>0.95384615384615423</v>
      </c>
      <c r="AC45" s="456">
        <f>AB55</f>
        <v>0.95716731970900071</v>
      </c>
    </row>
    <row r="46" spans="1:29" ht="15.75" customHeight="1">
      <c r="A46" s="454" t="s">
        <v>47</v>
      </c>
      <c r="B46" s="31" t="s">
        <v>79</v>
      </c>
      <c r="C46" s="444" t="s">
        <v>81</v>
      </c>
      <c r="D46" s="445"/>
      <c r="E46" s="31">
        <v>27.17</v>
      </c>
      <c r="F46" s="207">
        <v>3800</v>
      </c>
      <c r="G46" s="197">
        <f t="shared" si="19"/>
        <v>103246</v>
      </c>
      <c r="H46" s="206">
        <v>2</v>
      </c>
      <c r="I46" s="205">
        <v>10</v>
      </c>
      <c r="J46" s="26">
        <v>3000</v>
      </c>
      <c r="K46" s="10">
        <v>300</v>
      </c>
      <c r="L46" s="205">
        <v>10</v>
      </c>
      <c r="M46" s="11">
        <f t="shared" si="20"/>
        <v>2849.9999999999991</v>
      </c>
      <c r="N46" s="10">
        <f t="shared" si="15"/>
        <v>284.99999999999989</v>
      </c>
      <c r="O46" s="12">
        <v>0</v>
      </c>
      <c r="P46" s="13">
        <f t="shared" si="16"/>
        <v>-15.000000000000114</v>
      </c>
      <c r="Q46" s="196">
        <f t="shared" si="17"/>
        <v>0.94999999999999962</v>
      </c>
      <c r="R46" s="457"/>
      <c r="S46" s="28">
        <v>0.25902777777777775</v>
      </c>
      <c r="T46" s="28">
        <v>0.31458333333333333</v>
      </c>
      <c r="U46" s="197">
        <v>7.9999999999999716</v>
      </c>
      <c r="V46" s="204">
        <v>80.000000000000028</v>
      </c>
      <c r="W46" s="16"/>
      <c r="X46" s="16"/>
      <c r="Y46" s="447"/>
      <c r="Z46" s="448"/>
      <c r="AA46" s="12">
        <v>-150.00000000000091</v>
      </c>
      <c r="AB46" s="196">
        <f t="shared" si="18"/>
        <v>0.94999999999999973</v>
      </c>
      <c r="AC46" s="457"/>
    </row>
    <row r="47" spans="1:29" ht="15.75" customHeight="1">
      <c r="A47" s="454" t="s">
        <v>47</v>
      </c>
      <c r="B47" s="31" t="s">
        <v>79</v>
      </c>
      <c r="C47" s="444" t="s">
        <v>82</v>
      </c>
      <c r="D47" s="445"/>
      <c r="E47" s="31">
        <v>35.119999999999997</v>
      </c>
      <c r="F47" s="207">
        <v>2800</v>
      </c>
      <c r="G47" s="197">
        <f t="shared" si="19"/>
        <v>98336</v>
      </c>
      <c r="H47" s="206">
        <v>2</v>
      </c>
      <c r="I47" s="205">
        <v>10</v>
      </c>
      <c r="J47" s="26">
        <v>3000</v>
      </c>
      <c r="K47" s="10">
        <v>300</v>
      </c>
      <c r="L47" s="205">
        <v>10</v>
      </c>
      <c r="M47" s="11">
        <f t="shared" si="20"/>
        <v>2847.4576271186429</v>
      </c>
      <c r="N47" s="10">
        <f t="shared" si="15"/>
        <v>284.7457627118643</v>
      </c>
      <c r="O47" s="12">
        <v>0</v>
      </c>
      <c r="P47" s="13">
        <f t="shared" si="16"/>
        <v>-15.254237288135698</v>
      </c>
      <c r="Q47" s="196">
        <f t="shared" si="17"/>
        <v>0.94915254237288105</v>
      </c>
      <c r="R47" s="457"/>
      <c r="S47" s="28">
        <v>0.31944444444444442</v>
      </c>
      <c r="T47" s="28">
        <v>0.36041666666666666</v>
      </c>
      <c r="U47" s="197">
        <v>6.9999999999999751</v>
      </c>
      <c r="V47" s="204">
        <v>59.000000000000028</v>
      </c>
      <c r="W47" s="16"/>
      <c r="X47" s="16"/>
      <c r="Y47" s="447"/>
      <c r="Z47" s="448"/>
      <c r="AA47" s="12">
        <v>-152.5423728813571</v>
      </c>
      <c r="AB47" s="196">
        <f t="shared" si="18"/>
        <v>0.94915254237288094</v>
      </c>
      <c r="AC47" s="457"/>
    </row>
    <row r="48" spans="1:29" ht="15.75" customHeight="1">
      <c r="A48" s="454" t="s">
        <v>853</v>
      </c>
      <c r="B48" s="31" t="s">
        <v>79</v>
      </c>
      <c r="C48" s="444" t="s">
        <v>83</v>
      </c>
      <c r="D48" s="445"/>
      <c r="E48" s="31">
        <v>40.18</v>
      </c>
      <c r="F48" s="207">
        <v>1692</v>
      </c>
      <c r="G48" s="197">
        <f t="shared" si="19"/>
        <v>67984.56</v>
      </c>
      <c r="H48" s="206" t="s">
        <v>103</v>
      </c>
      <c r="I48" s="205">
        <v>10</v>
      </c>
      <c r="J48" s="26">
        <v>3000</v>
      </c>
      <c r="K48" s="10">
        <v>300</v>
      </c>
      <c r="L48" s="205">
        <v>10</v>
      </c>
      <c r="M48" s="11">
        <f t="shared" si="20"/>
        <v>2900.5714285714257</v>
      </c>
      <c r="N48" s="10">
        <f t="shared" si="15"/>
        <v>290.05714285714259</v>
      </c>
      <c r="O48" s="12">
        <v>0</v>
      </c>
      <c r="P48" s="13">
        <f t="shared" si="16"/>
        <v>-9.942857142857406</v>
      </c>
      <c r="Q48" s="196">
        <f t="shared" si="17"/>
        <v>0.96685714285714197</v>
      </c>
      <c r="R48" s="457"/>
      <c r="S48" s="28">
        <v>0.36388888888888887</v>
      </c>
      <c r="T48" s="28">
        <v>0.38819444444444445</v>
      </c>
      <c r="U48" s="197">
        <v>4.9999999999999822</v>
      </c>
      <c r="V48" s="204">
        <v>35.000000000000036</v>
      </c>
      <c r="W48" s="16"/>
      <c r="X48" s="16"/>
      <c r="Y48" s="447"/>
      <c r="Z48" s="448"/>
      <c r="AA48" s="12">
        <v>-99.428571428574287</v>
      </c>
      <c r="AB48" s="196">
        <f t="shared" si="18"/>
        <v>0.96685714285714186</v>
      </c>
      <c r="AC48" s="457"/>
    </row>
    <row r="49" spans="1:29" ht="15.75" customHeight="1">
      <c r="A49" s="454" t="s">
        <v>47</v>
      </c>
      <c r="B49" s="31" t="s">
        <v>79</v>
      </c>
      <c r="C49" s="444" t="s">
        <v>84</v>
      </c>
      <c r="D49" s="445"/>
      <c r="E49" s="31">
        <v>28.5</v>
      </c>
      <c r="F49" s="207">
        <v>1018</v>
      </c>
      <c r="G49" s="197">
        <f t="shared" si="19"/>
        <v>29013</v>
      </c>
      <c r="H49" s="206" t="s">
        <v>103</v>
      </c>
      <c r="I49" s="205">
        <v>10</v>
      </c>
      <c r="J49" s="26">
        <v>3000</v>
      </c>
      <c r="K49" s="10">
        <v>300</v>
      </c>
      <c r="L49" s="205">
        <v>10</v>
      </c>
      <c r="M49" s="11">
        <f t="shared" si="20"/>
        <v>2908.5714285714275</v>
      </c>
      <c r="N49" s="10">
        <f t="shared" si="15"/>
        <v>290.85714285714278</v>
      </c>
      <c r="O49" s="12">
        <v>0</v>
      </c>
      <c r="P49" s="13">
        <f t="shared" si="16"/>
        <v>-9.1428571428572241</v>
      </c>
      <c r="Q49" s="196">
        <f t="shared" si="17"/>
        <v>0.96952380952380923</v>
      </c>
      <c r="R49" s="457"/>
      <c r="S49" s="28">
        <v>0.39166666666666666</v>
      </c>
      <c r="T49" s="28">
        <v>0.40625</v>
      </c>
      <c r="U49" s="197">
        <v>4.9999999999999822</v>
      </c>
      <c r="V49" s="204">
        <v>21.000000000000007</v>
      </c>
      <c r="W49" s="16"/>
      <c r="X49" s="16"/>
      <c r="Y49" s="447"/>
      <c r="Z49" s="448"/>
      <c r="AA49" s="12">
        <v>-91.428571428572468</v>
      </c>
      <c r="AB49" s="196">
        <f t="shared" si="18"/>
        <v>0.96952380952380923</v>
      </c>
      <c r="AC49" s="457"/>
    </row>
    <row r="50" spans="1:29" ht="15.75" customHeight="1">
      <c r="A50" s="454" t="s">
        <v>854</v>
      </c>
      <c r="B50" s="31" t="s">
        <v>79</v>
      </c>
      <c r="C50" s="444" t="s">
        <v>85</v>
      </c>
      <c r="D50" s="445"/>
      <c r="E50" s="31">
        <v>35.869999999999997</v>
      </c>
      <c r="F50" s="207">
        <v>3143</v>
      </c>
      <c r="G50" s="197">
        <f t="shared" si="19"/>
        <v>112739.40999999999</v>
      </c>
      <c r="H50" s="206" t="s">
        <v>103</v>
      </c>
      <c r="I50" s="205">
        <v>10</v>
      </c>
      <c r="J50" s="26">
        <v>3000</v>
      </c>
      <c r="K50" s="10">
        <v>300</v>
      </c>
      <c r="L50" s="205">
        <v>10</v>
      </c>
      <c r="M50" s="11">
        <f t="shared" si="20"/>
        <v>2857.2727272727275</v>
      </c>
      <c r="N50" s="10">
        <f t="shared" si="15"/>
        <v>285.72727272727275</v>
      </c>
      <c r="O50" s="12">
        <v>0</v>
      </c>
      <c r="P50" s="13">
        <f t="shared" si="16"/>
        <v>-14.272727272727252</v>
      </c>
      <c r="Q50" s="196">
        <f t="shared" si="17"/>
        <v>0.95242424242424251</v>
      </c>
      <c r="R50" s="457"/>
      <c r="S50" s="28">
        <v>0.41111111111111109</v>
      </c>
      <c r="T50" s="28">
        <v>0.45694444444444443</v>
      </c>
      <c r="U50" s="197">
        <v>6.9999999999999751</v>
      </c>
      <c r="V50" s="204">
        <v>66</v>
      </c>
      <c r="W50" s="16"/>
      <c r="X50" s="16"/>
      <c r="Y50" s="447"/>
      <c r="Z50" s="448"/>
      <c r="AA50" s="12">
        <v>-142.72727272727252</v>
      </c>
      <c r="AB50" s="196">
        <f t="shared" si="18"/>
        <v>0.95242424242424251</v>
      </c>
      <c r="AC50" s="457"/>
    </row>
    <row r="51" spans="1:29" ht="15.75" customHeight="1">
      <c r="A51" s="454" t="s">
        <v>47</v>
      </c>
      <c r="B51" s="31" t="s">
        <v>79</v>
      </c>
      <c r="C51" s="444" t="s">
        <v>86</v>
      </c>
      <c r="D51" s="445"/>
      <c r="E51" s="31">
        <v>36.14</v>
      </c>
      <c r="F51" s="207">
        <v>2348</v>
      </c>
      <c r="G51" s="197">
        <f t="shared" si="19"/>
        <v>84856.72</v>
      </c>
      <c r="H51" s="206" t="s">
        <v>103</v>
      </c>
      <c r="I51" s="205">
        <v>8</v>
      </c>
      <c r="J51" s="26">
        <v>3000</v>
      </c>
      <c r="K51" s="10">
        <v>375</v>
      </c>
      <c r="L51" s="205">
        <v>8</v>
      </c>
      <c r="M51" s="11">
        <f t="shared" si="20"/>
        <v>2875.1020408163272</v>
      </c>
      <c r="N51" s="10">
        <f t="shared" si="15"/>
        <v>359.3877551020409</v>
      </c>
      <c r="O51" s="12">
        <v>0</v>
      </c>
      <c r="P51" s="13">
        <f t="shared" si="16"/>
        <v>-15.612244897959101</v>
      </c>
      <c r="Q51" s="196">
        <f t="shared" si="17"/>
        <v>0.95836734693877568</v>
      </c>
      <c r="R51" s="457"/>
      <c r="S51" s="28">
        <v>0.46041666666666664</v>
      </c>
      <c r="T51" s="28">
        <v>0.49444444444444441</v>
      </c>
      <c r="U51" s="197">
        <v>4.9999999999999822</v>
      </c>
      <c r="V51" s="204">
        <v>48.999999999999986</v>
      </c>
      <c r="W51" s="16">
        <f>T51</f>
        <v>0.49444444444444441</v>
      </c>
      <c r="X51" s="16">
        <f>S52</f>
        <v>0.53680555555555554</v>
      </c>
      <c r="Y51" s="447"/>
      <c r="Z51" s="448"/>
      <c r="AA51" s="12">
        <v>-124.89795918367281</v>
      </c>
      <c r="AB51" s="196">
        <f t="shared" si="18"/>
        <v>0.95836734693877568</v>
      </c>
      <c r="AC51" s="457"/>
    </row>
    <row r="52" spans="1:29" ht="15.75" customHeight="1">
      <c r="A52" s="454" t="s">
        <v>47</v>
      </c>
      <c r="B52" s="31" t="s">
        <v>79</v>
      </c>
      <c r="C52" s="444" t="s">
        <v>82</v>
      </c>
      <c r="D52" s="445"/>
      <c r="E52" s="31">
        <v>35.119999999999997</v>
      </c>
      <c r="F52" s="207">
        <v>2003</v>
      </c>
      <c r="G52" s="197">
        <f t="shared" si="19"/>
        <v>70345.36</v>
      </c>
      <c r="H52" s="206" t="s">
        <v>103</v>
      </c>
      <c r="I52" s="205">
        <v>10</v>
      </c>
      <c r="J52" s="26">
        <v>3000</v>
      </c>
      <c r="K52" s="10">
        <v>300</v>
      </c>
      <c r="L52" s="205">
        <v>10</v>
      </c>
      <c r="M52" s="11">
        <f t="shared" si="20"/>
        <v>2861.4285714285706</v>
      </c>
      <c r="N52" s="10">
        <f t="shared" si="15"/>
        <v>286.14285714285705</v>
      </c>
      <c r="O52" s="12">
        <v>0</v>
      </c>
      <c r="P52" s="13">
        <f t="shared" si="16"/>
        <v>-13.857142857142946</v>
      </c>
      <c r="Q52" s="196">
        <f t="shared" si="17"/>
        <v>0.95380952380952355</v>
      </c>
      <c r="R52" s="457"/>
      <c r="S52" s="28">
        <v>0.53680555555555554</v>
      </c>
      <c r="T52" s="28">
        <v>0.56597222222222221</v>
      </c>
      <c r="U52" s="197">
        <v>61.000000000000021</v>
      </c>
      <c r="V52" s="204">
        <v>42.000000000000014</v>
      </c>
      <c r="W52" s="16"/>
      <c r="X52" s="16"/>
      <c r="Y52" s="447"/>
      <c r="Z52" s="448"/>
      <c r="AA52" s="12">
        <v>-138.57142857142935</v>
      </c>
      <c r="AB52" s="196">
        <f t="shared" si="18"/>
        <v>0.95380952380952355</v>
      </c>
      <c r="AC52" s="457"/>
    </row>
    <row r="53" spans="1:29" ht="15.75" customHeight="1">
      <c r="A53" s="454" t="s">
        <v>47</v>
      </c>
      <c r="B53" s="31" t="s">
        <v>79</v>
      </c>
      <c r="C53" s="444" t="s">
        <v>81</v>
      </c>
      <c r="D53" s="445"/>
      <c r="E53" s="31">
        <v>27.17</v>
      </c>
      <c r="F53" s="207">
        <v>2881</v>
      </c>
      <c r="G53" s="197">
        <f t="shared" si="19"/>
        <v>78276.77</v>
      </c>
      <c r="H53" s="206" t="s">
        <v>103</v>
      </c>
      <c r="I53" s="205">
        <v>10</v>
      </c>
      <c r="J53" s="26">
        <v>3000</v>
      </c>
      <c r="K53" s="10">
        <v>300</v>
      </c>
      <c r="L53" s="205">
        <v>10</v>
      </c>
      <c r="M53" s="11">
        <f t="shared" si="20"/>
        <v>2833.7704918032814</v>
      </c>
      <c r="N53" s="10">
        <f t="shared" si="15"/>
        <v>283.37704918032813</v>
      </c>
      <c r="O53" s="12">
        <v>0</v>
      </c>
      <c r="P53" s="13">
        <f t="shared" si="16"/>
        <v>-16.622950819671871</v>
      </c>
      <c r="Q53" s="196">
        <f t="shared" si="17"/>
        <v>0.94459016393442707</v>
      </c>
      <c r="R53" s="457"/>
      <c r="S53" s="28">
        <v>0.57152777777777775</v>
      </c>
      <c r="T53" s="28">
        <v>0.61388888888888882</v>
      </c>
      <c r="U53" s="197">
        <v>7.9999999999999716</v>
      </c>
      <c r="V53" s="204">
        <v>60.999999999999943</v>
      </c>
      <c r="W53" s="16"/>
      <c r="X53" s="16"/>
      <c r="Y53" s="447"/>
      <c r="Z53" s="448"/>
      <c r="AA53" s="12">
        <v>-166.2295081967186</v>
      </c>
      <c r="AB53" s="196">
        <f t="shared" si="18"/>
        <v>0.94459016393442718</v>
      </c>
      <c r="AC53" s="457"/>
    </row>
    <row r="54" spans="1:29" ht="15.75" customHeight="1">
      <c r="A54" s="454" t="s">
        <v>47</v>
      </c>
      <c r="B54" s="31" t="s">
        <v>79</v>
      </c>
      <c r="C54" s="444" t="s">
        <v>80</v>
      </c>
      <c r="D54" s="445"/>
      <c r="E54" s="31">
        <v>21.13</v>
      </c>
      <c r="F54" s="207">
        <v>2672</v>
      </c>
      <c r="G54" s="197">
        <f t="shared" si="19"/>
        <v>56459.360000000001</v>
      </c>
      <c r="H54" s="206" t="s">
        <v>103</v>
      </c>
      <c r="I54" s="205">
        <v>10</v>
      </c>
      <c r="J54" s="26">
        <v>3000</v>
      </c>
      <c r="K54" s="10">
        <v>300</v>
      </c>
      <c r="L54" s="205">
        <v>10</v>
      </c>
      <c r="M54" s="11">
        <f t="shared" si="20"/>
        <v>2862.8571428571449</v>
      </c>
      <c r="N54" s="10">
        <f t="shared" si="15"/>
        <v>286.2857142857145</v>
      </c>
      <c r="O54" s="12">
        <v>0</v>
      </c>
      <c r="P54" s="13">
        <f t="shared" si="16"/>
        <v>-13.714285714285495</v>
      </c>
      <c r="Q54" s="196">
        <f t="shared" si="17"/>
        <v>0.95428571428571507</v>
      </c>
      <c r="R54" s="457"/>
      <c r="S54" s="28">
        <v>0.61944444444444435</v>
      </c>
      <c r="T54" s="28">
        <v>0.65833333333333321</v>
      </c>
      <c r="U54" s="197">
        <v>7.9999999999999716</v>
      </c>
      <c r="V54" s="204">
        <v>55.999999999999957</v>
      </c>
      <c r="W54" s="16"/>
      <c r="X54" s="16"/>
      <c r="Y54" s="447"/>
      <c r="Z54" s="448"/>
      <c r="AA54" s="12">
        <v>-137.14285714285506</v>
      </c>
      <c r="AB54" s="196">
        <f t="shared" si="18"/>
        <v>0.95428571428571496</v>
      </c>
      <c r="AC54" s="457"/>
    </row>
    <row r="55" spans="1:29" ht="15.75" customHeight="1">
      <c r="A55" s="455" t="s">
        <v>47</v>
      </c>
      <c r="B55" s="31" t="s">
        <v>766</v>
      </c>
      <c r="C55" s="459"/>
      <c r="D55" s="460"/>
      <c r="E55" s="203"/>
      <c r="F55" s="207"/>
      <c r="G55" s="197"/>
      <c r="H55" s="207"/>
      <c r="I55" s="19">
        <v>9.7142857142857135</v>
      </c>
      <c r="J55" s="26">
        <v>3000</v>
      </c>
      <c r="K55" s="10">
        <f t="shared" ref="K55:K77" si="21">J55/I55</f>
        <v>308.82352941176475</v>
      </c>
      <c r="L55" s="19">
        <v>9.7142857142857135</v>
      </c>
      <c r="M55" s="11">
        <f>AVERAGE(M45:M51)</f>
        <v>2871.501959127002</v>
      </c>
      <c r="N55" s="10">
        <f t="shared" si="15"/>
        <v>295.59578991013257</v>
      </c>
      <c r="O55" s="12">
        <f t="shared" ref="O55:O77" si="22">L55-I55</f>
        <v>0</v>
      </c>
      <c r="P55" s="13">
        <f t="shared" si="16"/>
        <v>-13.227739501632186</v>
      </c>
      <c r="Q55" s="196">
        <f t="shared" si="17"/>
        <v>0.9571673197090006</v>
      </c>
      <c r="R55" s="458"/>
      <c r="S55" s="28"/>
      <c r="T55" s="28"/>
      <c r="U55" s="197"/>
      <c r="V55" s="204"/>
      <c r="W55" s="16"/>
      <c r="X55" s="16"/>
      <c r="Y55" s="447"/>
      <c r="Z55" s="448"/>
      <c r="AA55" s="12">
        <f t="shared" ref="AA55:AA77" si="23">M55-J55</f>
        <v>-128.49804087299799</v>
      </c>
      <c r="AB55" s="196">
        <f t="shared" si="18"/>
        <v>0.95716731970900071</v>
      </c>
      <c r="AC55" s="458"/>
    </row>
    <row r="56" spans="1:29" ht="15.75" customHeight="1">
      <c r="A56" s="451" t="s">
        <v>770</v>
      </c>
      <c r="B56" s="31" t="s">
        <v>53</v>
      </c>
      <c r="C56" s="441" t="s">
        <v>87</v>
      </c>
      <c r="D56" s="441"/>
      <c r="E56" s="31">
        <v>46</v>
      </c>
      <c r="F56" s="35">
        <v>3333</v>
      </c>
      <c r="G56" s="197">
        <f t="shared" ref="G56:G61" si="24">E56*F56</f>
        <v>153318</v>
      </c>
      <c r="H56" s="206" t="s">
        <v>103</v>
      </c>
      <c r="I56" s="205">
        <v>17</v>
      </c>
      <c r="J56" s="26">
        <v>2000</v>
      </c>
      <c r="K56" s="10">
        <f t="shared" si="21"/>
        <v>117.64705882352941</v>
      </c>
      <c r="L56" s="205">
        <v>17</v>
      </c>
      <c r="M56" s="11">
        <f t="shared" ref="M56:M61" si="25">F56/V56*60</f>
        <v>1886.6037735849052</v>
      </c>
      <c r="N56" s="11">
        <f t="shared" si="15"/>
        <v>110.97669256381795</v>
      </c>
      <c r="O56" s="12">
        <f t="shared" si="22"/>
        <v>0</v>
      </c>
      <c r="P56" s="13">
        <f t="shared" si="16"/>
        <v>-6.6703662597114572</v>
      </c>
      <c r="Q56" s="196">
        <f t="shared" si="17"/>
        <v>0.94330188679245264</v>
      </c>
      <c r="R56" s="442">
        <f>Q62</f>
        <v>0.95849059049521257</v>
      </c>
      <c r="S56" s="28">
        <v>0.25</v>
      </c>
      <c r="T56" s="28">
        <v>0.32361111111111113</v>
      </c>
      <c r="U56" s="18"/>
      <c r="V56" s="204">
        <f t="shared" ref="V56:V61" si="26">(T56-S56)*24*60</f>
        <v>106.00000000000003</v>
      </c>
      <c r="W56" s="18"/>
      <c r="X56" s="18"/>
      <c r="Y56" s="443"/>
      <c r="Z56" s="443"/>
      <c r="AA56" s="12">
        <f t="shared" si="23"/>
        <v>-113.39622641509482</v>
      </c>
      <c r="AB56" s="196">
        <f t="shared" si="18"/>
        <v>0.94330188679245264</v>
      </c>
      <c r="AC56" s="442">
        <f>AB62</f>
        <v>0.95849059049521246</v>
      </c>
    </row>
    <row r="57" spans="1:29" ht="15.75" customHeight="1">
      <c r="A57" s="451" t="s">
        <v>769</v>
      </c>
      <c r="B57" s="31" t="s">
        <v>53</v>
      </c>
      <c r="C57" s="441" t="s">
        <v>88</v>
      </c>
      <c r="D57" s="441"/>
      <c r="E57" s="31">
        <v>46</v>
      </c>
      <c r="F57" s="35">
        <v>3349</v>
      </c>
      <c r="G57" s="197">
        <f t="shared" si="24"/>
        <v>154054</v>
      </c>
      <c r="H57" s="206" t="s">
        <v>103</v>
      </c>
      <c r="I57" s="205">
        <v>17</v>
      </c>
      <c r="J57" s="26">
        <v>2000</v>
      </c>
      <c r="K57" s="10">
        <f t="shared" si="21"/>
        <v>117.64705882352941</v>
      </c>
      <c r="L57" s="205">
        <v>17</v>
      </c>
      <c r="M57" s="11">
        <f t="shared" si="25"/>
        <v>1895.6603773584902</v>
      </c>
      <c r="N57" s="11">
        <f t="shared" si="15"/>
        <v>111.50943396226413</v>
      </c>
      <c r="O57" s="12">
        <f t="shared" si="22"/>
        <v>0</v>
      </c>
      <c r="P57" s="13">
        <f t="shared" si="16"/>
        <v>-6.1376248612652802</v>
      </c>
      <c r="Q57" s="196">
        <f t="shared" si="17"/>
        <v>0.94783018867924507</v>
      </c>
      <c r="R57" s="442"/>
      <c r="S57" s="28">
        <v>0.32777777777777778</v>
      </c>
      <c r="T57" s="28">
        <v>0.40138888888888891</v>
      </c>
      <c r="U57" s="197">
        <f>IF(S57=TIME(17,0,0),"",(S57-T56)*24*60)</f>
        <v>5.9999999999999787</v>
      </c>
      <c r="V57" s="204">
        <f t="shared" si="26"/>
        <v>106.00000000000003</v>
      </c>
      <c r="W57" s="16"/>
      <c r="X57" s="16"/>
      <c r="Y57" s="443"/>
      <c r="Z57" s="443"/>
      <c r="AA57" s="12">
        <f t="shared" si="23"/>
        <v>-104.33962264150978</v>
      </c>
      <c r="AB57" s="196">
        <f t="shared" si="18"/>
        <v>0.94783018867924507</v>
      </c>
      <c r="AC57" s="442"/>
    </row>
    <row r="58" spans="1:29" ht="15.75" customHeight="1">
      <c r="A58" s="451" t="s">
        <v>769</v>
      </c>
      <c r="B58" s="31" t="s">
        <v>58</v>
      </c>
      <c r="C58" s="444" t="s">
        <v>168</v>
      </c>
      <c r="D58" s="445"/>
      <c r="E58" s="31">
        <v>54.09</v>
      </c>
      <c r="F58" s="35">
        <v>466</v>
      </c>
      <c r="G58" s="197">
        <f t="shared" si="24"/>
        <v>25205.940000000002</v>
      </c>
      <c r="H58" s="206" t="s">
        <v>103</v>
      </c>
      <c r="I58" s="205">
        <v>16</v>
      </c>
      <c r="J58" s="26">
        <v>2000</v>
      </c>
      <c r="K58" s="10">
        <f t="shared" si="21"/>
        <v>125</v>
      </c>
      <c r="L58" s="205">
        <v>16</v>
      </c>
      <c r="M58" s="11">
        <f t="shared" si="25"/>
        <v>1997.1428571428528</v>
      </c>
      <c r="N58" s="11">
        <f t="shared" si="15"/>
        <v>124.8214285714283</v>
      </c>
      <c r="O58" s="12">
        <f t="shared" si="22"/>
        <v>0</v>
      </c>
      <c r="P58" s="13">
        <f t="shared" si="16"/>
        <v>-0.17857142857170061</v>
      </c>
      <c r="Q58" s="196">
        <f t="shared" si="17"/>
        <v>0.99857142857142644</v>
      </c>
      <c r="R58" s="442"/>
      <c r="S58" s="28">
        <v>0.40486111111111112</v>
      </c>
      <c r="T58" s="28">
        <v>0.41458333333333336</v>
      </c>
      <c r="U58" s="197">
        <f>IF(S58=TIME(17,0,0),"",(S58-T57)*24*60)</f>
        <v>4.9999999999999822</v>
      </c>
      <c r="V58" s="204">
        <f t="shared" si="26"/>
        <v>14.00000000000003</v>
      </c>
      <c r="W58" s="16"/>
      <c r="X58" s="16"/>
      <c r="Y58" s="201"/>
      <c r="Z58" s="202"/>
      <c r="AA58" s="12">
        <f t="shared" si="23"/>
        <v>-2.8571428571472097</v>
      </c>
      <c r="AB58" s="196">
        <f t="shared" si="18"/>
        <v>0.99857142857142644</v>
      </c>
      <c r="AC58" s="442"/>
    </row>
    <row r="59" spans="1:29" ht="15.75" customHeight="1">
      <c r="A59" s="451" t="s">
        <v>769</v>
      </c>
      <c r="B59" s="31" t="s">
        <v>58</v>
      </c>
      <c r="C59" s="198" t="s">
        <v>89</v>
      </c>
      <c r="D59" s="199"/>
      <c r="E59" s="31">
        <v>55.56</v>
      </c>
      <c r="F59" s="35">
        <v>2174</v>
      </c>
      <c r="G59" s="197">
        <f t="shared" si="24"/>
        <v>120787.44</v>
      </c>
      <c r="H59" s="206" t="s">
        <v>103</v>
      </c>
      <c r="I59" s="205">
        <v>17</v>
      </c>
      <c r="J59" s="26">
        <v>2000</v>
      </c>
      <c r="K59" s="10">
        <f t="shared" si="21"/>
        <v>117.64705882352941</v>
      </c>
      <c r="L59" s="205">
        <v>17</v>
      </c>
      <c r="M59" s="11">
        <f t="shared" si="25"/>
        <v>1890.4347826086937</v>
      </c>
      <c r="N59" s="11">
        <f t="shared" si="15"/>
        <v>111.20204603580551</v>
      </c>
      <c r="O59" s="12">
        <f t="shared" si="22"/>
        <v>0</v>
      </c>
      <c r="P59" s="13">
        <f t="shared" si="16"/>
        <v>-6.445012787723897</v>
      </c>
      <c r="Q59" s="196">
        <f t="shared" si="17"/>
        <v>0.9452173913043469</v>
      </c>
      <c r="R59" s="442"/>
      <c r="S59" s="28">
        <v>0.70833333333333337</v>
      </c>
      <c r="T59" s="28">
        <v>0.75625000000000009</v>
      </c>
      <c r="U59" s="197" t="str">
        <f>IF(S59=TIME(17,0,0),"",(S59-T58)*24*60)</f>
        <v/>
      </c>
      <c r="V59" s="204">
        <f t="shared" si="26"/>
        <v>69.000000000000071</v>
      </c>
      <c r="W59" s="16"/>
      <c r="X59" s="16"/>
      <c r="Y59" s="201"/>
      <c r="Z59" s="202"/>
      <c r="AA59" s="12">
        <f t="shared" si="23"/>
        <v>-109.56521739130631</v>
      </c>
      <c r="AB59" s="196">
        <f t="shared" si="18"/>
        <v>0.9452173913043469</v>
      </c>
      <c r="AC59" s="442"/>
    </row>
    <row r="60" spans="1:29" ht="15.75" customHeight="1">
      <c r="A60" s="451" t="s">
        <v>769</v>
      </c>
      <c r="B60" s="31" t="s">
        <v>58</v>
      </c>
      <c r="C60" s="198" t="s">
        <v>90</v>
      </c>
      <c r="D60" s="199"/>
      <c r="E60" s="31">
        <v>55.32</v>
      </c>
      <c r="F60" s="35">
        <v>1593</v>
      </c>
      <c r="G60" s="197">
        <f t="shared" si="24"/>
        <v>88124.76</v>
      </c>
      <c r="H60" s="206" t="s">
        <v>103</v>
      </c>
      <c r="I60" s="205">
        <v>15</v>
      </c>
      <c r="J60" s="26">
        <v>2000</v>
      </c>
      <c r="K60" s="10">
        <f t="shared" si="21"/>
        <v>133.33333333333334</v>
      </c>
      <c r="L60" s="205">
        <v>15</v>
      </c>
      <c r="M60" s="11">
        <f t="shared" si="25"/>
        <v>1911.6000000000006</v>
      </c>
      <c r="N60" s="11">
        <f t="shared" si="15"/>
        <v>127.44000000000004</v>
      </c>
      <c r="O60" s="12">
        <f t="shared" si="22"/>
        <v>0</v>
      </c>
      <c r="P60" s="13">
        <f t="shared" si="16"/>
        <v>-5.8933333333333024</v>
      </c>
      <c r="Q60" s="196">
        <f t="shared" si="17"/>
        <v>0.9558000000000002</v>
      </c>
      <c r="R60" s="442"/>
      <c r="S60" s="28">
        <v>0.76041666666666674</v>
      </c>
      <c r="T60" s="28">
        <v>0.79513888888888895</v>
      </c>
      <c r="U60" s="197">
        <f>IF(S60=TIME(17,0,0),"",(S60-T59)*24*60)</f>
        <v>5.9999999999999787</v>
      </c>
      <c r="V60" s="204">
        <f t="shared" si="26"/>
        <v>49.999999999999986</v>
      </c>
      <c r="W60" s="16"/>
      <c r="X60" s="16"/>
      <c r="Y60" s="201"/>
      <c r="Z60" s="202"/>
      <c r="AA60" s="12">
        <f t="shared" si="23"/>
        <v>-88.399999999999409</v>
      </c>
      <c r="AB60" s="196">
        <f t="shared" si="18"/>
        <v>0.95580000000000032</v>
      </c>
      <c r="AC60" s="442"/>
    </row>
    <row r="61" spans="1:29" ht="15.75" customHeight="1">
      <c r="A61" s="451" t="s">
        <v>768</v>
      </c>
      <c r="B61" s="31" t="s">
        <v>58</v>
      </c>
      <c r="C61" s="444" t="s">
        <v>91</v>
      </c>
      <c r="D61" s="445"/>
      <c r="E61" s="31">
        <v>57.73</v>
      </c>
      <c r="F61" s="35">
        <v>1201</v>
      </c>
      <c r="G61" s="197">
        <f t="shared" si="24"/>
        <v>69333.73</v>
      </c>
      <c r="H61" s="206" t="s">
        <v>103</v>
      </c>
      <c r="I61" s="205">
        <v>16</v>
      </c>
      <c r="J61" s="26">
        <v>1500</v>
      </c>
      <c r="K61" s="10">
        <f t="shared" si="21"/>
        <v>93.75</v>
      </c>
      <c r="L61" s="205">
        <v>16</v>
      </c>
      <c r="M61" s="11">
        <f t="shared" si="25"/>
        <v>1441.2000000000005</v>
      </c>
      <c r="N61" s="11">
        <f t="shared" si="15"/>
        <v>90.075000000000031</v>
      </c>
      <c r="O61" s="12">
        <f t="shared" si="22"/>
        <v>0</v>
      </c>
      <c r="P61" s="13">
        <f t="shared" si="16"/>
        <v>-3.6749999999999687</v>
      </c>
      <c r="Q61" s="196">
        <f t="shared" si="17"/>
        <v>0.96080000000000032</v>
      </c>
      <c r="R61" s="442"/>
      <c r="S61" s="28">
        <v>0.80069444444444449</v>
      </c>
      <c r="T61" s="28">
        <v>0.8354166666666667</v>
      </c>
      <c r="U61" s="197">
        <f>IF(S61=TIME(17,0,0),"",(S61-T60)*24*60)</f>
        <v>7.9999999999999716</v>
      </c>
      <c r="V61" s="204">
        <f t="shared" si="26"/>
        <v>49.999999999999986</v>
      </c>
      <c r="W61" s="16"/>
      <c r="X61" s="16"/>
      <c r="Y61" s="447"/>
      <c r="Z61" s="448"/>
      <c r="AA61" s="12">
        <f t="shared" si="23"/>
        <v>-58.7999999999995</v>
      </c>
      <c r="AB61" s="196">
        <f t="shared" si="18"/>
        <v>0.96080000000000032</v>
      </c>
      <c r="AC61" s="442"/>
    </row>
    <row r="62" spans="1:29">
      <c r="A62" s="452" t="s">
        <v>767</v>
      </c>
      <c r="B62" s="31" t="s">
        <v>766</v>
      </c>
      <c r="C62" s="446"/>
      <c r="D62" s="446"/>
      <c r="E62" s="200"/>
      <c r="F62" s="33"/>
      <c r="G62" s="10"/>
      <c r="H62" s="207"/>
      <c r="I62" s="19">
        <v>16.333333333333332</v>
      </c>
      <c r="J62" s="26">
        <v>1916.6666666666667</v>
      </c>
      <c r="K62" s="10">
        <f t="shared" si="21"/>
        <v>117.34693877551021</v>
      </c>
      <c r="L62" s="19">
        <v>16.333333333333332</v>
      </c>
      <c r="M62" s="11">
        <f>AVERAGE(M56:M61)</f>
        <v>1837.1069651158239</v>
      </c>
      <c r="N62" s="10">
        <f t="shared" si="15"/>
        <v>112.47593663974433</v>
      </c>
      <c r="O62" s="12">
        <f t="shared" si="22"/>
        <v>0</v>
      </c>
      <c r="P62" s="13">
        <f t="shared" si="16"/>
        <v>-4.8710021357658775</v>
      </c>
      <c r="Q62" s="196">
        <f t="shared" si="17"/>
        <v>0.95849059049521257</v>
      </c>
      <c r="R62" s="442"/>
      <c r="S62" s="29"/>
      <c r="T62" s="28"/>
      <c r="U62" s="10"/>
      <c r="V62" s="204"/>
      <c r="W62" s="10"/>
      <c r="X62" s="10"/>
      <c r="Y62" s="443"/>
      <c r="Z62" s="443"/>
      <c r="AA62" s="12">
        <f t="shared" si="23"/>
        <v>-79.559701550842874</v>
      </c>
      <c r="AB62" s="196">
        <f t="shared" si="18"/>
        <v>0.95849059049521246</v>
      </c>
      <c r="AC62" s="442"/>
    </row>
    <row r="63" spans="1:29" ht="15.75" customHeight="1">
      <c r="A63" s="449" t="s">
        <v>765</v>
      </c>
      <c r="B63" s="207" t="s">
        <v>92</v>
      </c>
      <c r="C63" s="441" t="s">
        <v>93</v>
      </c>
      <c r="D63" s="441"/>
      <c r="E63" s="31">
        <v>84.51</v>
      </c>
      <c r="F63" s="35">
        <v>1222</v>
      </c>
      <c r="G63" s="197">
        <f t="shared" ref="G63:G68" si="27">E63*F63</f>
        <v>103271.22</v>
      </c>
      <c r="H63" s="206" t="s">
        <v>103</v>
      </c>
      <c r="I63" s="205">
        <v>17</v>
      </c>
      <c r="J63" s="26">
        <v>2400</v>
      </c>
      <c r="K63" s="10">
        <f t="shared" si="21"/>
        <v>141.1764705882353</v>
      </c>
      <c r="L63" s="19">
        <v>17</v>
      </c>
      <c r="M63" s="11">
        <f t="shared" ref="M63:M68" si="28">F63/V63*60</f>
        <v>2291.2499999999995</v>
      </c>
      <c r="N63" s="10">
        <f t="shared" si="15"/>
        <v>134.77941176470586</v>
      </c>
      <c r="O63" s="12">
        <f t="shared" si="22"/>
        <v>0</v>
      </c>
      <c r="P63" s="13">
        <f t="shared" si="16"/>
        <v>-6.3970588235294485</v>
      </c>
      <c r="Q63" s="196">
        <f t="shared" si="17"/>
        <v>0.95468749999999969</v>
      </c>
      <c r="R63" s="442">
        <f>Q69</f>
        <v>0.94708375280909374</v>
      </c>
      <c r="S63" s="28">
        <v>0.16666666666666666</v>
      </c>
      <c r="T63" s="28">
        <v>0.18888888888888888</v>
      </c>
      <c r="U63" s="197"/>
      <c r="V63" s="204">
        <f t="shared" ref="V63:V68" si="29">(T63-S63)*24*60</f>
        <v>32.000000000000007</v>
      </c>
      <c r="W63" s="16">
        <f>T63</f>
        <v>0.18888888888888888</v>
      </c>
      <c r="X63" s="16">
        <f>S64</f>
        <v>0.20624999999999996</v>
      </c>
      <c r="Y63" s="443"/>
      <c r="Z63" s="443"/>
      <c r="AA63" s="12">
        <f t="shared" si="23"/>
        <v>-108.75000000000045</v>
      </c>
      <c r="AB63" s="196">
        <f t="shared" si="18"/>
        <v>0.9546874999999998</v>
      </c>
      <c r="AC63" s="442">
        <f>AB69</f>
        <v>0.94708375280909385</v>
      </c>
    </row>
    <row r="64" spans="1:29" ht="15.75" customHeight="1">
      <c r="A64" s="449" t="s">
        <v>765</v>
      </c>
      <c r="B64" s="207" t="s">
        <v>79</v>
      </c>
      <c r="C64" s="441" t="s">
        <v>94</v>
      </c>
      <c r="D64" s="441"/>
      <c r="E64" s="31">
        <v>26.78</v>
      </c>
      <c r="F64" s="35">
        <v>2818</v>
      </c>
      <c r="G64" s="197">
        <f t="shared" si="27"/>
        <v>75466.040000000008</v>
      </c>
      <c r="H64" s="206" t="s">
        <v>103</v>
      </c>
      <c r="I64" s="205">
        <v>10</v>
      </c>
      <c r="J64" s="26">
        <v>3000</v>
      </c>
      <c r="K64" s="10">
        <f t="shared" si="21"/>
        <v>300</v>
      </c>
      <c r="L64" s="19">
        <v>10</v>
      </c>
      <c r="M64" s="11">
        <f t="shared" si="28"/>
        <v>2865.7627118644068</v>
      </c>
      <c r="N64" s="10">
        <f t="shared" si="15"/>
        <v>286.57627118644069</v>
      </c>
      <c r="O64" s="12">
        <f t="shared" si="22"/>
        <v>0</v>
      </c>
      <c r="P64" s="13">
        <f t="shared" si="16"/>
        <v>-13.423728813559308</v>
      </c>
      <c r="Q64" s="196">
        <f t="shared" si="17"/>
        <v>0.95525423728813563</v>
      </c>
      <c r="R64" s="442"/>
      <c r="S64" s="28">
        <v>0.20624999999999996</v>
      </c>
      <c r="T64" s="28">
        <v>0.24722222222222218</v>
      </c>
      <c r="U64" s="197">
        <f>(S64-T63)*24*60</f>
        <v>24.99999999999995</v>
      </c>
      <c r="V64" s="204">
        <f t="shared" si="29"/>
        <v>58.999999999999993</v>
      </c>
      <c r="W64" s="197"/>
      <c r="X64" s="197"/>
      <c r="Y64" s="443"/>
      <c r="Z64" s="443"/>
      <c r="AA64" s="12">
        <f t="shared" si="23"/>
        <v>-134.23728813559319</v>
      </c>
      <c r="AB64" s="196">
        <f t="shared" si="18"/>
        <v>0.95525423728813563</v>
      </c>
      <c r="AC64" s="442"/>
    </row>
    <row r="65" spans="1:29" ht="15.75" customHeight="1">
      <c r="A65" s="449" t="s">
        <v>765</v>
      </c>
      <c r="B65" s="207" t="s">
        <v>79</v>
      </c>
      <c r="C65" s="441" t="s">
        <v>95</v>
      </c>
      <c r="D65" s="441"/>
      <c r="E65" s="31">
        <v>35.369999999999997</v>
      </c>
      <c r="F65" s="35">
        <v>1604</v>
      </c>
      <c r="G65" s="197">
        <f t="shared" si="27"/>
        <v>56733.479999999996</v>
      </c>
      <c r="H65" s="206" t="s">
        <v>103</v>
      </c>
      <c r="I65" s="205">
        <v>10</v>
      </c>
      <c r="J65" s="26">
        <v>3000</v>
      </c>
      <c r="K65" s="10">
        <f t="shared" si="21"/>
        <v>300</v>
      </c>
      <c r="L65" s="19">
        <v>10</v>
      </c>
      <c r="M65" s="11">
        <f t="shared" si="28"/>
        <v>2830.5882352941212</v>
      </c>
      <c r="N65" s="10">
        <f t="shared" si="15"/>
        <v>283.05882352941211</v>
      </c>
      <c r="O65" s="12">
        <f t="shared" si="22"/>
        <v>0</v>
      </c>
      <c r="P65" s="13">
        <f t="shared" si="16"/>
        <v>-16.941176470587891</v>
      </c>
      <c r="Q65" s="196">
        <f t="shared" si="17"/>
        <v>0.94352941176470706</v>
      </c>
      <c r="R65" s="442"/>
      <c r="S65" s="28">
        <v>0.25277777777777771</v>
      </c>
      <c r="T65" s="28">
        <v>0.2763888888888888</v>
      </c>
      <c r="U65" s="197">
        <f>(S65-T64)*24*60</f>
        <v>7.9999999999999716</v>
      </c>
      <c r="V65" s="204">
        <f t="shared" si="29"/>
        <v>33.999999999999957</v>
      </c>
      <c r="W65" s="197"/>
      <c r="X65" s="197"/>
      <c r="Y65" s="443"/>
      <c r="Z65" s="443"/>
      <c r="AA65" s="12">
        <f t="shared" si="23"/>
        <v>-169.4117647058788</v>
      </c>
      <c r="AB65" s="196">
        <f t="shared" si="18"/>
        <v>0.94352941176470706</v>
      </c>
      <c r="AC65" s="442"/>
    </row>
    <row r="66" spans="1:29" ht="15.75" customHeight="1">
      <c r="A66" s="449" t="s">
        <v>764</v>
      </c>
      <c r="B66" s="207" t="s">
        <v>53</v>
      </c>
      <c r="C66" s="441" t="s">
        <v>96</v>
      </c>
      <c r="D66" s="441"/>
      <c r="E66" s="31">
        <v>26.97</v>
      </c>
      <c r="F66" s="35">
        <v>3401</v>
      </c>
      <c r="G66" s="197">
        <f t="shared" si="27"/>
        <v>91724.97</v>
      </c>
      <c r="H66" s="206" t="s">
        <v>103</v>
      </c>
      <c r="I66" s="205">
        <v>8</v>
      </c>
      <c r="J66" s="26">
        <v>1500</v>
      </c>
      <c r="K66" s="10">
        <f t="shared" si="21"/>
        <v>187.5</v>
      </c>
      <c r="L66" s="19">
        <v>8</v>
      </c>
      <c r="M66" s="11">
        <f t="shared" si="28"/>
        <v>1417.0833333333337</v>
      </c>
      <c r="N66" s="10">
        <f t="shared" si="15"/>
        <v>177.13541666666671</v>
      </c>
      <c r="O66" s="12">
        <f t="shared" si="22"/>
        <v>0</v>
      </c>
      <c r="P66" s="13">
        <f t="shared" si="16"/>
        <v>-10.364583333333286</v>
      </c>
      <c r="Q66" s="196">
        <f t="shared" si="17"/>
        <v>0.94472222222222246</v>
      </c>
      <c r="R66" s="442"/>
      <c r="S66" s="28">
        <v>0.28124999999999989</v>
      </c>
      <c r="T66" s="28">
        <v>0.38124999999999987</v>
      </c>
      <c r="U66" s="197">
        <f>(S66-T65)*24*60</f>
        <v>6.9999999999999751</v>
      </c>
      <c r="V66" s="204">
        <f t="shared" si="29"/>
        <v>143.99999999999997</v>
      </c>
      <c r="W66" s="197"/>
      <c r="X66" s="197"/>
      <c r="Y66" s="443"/>
      <c r="Z66" s="443"/>
      <c r="AA66" s="12">
        <f t="shared" si="23"/>
        <v>-82.916666666666288</v>
      </c>
      <c r="AB66" s="196">
        <f t="shared" si="18"/>
        <v>0.94472222222222246</v>
      </c>
      <c r="AC66" s="442"/>
    </row>
    <row r="67" spans="1:29">
      <c r="A67" s="450" t="s">
        <v>764</v>
      </c>
      <c r="B67" s="207" t="s">
        <v>79</v>
      </c>
      <c r="C67" s="441" t="s">
        <v>97</v>
      </c>
      <c r="D67" s="441"/>
      <c r="E67" s="31">
        <v>35.119999999999997</v>
      </c>
      <c r="F67" s="35">
        <v>1255</v>
      </c>
      <c r="G67" s="197">
        <f t="shared" si="27"/>
        <v>44075.6</v>
      </c>
      <c r="H67" s="206" t="s">
        <v>103</v>
      </c>
      <c r="I67" s="205">
        <v>13</v>
      </c>
      <c r="J67" s="26">
        <v>2000</v>
      </c>
      <c r="K67" s="10">
        <f t="shared" si="21"/>
        <v>153.84615384615384</v>
      </c>
      <c r="L67" s="19">
        <v>13</v>
      </c>
      <c r="M67" s="11">
        <f t="shared" si="28"/>
        <v>1882.4999999999993</v>
      </c>
      <c r="N67" s="10">
        <f t="shared" si="15"/>
        <v>144.80769230769226</v>
      </c>
      <c r="O67" s="12">
        <f t="shared" si="22"/>
        <v>0</v>
      </c>
      <c r="P67" s="13">
        <f t="shared" si="16"/>
        <v>-9.0384615384615756</v>
      </c>
      <c r="Q67" s="196">
        <f t="shared" si="17"/>
        <v>0.94124999999999981</v>
      </c>
      <c r="R67" s="442"/>
      <c r="S67" s="28">
        <v>0.38541666666666652</v>
      </c>
      <c r="T67" s="28">
        <v>0.41319444444444431</v>
      </c>
      <c r="U67" s="197">
        <f>(S67-T66)*24*60</f>
        <v>5.9999999999999787</v>
      </c>
      <c r="V67" s="204">
        <f t="shared" si="29"/>
        <v>40.000000000000014</v>
      </c>
      <c r="W67" s="16"/>
      <c r="X67" s="16"/>
      <c r="Y67" s="443"/>
      <c r="Z67" s="443"/>
      <c r="AA67" s="12">
        <f t="shared" si="23"/>
        <v>-117.50000000000068</v>
      </c>
      <c r="AB67" s="196">
        <f t="shared" si="18"/>
        <v>0.9412499999999997</v>
      </c>
      <c r="AC67" s="442"/>
    </row>
    <row r="68" spans="1:29" ht="15" customHeight="1">
      <c r="A68" s="450" t="s">
        <v>764</v>
      </c>
      <c r="B68" s="207" t="s">
        <v>79</v>
      </c>
      <c r="C68" s="444" t="s">
        <v>98</v>
      </c>
      <c r="D68" s="445"/>
      <c r="E68" s="31">
        <v>35.869999999999997</v>
      </c>
      <c r="F68" s="35">
        <v>2589</v>
      </c>
      <c r="G68" s="197">
        <f t="shared" si="27"/>
        <v>92867.43</v>
      </c>
      <c r="H68" s="206" t="s">
        <v>103</v>
      </c>
      <c r="I68" s="205">
        <v>10</v>
      </c>
      <c r="J68" s="26">
        <v>3000</v>
      </c>
      <c r="K68" s="10">
        <f t="shared" si="21"/>
        <v>300</v>
      </c>
      <c r="L68" s="19">
        <v>10</v>
      </c>
      <c r="M68" s="11">
        <f t="shared" si="28"/>
        <v>2824.3636363636383</v>
      </c>
      <c r="N68" s="10">
        <f t="shared" si="15"/>
        <v>282.43636363636381</v>
      </c>
      <c r="O68" s="12">
        <f t="shared" si="22"/>
        <v>0</v>
      </c>
      <c r="P68" s="13">
        <f t="shared" si="16"/>
        <v>-17.563636363636192</v>
      </c>
      <c r="Q68" s="196">
        <f t="shared" si="17"/>
        <v>0.94145454545454599</v>
      </c>
      <c r="R68" s="442"/>
      <c r="S68" s="28">
        <v>0.41736111111111096</v>
      </c>
      <c r="T68" s="28">
        <v>0.45555555555555538</v>
      </c>
      <c r="U68" s="197">
        <f>(S68-T67)*24*60</f>
        <v>5.9999999999999787</v>
      </c>
      <c r="V68" s="204">
        <f t="shared" si="29"/>
        <v>54.999999999999964</v>
      </c>
      <c r="W68" s="197"/>
      <c r="X68" s="197"/>
      <c r="Y68" s="447"/>
      <c r="Z68" s="448"/>
      <c r="AA68" s="12">
        <f t="shared" si="23"/>
        <v>-175.63636363636169</v>
      </c>
      <c r="AB68" s="196">
        <f t="shared" si="18"/>
        <v>0.9414545454545461</v>
      </c>
      <c r="AC68" s="442"/>
    </row>
    <row r="69" spans="1:29">
      <c r="A69" s="450" t="s">
        <v>764</v>
      </c>
      <c r="B69" s="31" t="s">
        <v>763</v>
      </c>
      <c r="C69" s="446"/>
      <c r="D69" s="446"/>
      <c r="E69" s="200"/>
      <c r="F69" s="33"/>
      <c r="G69" s="10"/>
      <c r="H69" s="207"/>
      <c r="I69" s="19">
        <v>11.333333333333334</v>
      </c>
      <c r="J69" s="26">
        <v>2483.3333333333335</v>
      </c>
      <c r="K69" s="10">
        <f t="shared" si="21"/>
        <v>219.11764705882354</v>
      </c>
      <c r="L69" s="19">
        <v>11.333333333333334</v>
      </c>
      <c r="M69" s="11">
        <f>AVERAGE(M63:M68)</f>
        <v>2351.9246528092499</v>
      </c>
      <c r="N69" s="10">
        <f t="shared" ref="N69:N77" si="30">M69/L69</f>
        <v>207.52276348316909</v>
      </c>
      <c r="O69" s="12">
        <f t="shared" si="22"/>
        <v>0</v>
      </c>
      <c r="P69" s="13">
        <f t="shared" ref="P69:P77" si="31">N69-K69</f>
        <v>-11.59488357565445</v>
      </c>
      <c r="Q69" s="196">
        <f t="shared" ref="Q69:Q77" si="32">N69/K69</f>
        <v>0.94708375280909374</v>
      </c>
      <c r="R69" s="442"/>
      <c r="S69" s="28"/>
      <c r="T69" s="28"/>
      <c r="U69" s="10"/>
      <c r="V69" s="204"/>
      <c r="W69" s="10"/>
      <c r="X69" s="10"/>
      <c r="Y69" s="443"/>
      <c r="Z69" s="443"/>
      <c r="AA69" s="12">
        <f t="shared" si="23"/>
        <v>-131.40868052408359</v>
      </c>
      <c r="AB69" s="196">
        <f t="shared" ref="AB69:AB77" si="33">M69/J69</f>
        <v>0.94708375280909385</v>
      </c>
      <c r="AC69" s="442"/>
    </row>
    <row r="70" spans="1:29" ht="15.75" customHeight="1">
      <c r="A70" s="439" t="s">
        <v>762</v>
      </c>
      <c r="B70" s="207" t="s">
        <v>67</v>
      </c>
      <c r="C70" s="441" t="s">
        <v>99</v>
      </c>
      <c r="D70" s="441"/>
      <c r="E70" s="31">
        <v>20.2</v>
      </c>
      <c r="F70" s="207">
        <v>2993</v>
      </c>
      <c r="G70" s="197">
        <f t="shared" ref="G70:G76" si="34">E70*F70</f>
        <v>60458.6</v>
      </c>
      <c r="H70" s="206" t="s">
        <v>103</v>
      </c>
      <c r="I70" s="205">
        <v>19</v>
      </c>
      <c r="J70" s="26">
        <v>2400</v>
      </c>
      <c r="K70" s="10">
        <f t="shared" si="21"/>
        <v>126.31578947368421</v>
      </c>
      <c r="L70" s="19">
        <v>19</v>
      </c>
      <c r="M70" s="11">
        <f t="shared" ref="M70:M76" si="35">F70/V70*60</f>
        <v>2273.1645569620255</v>
      </c>
      <c r="N70" s="10">
        <f t="shared" si="30"/>
        <v>119.6402398401066</v>
      </c>
      <c r="O70" s="12">
        <f t="shared" si="22"/>
        <v>0</v>
      </c>
      <c r="P70" s="13">
        <f t="shared" si="31"/>
        <v>-6.675549633577603</v>
      </c>
      <c r="Q70" s="196">
        <f t="shared" si="32"/>
        <v>0.94715189873417727</v>
      </c>
      <c r="R70" s="442">
        <f>Q77</f>
        <v>0.94850935779467616</v>
      </c>
      <c r="S70" s="28">
        <v>0.125</v>
      </c>
      <c r="T70" s="28">
        <v>0.17986111111111111</v>
      </c>
      <c r="U70" s="18"/>
      <c r="V70" s="204">
        <f t="shared" ref="V70:V76" si="36">(T70-S70)*24*60</f>
        <v>79</v>
      </c>
      <c r="W70" s="16">
        <f>T70</f>
        <v>0.17986111111111111</v>
      </c>
      <c r="X70" s="16">
        <f>S71</f>
        <v>0.19930555555555554</v>
      </c>
      <c r="Y70" s="443"/>
      <c r="Z70" s="443"/>
      <c r="AA70" s="12">
        <f t="shared" si="23"/>
        <v>-126.83544303797453</v>
      </c>
      <c r="AB70" s="196">
        <f t="shared" si="33"/>
        <v>0.94715189873417727</v>
      </c>
      <c r="AC70" s="442">
        <f>AB77</f>
        <v>0.94850935779467604</v>
      </c>
    </row>
    <row r="71" spans="1:29" ht="15.75" customHeight="1">
      <c r="A71" s="439" t="s">
        <v>761</v>
      </c>
      <c r="B71" s="207" t="s">
        <v>67</v>
      </c>
      <c r="C71" s="441" t="s">
        <v>100</v>
      </c>
      <c r="D71" s="441"/>
      <c r="E71" s="31">
        <v>19.02</v>
      </c>
      <c r="F71" s="207">
        <v>6500</v>
      </c>
      <c r="G71" s="197">
        <f t="shared" si="34"/>
        <v>123630</v>
      </c>
      <c r="H71" s="206">
        <v>2</v>
      </c>
      <c r="I71" s="205">
        <v>15</v>
      </c>
      <c r="J71" s="26">
        <v>2400</v>
      </c>
      <c r="K71" s="10">
        <f t="shared" si="21"/>
        <v>160</v>
      </c>
      <c r="L71" s="19">
        <v>15</v>
      </c>
      <c r="M71" s="11">
        <f t="shared" si="35"/>
        <v>2267.4418604651164</v>
      </c>
      <c r="N71" s="10">
        <f t="shared" si="30"/>
        <v>151.16279069767444</v>
      </c>
      <c r="O71" s="12">
        <f t="shared" si="22"/>
        <v>0</v>
      </c>
      <c r="P71" s="13">
        <f t="shared" si="31"/>
        <v>-8.8372093023255616</v>
      </c>
      <c r="Q71" s="196">
        <f t="shared" si="32"/>
        <v>0.94476744186046524</v>
      </c>
      <c r="R71" s="442"/>
      <c r="S71" s="28">
        <v>0.19930555555555554</v>
      </c>
      <c r="T71" s="28">
        <v>0.31874999999999998</v>
      </c>
      <c r="U71" s="197">
        <f t="shared" ref="U71:U76" si="37">(S71-T70)*24*60</f>
        <v>27.999999999999979</v>
      </c>
      <c r="V71" s="204">
        <f t="shared" si="36"/>
        <v>171.99999999999997</v>
      </c>
      <c r="W71" s="16"/>
      <c r="X71" s="16"/>
      <c r="Y71" s="443"/>
      <c r="Z71" s="443"/>
      <c r="AA71" s="12">
        <f t="shared" si="23"/>
        <v>-132.55813953488359</v>
      </c>
      <c r="AB71" s="196">
        <f t="shared" si="33"/>
        <v>0.94476744186046513</v>
      </c>
      <c r="AC71" s="442"/>
    </row>
    <row r="72" spans="1:29" ht="15.75" customHeight="1">
      <c r="A72" s="439" t="s">
        <v>761</v>
      </c>
      <c r="B72" s="207" t="s">
        <v>67</v>
      </c>
      <c r="C72" s="441" t="s">
        <v>101</v>
      </c>
      <c r="D72" s="441"/>
      <c r="E72" s="31">
        <v>25</v>
      </c>
      <c r="F72" s="207">
        <v>4607</v>
      </c>
      <c r="G72" s="197">
        <f t="shared" si="34"/>
        <v>115175</v>
      </c>
      <c r="H72" s="206" t="s">
        <v>103</v>
      </c>
      <c r="I72" s="205">
        <v>15</v>
      </c>
      <c r="J72" s="26">
        <v>2400</v>
      </c>
      <c r="K72" s="10">
        <f t="shared" si="21"/>
        <v>160</v>
      </c>
      <c r="L72" s="19">
        <v>15</v>
      </c>
      <c r="M72" s="11">
        <f t="shared" si="35"/>
        <v>2265.7377049180336</v>
      </c>
      <c r="N72" s="10">
        <f t="shared" si="30"/>
        <v>151.0491803278689</v>
      </c>
      <c r="O72" s="12">
        <f t="shared" si="22"/>
        <v>0</v>
      </c>
      <c r="P72" s="13">
        <f t="shared" si="31"/>
        <v>-8.9508196721311037</v>
      </c>
      <c r="Q72" s="196">
        <f t="shared" si="32"/>
        <v>0.94405737704918058</v>
      </c>
      <c r="R72" s="442"/>
      <c r="S72" s="28">
        <v>0.32361111111111107</v>
      </c>
      <c r="T72" s="28">
        <v>0.40833333333333327</v>
      </c>
      <c r="U72" s="197">
        <f t="shared" si="37"/>
        <v>6.9999999999999751</v>
      </c>
      <c r="V72" s="204">
        <f t="shared" si="36"/>
        <v>121.99999999999997</v>
      </c>
      <c r="W72" s="16"/>
      <c r="X72" s="16"/>
      <c r="Y72" s="443"/>
      <c r="Z72" s="443"/>
      <c r="AA72" s="12">
        <f t="shared" si="23"/>
        <v>-134.26229508196639</v>
      </c>
      <c r="AB72" s="196">
        <f t="shared" si="33"/>
        <v>0.94405737704918069</v>
      </c>
      <c r="AC72" s="442"/>
    </row>
    <row r="73" spans="1:29" ht="15.75" customHeight="1">
      <c r="A73" s="439" t="s">
        <v>761</v>
      </c>
      <c r="B73" s="207" t="s">
        <v>67</v>
      </c>
      <c r="C73" s="441" t="s">
        <v>102</v>
      </c>
      <c r="D73" s="441"/>
      <c r="E73" s="31">
        <v>20.52</v>
      </c>
      <c r="F73" s="207">
        <v>2850</v>
      </c>
      <c r="G73" s="197">
        <f t="shared" si="34"/>
        <v>58482</v>
      </c>
      <c r="H73" s="206">
        <v>2</v>
      </c>
      <c r="I73" s="205">
        <v>18</v>
      </c>
      <c r="J73" s="26">
        <v>2400</v>
      </c>
      <c r="K73" s="10">
        <f t="shared" si="21"/>
        <v>133.33333333333334</v>
      </c>
      <c r="L73" s="19">
        <v>18</v>
      </c>
      <c r="M73" s="11">
        <f t="shared" si="35"/>
        <v>2280.0000000000009</v>
      </c>
      <c r="N73" s="10">
        <f t="shared" si="30"/>
        <v>126.66666666666671</v>
      </c>
      <c r="O73" s="12">
        <f t="shared" si="22"/>
        <v>0</v>
      </c>
      <c r="P73" s="13">
        <f t="shared" si="31"/>
        <v>-6.6666666666666288</v>
      </c>
      <c r="Q73" s="196">
        <f t="shared" si="32"/>
        <v>0.95000000000000029</v>
      </c>
      <c r="R73" s="442"/>
      <c r="S73" s="28">
        <v>0.41249999999999992</v>
      </c>
      <c r="T73" s="28">
        <v>0.46458333333333324</v>
      </c>
      <c r="U73" s="197">
        <f t="shared" si="37"/>
        <v>5.9999999999999787</v>
      </c>
      <c r="V73" s="204">
        <f t="shared" si="36"/>
        <v>74.999999999999972</v>
      </c>
      <c r="W73" s="16"/>
      <c r="X73" s="16"/>
      <c r="Y73" s="443"/>
      <c r="Z73" s="443"/>
      <c r="AA73" s="12">
        <f t="shared" si="23"/>
        <v>-119.99999999999909</v>
      </c>
      <c r="AB73" s="196">
        <f t="shared" si="33"/>
        <v>0.9500000000000004</v>
      </c>
      <c r="AC73" s="442"/>
    </row>
    <row r="74" spans="1:29" ht="15.75" customHeight="1">
      <c r="A74" s="439" t="s">
        <v>761</v>
      </c>
      <c r="B74" s="207" t="s">
        <v>67</v>
      </c>
      <c r="C74" s="441" t="s">
        <v>71</v>
      </c>
      <c r="D74" s="441"/>
      <c r="E74" s="31">
        <v>22.35</v>
      </c>
      <c r="F74" s="207">
        <v>2012</v>
      </c>
      <c r="G74" s="197">
        <f t="shared" si="34"/>
        <v>44968.200000000004</v>
      </c>
      <c r="H74" s="206" t="s">
        <v>103</v>
      </c>
      <c r="I74" s="205">
        <v>16</v>
      </c>
      <c r="J74" s="26">
        <v>2400</v>
      </c>
      <c r="K74" s="10">
        <f t="shared" si="21"/>
        <v>150</v>
      </c>
      <c r="L74" s="19">
        <v>16</v>
      </c>
      <c r="M74" s="11">
        <f t="shared" si="35"/>
        <v>2277.7358490566053</v>
      </c>
      <c r="N74" s="10">
        <f t="shared" si="30"/>
        <v>142.35849056603783</v>
      </c>
      <c r="O74" s="12">
        <f t="shared" si="22"/>
        <v>0</v>
      </c>
      <c r="P74" s="13">
        <f t="shared" si="31"/>
        <v>-7.6415094339621703</v>
      </c>
      <c r="Q74" s="196">
        <f t="shared" si="32"/>
        <v>0.94905660377358558</v>
      </c>
      <c r="R74" s="442"/>
      <c r="S74" s="28">
        <v>0.46805555555555545</v>
      </c>
      <c r="T74" s="28">
        <v>0.50486111111111098</v>
      </c>
      <c r="U74" s="197">
        <f t="shared" si="37"/>
        <v>4.9999999999999822</v>
      </c>
      <c r="V74" s="204">
        <f t="shared" si="36"/>
        <v>52.999999999999972</v>
      </c>
      <c r="W74" s="16">
        <f>T74</f>
        <v>0.50486111111111098</v>
      </c>
      <c r="X74" s="16">
        <f>S75</f>
        <v>0.54444444444444429</v>
      </c>
      <c r="Y74" s="443"/>
      <c r="Z74" s="443"/>
      <c r="AA74" s="12">
        <f t="shared" si="23"/>
        <v>-122.26415094339472</v>
      </c>
      <c r="AB74" s="196">
        <f t="shared" si="33"/>
        <v>0.94905660377358558</v>
      </c>
      <c r="AC74" s="442"/>
    </row>
    <row r="75" spans="1:29" ht="15.75" customHeight="1">
      <c r="A75" s="439" t="s">
        <v>760</v>
      </c>
      <c r="B75" s="207" t="s">
        <v>67</v>
      </c>
      <c r="C75" s="441" t="s">
        <v>100</v>
      </c>
      <c r="D75" s="441"/>
      <c r="E75" s="31">
        <v>19.02</v>
      </c>
      <c r="F75" s="207">
        <v>5186</v>
      </c>
      <c r="G75" s="197">
        <f t="shared" si="34"/>
        <v>98637.72</v>
      </c>
      <c r="H75" s="206" t="s">
        <v>103</v>
      </c>
      <c r="I75" s="205">
        <v>15</v>
      </c>
      <c r="J75" s="26">
        <v>2400</v>
      </c>
      <c r="K75" s="10">
        <f t="shared" si="21"/>
        <v>160</v>
      </c>
      <c r="L75" s="19">
        <v>15</v>
      </c>
      <c r="M75" s="11">
        <f t="shared" si="35"/>
        <v>2271.2408759124087</v>
      </c>
      <c r="N75" s="10">
        <f t="shared" si="30"/>
        <v>151.41605839416059</v>
      </c>
      <c r="O75" s="12">
        <f t="shared" si="22"/>
        <v>0</v>
      </c>
      <c r="P75" s="13">
        <f t="shared" si="31"/>
        <v>-8.5839416058394136</v>
      </c>
      <c r="Q75" s="196">
        <f t="shared" si="32"/>
        <v>0.94635036496350367</v>
      </c>
      <c r="R75" s="442"/>
      <c r="S75" s="28">
        <v>0.54444444444444429</v>
      </c>
      <c r="T75" s="28">
        <v>0.63958333333333317</v>
      </c>
      <c r="U75" s="197">
        <f t="shared" si="37"/>
        <v>56.999999999999957</v>
      </c>
      <c r="V75" s="204">
        <f t="shared" si="36"/>
        <v>137</v>
      </c>
      <c r="W75" s="16"/>
      <c r="X75" s="16"/>
      <c r="Y75" s="443"/>
      <c r="Z75" s="443"/>
      <c r="AA75" s="12">
        <f t="shared" si="23"/>
        <v>-128.75912408759132</v>
      </c>
      <c r="AB75" s="196">
        <f t="shared" si="33"/>
        <v>0.94635036496350367</v>
      </c>
      <c r="AC75" s="442"/>
    </row>
    <row r="76" spans="1:29" ht="15.75" customHeight="1">
      <c r="A76" s="439" t="s">
        <v>760</v>
      </c>
      <c r="B76" s="207" t="s">
        <v>67</v>
      </c>
      <c r="C76" s="444" t="s">
        <v>102</v>
      </c>
      <c r="D76" s="445"/>
      <c r="E76" s="31">
        <v>20.52</v>
      </c>
      <c r="F76" s="207">
        <v>2108</v>
      </c>
      <c r="G76" s="197">
        <f t="shared" si="34"/>
        <v>43256.159999999996</v>
      </c>
      <c r="H76" s="206" t="s">
        <v>103</v>
      </c>
      <c r="I76" s="205">
        <v>18</v>
      </c>
      <c r="J76" s="26">
        <v>2400</v>
      </c>
      <c r="K76" s="10">
        <f t="shared" si="21"/>
        <v>133.33333333333334</v>
      </c>
      <c r="L76" s="19">
        <v>18</v>
      </c>
      <c r="M76" s="11">
        <f t="shared" si="35"/>
        <v>2299.6363636363649</v>
      </c>
      <c r="N76" s="10">
        <f t="shared" si="30"/>
        <v>127.75757575757582</v>
      </c>
      <c r="O76" s="12">
        <f t="shared" si="22"/>
        <v>0</v>
      </c>
      <c r="P76" s="13">
        <f t="shared" si="31"/>
        <v>-5.5757575757575211</v>
      </c>
      <c r="Q76" s="196">
        <f t="shared" si="32"/>
        <v>0.95818181818181858</v>
      </c>
      <c r="R76" s="442"/>
      <c r="S76" s="28">
        <v>0.64444444444444426</v>
      </c>
      <c r="T76" s="28">
        <v>0.68263888888888868</v>
      </c>
      <c r="U76" s="197">
        <f t="shared" si="37"/>
        <v>6.9999999999999751</v>
      </c>
      <c r="V76" s="204">
        <f t="shared" si="36"/>
        <v>54.999999999999964</v>
      </c>
      <c r="W76" s="16"/>
      <c r="X76" s="16"/>
      <c r="Y76" s="447"/>
      <c r="Z76" s="448"/>
      <c r="AA76" s="12">
        <f t="shared" si="23"/>
        <v>-100.36363636363512</v>
      </c>
      <c r="AB76" s="196">
        <f t="shared" si="33"/>
        <v>0.95818181818181869</v>
      </c>
      <c r="AC76" s="442"/>
    </row>
    <row r="77" spans="1:29" ht="16.5" customHeight="1">
      <c r="A77" s="440" t="s">
        <v>760</v>
      </c>
      <c r="B77" s="31" t="s">
        <v>759</v>
      </c>
      <c r="C77" s="446"/>
      <c r="D77" s="446"/>
      <c r="E77" s="200"/>
      <c r="F77" s="33"/>
      <c r="G77" s="10"/>
      <c r="H77" s="207"/>
      <c r="I77" s="19">
        <v>16.571428571428573</v>
      </c>
      <c r="J77" s="26">
        <v>2400</v>
      </c>
      <c r="K77" s="10">
        <f t="shared" si="21"/>
        <v>144.82758620689654</v>
      </c>
      <c r="L77" s="19">
        <v>16.571428571428573</v>
      </c>
      <c r="M77" s="11">
        <f>AVERAGE(M70:M76)</f>
        <v>2276.4224587072226</v>
      </c>
      <c r="N77" s="10">
        <f t="shared" si="30"/>
        <v>137.37032078405653</v>
      </c>
      <c r="O77" s="12">
        <f t="shared" si="22"/>
        <v>0</v>
      </c>
      <c r="P77" s="13">
        <f t="shared" si="31"/>
        <v>-7.4572654228400097</v>
      </c>
      <c r="Q77" s="196">
        <f t="shared" si="32"/>
        <v>0.94850935779467616</v>
      </c>
      <c r="R77" s="442"/>
      <c r="S77" s="28"/>
      <c r="T77" s="28"/>
      <c r="U77" s="10"/>
      <c r="V77" s="204"/>
      <c r="W77" s="10"/>
      <c r="X77" s="10"/>
      <c r="Y77" s="443"/>
      <c r="Z77" s="443"/>
      <c r="AA77" s="12">
        <f t="shared" si="23"/>
        <v>-123.57754129277737</v>
      </c>
      <c r="AB77" s="196">
        <f t="shared" si="33"/>
        <v>0.94850935779467604</v>
      </c>
      <c r="AC77" s="442"/>
    </row>
    <row r="78" spans="1:29">
      <c r="D78" s="22"/>
      <c r="E78" s="22"/>
    </row>
  </sheetData>
  <mergeCells count="202">
    <mergeCell ref="C30:D30"/>
    <mergeCell ref="C41:D41"/>
    <mergeCell ref="Y41:Z41"/>
    <mergeCell ref="C42:D42"/>
    <mergeCell ref="Y42:Z42"/>
    <mergeCell ref="C43:D43"/>
    <mergeCell ref="Y43:Z43"/>
    <mergeCell ref="Y37:Z37"/>
    <mergeCell ref="C38:D38"/>
    <mergeCell ref="Y38:Z38"/>
    <mergeCell ref="S1:X2"/>
    <mergeCell ref="Y1:Z2"/>
    <mergeCell ref="AA1:AC2"/>
    <mergeCell ref="C52:D52"/>
    <mergeCell ref="C53:D53"/>
    <mergeCell ref="C54:D54"/>
    <mergeCell ref="Y52:Z52"/>
    <mergeCell ref="Y53:Z53"/>
    <mergeCell ref="Y54:Z54"/>
    <mergeCell ref="S3:T3"/>
    <mergeCell ref="I1:K2"/>
    <mergeCell ref="L1:N2"/>
    <mergeCell ref="O1:R2"/>
    <mergeCell ref="P3:P4"/>
    <mergeCell ref="Q3:Q4"/>
    <mergeCell ref="R3:R4"/>
    <mergeCell ref="I3:I4"/>
    <mergeCell ref="J3:J4"/>
    <mergeCell ref="K3:K4"/>
    <mergeCell ref="L3:L4"/>
    <mergeCell ref="C13:D13"/>
    <mergeCell ref="Y13:Z13"/>
    <mergeCell ref="C8:D8"/>
    <mergeCell ref="Y8:Z8"/>
    <mergeCell ref="Y9:Z9"/>
    <mergeCell ref="A3:A4"/>
    <mergeCell ref="B3:B4"/>
    <mergeCell ref="C3:D4"/>
    <mergeCell ref="E3:E4"/>
    <mergeCell ref="F3:F4"/>
    <mergeCell ref="G3:G4"/>
    <mergeCell ref="AA3:AA4"/>
    <mergeCell ref="AB3:AB4"/>
    <mergeCell ref="N3:N4"/>
    <mergeCell ref="O3:O4"/>
    <mergeCell ref="H3:H4"/>
    <mergeCell ref="M3:M4"/>
    <mergeCell ref="AC3:AC4"/>
    <mergeCell ref="A5:A8"/>
    <mergeCell ref="C5:D5"/>
    <mergeCell ref="R5:R8"/>
    <mergeCell ref="Y5:Z5"/>
    <mergeCell ref="AC5:AC8"/>
    <mergeCell ref="AC9:AC13"/>
    <mergeCell ref="C10:D10"/>
    <mergeCell ref="Y10:Z10"/>
    <mergeCell ref="C11:D11"/>
    <mergeCell ref="Y11:Z11"/>
    <mergeCell ref="C12:D12"/>
    <mergeCell ref="Y12:Z12"/>
    <mergeCell ref="C6:D6"/>
    <mergeCell ref="Y6:Z6"/>
    <mergeCell ref="C7:D7"/>
    <mergeCell ref="Y7:Z7"/>
    <mergeCell ref="U3:U4"/>
    <mergeCell ref="V3:V4"/>
    <mergeCell ref="W3:X3"/>
    <mergeCell ref="Y3:Z4"/>
    <mergeCell ref="A9:A13"/>
    <mergeCell ref="C9:D9"/>
    <mergeCell ref="R9:R13"/>
    <mergeCell ref="C23:D23"/>
    <mergeCell ref="Y23:Z23"/>
    <mergeCell ref="C19:D19"/>
    <mergeCell ref="R19:R24"/>
    <mergeCell ref="Y19:Z19"/>
    <mergeCell ref="C24:D24"/>
    <mergeCell ref="Y24:Z24"/>
    <mergeCell ref="A14:A18"/>
    <mergeCell ref="C14:D14"/>
    <mergeCell ref="R14:R18"/>
    <mergeCell ref="Y14:Z14"/>
    <mergeCell ref="C18:D18"/>
    <mergeCell ref="Y18:Z18"/>
    <mergeCell ref="Y17:Z17"/>
    <mergeCell ref="A19:A24"/>
    <mergeCell ref="AC14:AC18"/>
    <mergeCell ref="C15:D15"/>
    <mergeCell ref="Y15:Z15"/>
    <mergeCell ref="C16:D16"/>
    <mergeCell ref="Y16:Z16"/>
    <mergeCell ref="C17:D17"/>
    <mergeCell ref="Y32:Z32"/>
    <mergeCell ref="AC25:AC33"/>
    <mergeCell ref="C26:D26"/>
    <mergeCell ref="Y26:Z26"/>
    <mergeCell ref="C27:D27"/>
    <mergeCell ref="Y27:Z27"/>
    <mergeCell ref="C28:D28"/>
    <mergeCell ref="Y28:Z28"/>
    <mergeCell ref="C29:D29"/>
    <mergeCell ref="Y29:Z29"/>
    <mergeCell ref="Y31:Z31"/>
    <mergeCell ref="AC19:AC24"/>
    <mergeCell ref="C20:D20"/>
    <mergeCell ref="Y20:Z20"/>
    <mergeCell ref="C21:D21"/>
    <mergeCell ref="Y21:Z21"/>
    <mergeCell ref="C22:D22"/>
    <mergeCell ref="Y22:Z22"/>
    <mergeCell ref="AC34:AC44"/>
    <mergeCell ref="C35:D35"/>
    <mergeCell ref="Y35:Z35"/>
    <mergeCell ref="C36:D36"/>
    <mergeCell ref="Y36:Z36"/>
    <mergeCell ref="C37:D37"/>
    <mergeCell ref="C33:D33"/>
    <mergeCell ref="Y33:Z33"/>
    <mergeCell ref="C32:D32"/>
    <mergeCell ref="Y44:Z44"/>
    <mergeCell ref="A34:A44"/>
    <mergeCell ref="C34:D34"/>
    <mergeCell ref="C55:D55"/>
    <mergeCell ref="Y55:Z55"/>
    <mergeCell ref="A25:A33"/>
    <mergeCell ref="C25:D25"/>
    <mergeCell ref="R25:R33"/>
    <mergeCell ref="Y25:Z25"/>
    <mergeCell ref="Y30:Z30"/>
    <mergeCell ref="C31:D31"/>
    <mergeCell ref="A45:A55"/>
    <mergeCell ref="C45:D45"/>
    <mergeCell ref="R45:R55"/>
    <mergeCell ref="Y45:Z45"/>
    <mergeCell ref="Y50:Z50"/>
    <mergeCell ref="C51:D51"/>
    <mergeCell ref="Y51:Z51"/>
    <mergeCell ref="C39:D39"/>
    <mergeCell ref="Y39:Z39"/>
    <mergeCell ref="C40:D40"/>
    <mergeCell ref="Y40:Z40"/>
    <mergeCell ref="R34:R44"/>
    <mergeCell ref="Y34:Z34"/>
    <mergeCell ref="C44:D44"/>
    <mergeCell ref="AC45:AC55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Y65:Z65"/>
    <mergeCell ref="C66:D66"/>
    <mergeCell ref="C63:D63"/>
    <mergeCell ref="R63:R69"/>
    <mergeCell ref="Y63:Z63"/>
    <mergeCell ref="C69:D69"/>
    <mergeCell ref="Y69:Z69"/>
    <mergeCell ref="Y66:Z66"/>
    <mergeCell ref="C67:D67"/>
    <mergeCell ref="Y67:Z67"/>
    <mergeCell ref="C68:D68"/>
    <mergeCell ref="Y68:Z68"/>
    <mergeCell ref="AC56:AC62"/>
    <mergeCell ref="C57:D57"/>
    <mergeCell ref="Y57:Z57"/>
    <mergeCell ref="C58:D58"/>
    <mergeCell ref="C61:D61"/>
    <mergeCell ref="Y61:Z61"/>
    <mergeCell ref="C62:D62"/>
    <mergeCell ref="Y62:Z62"/>
    <mergeCell ref="A56:A62"/>
    <mergeCell ref="C56:D56"/>
    <mergeCell ref="R56:R62"/>
    <mergeCell ref="Y56:Z56"/>
    <mergeCell ref="A70:A77"/>
    <mergeCell ref="C70:D70"/>
    <mergeCell ref="R70:R77"/>
    <mergeCell ref="Y70:Z70"/>
    <mergeCell ref="Y75:Z75"/>
    <mergeCell ref="A63:A69"/>
    <mergeCell ref="AC70:AC77"/>
    <mergeCell ref="C71:D71"/>
    <mergeCell ref="Y71:Z71"/>
    <mergeCell ref="C72:D72"/>
    <mergeCell ref="Y72:Z72"/>
    <mergeCell ref="C73:D73"/>
    <mergeCell ref="Y73:Z73"/>
    <mergeCell ref="C74:D74"/>
    <mergeCell ref="Y74:Z74"/>
    <mergeCell ref="C75:D75"/>
    <mergeCell ref="C76:D76"/>
    <mergeCell ref="Y76:Z76"/>
    <mergeCell ref="C77:D77"/>
    <mergeCell ref="Y77:Z77"/>
    <mergeCell ref="AC63:AC69"/>
    <mergeCell ref="C64:D64"/>
    <mergeCell ref="Y64:Z64"/>
    <mergeCell ref="C65:D65"/>
  </mergeCells>
  <phoneticPr fontId="3" type="noConversion"/>
  <conditionalFormatting sqref="O66:O75 O77 O5:O9 O13:O15 O55:O63 O18:O44">
    <cfRule type="cellIs" dxfId="527" priority="45" operator="greaterThan">
      <formula>0</formula>
    </cfRule>
  </conditionalFormatting>
  <conditionalFormatting sqref="P5:P7 P66:P68 AA66:AA68 P70:P75 P25:P32 P63 P9 P13:P15 P19:P23 AA5:AA44 AA70:AA77 AA55:AA63 P34:P61">
    <cfRule type="cellIs" dxfId="526" priority="49" operator="lessThan">
      <formula>0</formula>
    </cfRule>
  </conditionalFormatting>
  <conditionalFormatting sqref="Q66:Q75 Q77 Q5:Q9 Q13:Q15 Q18:Q63 AB5:AB77">
    <cfRule type="cellIs" dxfId="525" priority="46" operator="greaterThan">
      <formula>1</formula>
    </cfRule>
    <cfRule type="cellIs" dxfId="524" priority="47" operator="lessThan">
      <formula>0.8</formula>
    </cfRule>
  </conditionalFormatting>
  <conditionalFormatting sqref="AC14:AC15 R14:R15 AC66 R66:R75 R18:R41 AC18:AC41 R77 AC5:AC9 R5:R9 R44:R50 AC44:AC50 AC55:AC63 R55:R63">
    <cfRule type="cellIs" dxfId="523" priority="51" operator="lessThan">
      <formula>0.8</formula>
    </cfRule>
  </conditionalFormatting>
  <conditionalFormatting sqref="AC45">
    <cfRule type="cellIs" dxfId="522" priority="53" operator="lessThan">
      <formula>0.8</formula>
    </cfRule>
  </conditionalFormatting>
  <conditionalFormatting sqref="AC19:AC23">
    <cfRule type="cellIs" dxfId="521" priority="50" operator="lessThan">
      <formula>0.8</formula>
    </cfRule>
  </conditionalFormatting>
  <conditionalFormatting sqref="AC25">
    <cfRule type="cellIs" dxfId="520" priority="52" operator="lessThan">
      <formula>0.8</formula>
    </cfRule>
  </conditionalFormatting>
  <conditionalFormatting sqref="AC34:AC41">
    <cfRule type="cellIs" dxfId="519" priority="48" operator="lessThan">
      <formula>0.8</formula>
    </cfRule>
  </conditionalFormatting>
  <conditionalFormatting sqref="AA69">
    <cfRule type="cellIs" dxfId="518" priority="44" operator="lessThan">
      <formula>0</formula>
    </cfRule>
  </conditionalFormatting>
  <conditionalFormatting sqref="O16:O17">
    <cfRule type="cellIs" dxfId="517" priority="39" operator="greaterThan">
      <formula>0</formula>
    </cfRule>
  </conditionalFormatting>
  <conditionalFormatting sqref="P16:P17">
    <cfRule type="cellIs" dxfId="516" priority="42" operator="lessThan">
      <formula>0</formula>
    </cfRule>
  </conditionalFormatting>
  <conditionalFormatting sqref="Q16:Q17">
    <cfRule type="cellIs" dxfId="515" priority="40" operator="greaterThan">
      <formula>1</formula>
    </cfRule>
    <cfRule type="cellIs" dxfId="514" priority="41" operator="lessThan">
      <formula>0.8</formula>
    </cfRule>
  </conditionalFormatting>
  <conditionalFormatting sqref="R16:R17 AC16:AC17">
    <cfRule type="cellIs" dxfId="513" priority="43" operator="lessThan">
      <formula>0.8</formula>
    </cfRule>
  </conditionalFormatting>
  <conditionalFormatting sqref="O10:O12">
    <cfRule type="cellIs" dxfId="512" priority="35" operator="greaterThan">
      <formula>0</formula>
    </cfRule>
  </conditionalFormatting>
  <conditionalFormatting sqref="P10:P12">
    <cfRule type="cellIs" dxfId="511" priority="38" operator="lessThan">
      <formula>0</formula>
    </cfRule>
  </conditionalFormatting>
  <conditionalFormatting sqref="Q10:Q12">
    <cfRule type="cellIs" dxfId="510" priority="36" operator="greaterThan">
      <formula>1</formula>
    </cfRule>
    <cfRule type="cellIs" dxfId="509" priority="37" operator="lessThan">
      <formula>0.8</formula>
    </cfRule>
  </conditionalFormatting>
  <conditionalFormatting sqref="R42 AC42">
    <cfRule type="cellIs" dxfId="508" priority="34" operator="lessThan">
      <formula>0.8</formula>
    </cfRule>
  </conditionalFormatting>
  <conditionalFormatting sqref="AC42">
    <cfRule type="cellIs" dxfId="507" priority="33" operator="lessThan">
      <formula>0.8</formula>
    </cfRule>
  </conditionalFormatting>
  <conditionalFormatting sqref="O65">
    <cfRule type="cellIs" dxfId="506" priority="28" operator="greaterThan">
      <formula>0</formula>
    </cfRule>
  </conditionalFormatting>
  <conditionalFormatting sqref="P65 AA65">
    <cfRule type="cellIs" dxfId="505" priority="31" operator="lessThan">
      <formula>0</formula>
    </cfRule>
  </conditionalFormatting>
  <conditionalFormatting sqref="Q65">
    <cfRule type="cellIs" dxfId="504" priority="29" operator="greaterThan">
      <formula>1</formula>
    </cfRule>
    <cfRule type="cellIs" dxfId="503" priority="30" operator="lessThan">
      <formula>0.8</formula>
    </cfRule>
  </conditionalFormatting>
  <conditionalFormatting sqref="R65 AC65">
    <cfRule type="cellIs" dxfId="502" priority="32" operator="lessThan">
      <formula>0.8</formula>
    </cfRule>
  </conditionalFormatting>
  <conditionalFormatting sqref="O76">
    <cfRule type="cellIs" dxfId="501" priority="23" operator="greaterThan">
      <formula>0</formula>
    </cfRule>
  </conditionalFormatting>
  <conditionalFormatting sqref="P76">
    <cfRule type="cellIs" dxfId="500" priority="26" operator="lessThan">
      <formula>0</formula>
    </cfRule>
  </conditionalFormatting>
  <conditionalFormatting sqref="Q76">
    <cfRule type="cellIs" dxfId="499" priority="24" operator="greaterThan">
      <formula>1</formula>
    </cfRule>
    <cfRule type="cellIs" dxfId="498" priority="25" operator="lessThan">
      <formula>0.8</formula>
    </cfRule>
  </conditionalFormatting>
  <conditionalFormatting sqref="R76">
    <cfRule type="cellIs" dxfId="497" priority="27" operator="lessThan">
      <formula>0.8</formula>
    </cfRule>
  </conditionalFormatting>
  <conditionalFormatting sqref="R51:R54 AC51:AC54">
    <cfRule type="cellIs" dxfId="496" priority="22" operator="lessThan">
      <formula>0.8</formula>
    </cfRule>
  </conditionalFormatting>
  <conditionalFormatting sqref="AC51:AC54">
    <cfRule type="cellIs" dxfId="495" priority="21" operator="lessThan">
      <formula>0.8</formula>
    </cfRule>
  </conditionalFormatting>
  <conditionalFormatting sqref="O64">
    <cfRule type="cellIs" dxfId="494" priority="16" operator="greaterThan">
      <formula>0</formula>
    </cfRule>
  </conditionalFormatting>
  <conditionalFormatting sqref="P64 AA64">
    <cfRule type="cellIs" dxfId="493" priority="19" operator="lessThan">
      <formula>0</formula>
    </cfRule>
  </conditionalFormatting>
  <conditionalFormatting sqref="Q64">
    <cfRule type="cellIs" dxfId="492" priority="17" operator="greaterThan">
      <formula>1</formula>
    </cfRule>
    <cfRule type="cellIs" dxfId="491" priority="18" operator="lessThan">
      <formula>0.8</formula>
    </cfRule>
  </conditionalFormatting>
  <conditionalFormatting sqref="R64 AC64">
    <cfRule type="cellIs" dxfId="490" priority="20" operator="lessThan">
      <formula>0.8</formula>
    </cfRule>
  </conditionalFormatting>
  <conditionalFormatting sqref="P8">
    <cfRule type="cellIs" dxfId="489" priority="15" operator="lessThan">
      <formula>0</formula>
    </cfRule>
  </conditionalFormatting>
  <conditionalFormatting sqref="P18">
    <cfRule type="cellIs" dxfId="488" priority="14" operator="lessThan">
      <formula>0</formula>
    </cfRule>
  </conditionalFormatting>
  <conditionalFormatting sqref="P24">
    <cfRule type="cellIs" dxfId="487" priority="13" operator="lessThan">
      <formula>0</formula>
    </cfRule>
  </conditionalFormatting>
  <conditionalFormatting sqref="P33">
    <cfRule type="cellIs" dxfId="486" priority="12" operator="lessThan">
      <formula>0</formula>
    </cfRule>
  </conditionalFormatting>
  <conditionalFormatting sqref="P62">
    <cfRule type="cellIs" dxfId="485" priority="11" operator="lessThan">
      <formula>0</formula>
    </cfRule>
  </conditionalFormatting>
  <conditionalFormatting sqref="P69">
    <cfRule type="cellIs" dxfId="484" priority="10" operator="lessThan">
      <formula>0</formula>
    </cfRule>
  </conditionalFormatting>
  <conditionalFormatting sqref="P77">
    <cfRule type="cellIs" dxfId="483" priority="9" operator="lessThan">
      <formula>0</formula>
    </cfRule>
  </conditionalFormatting>
  <conditionalFormatting sqref="R43 AC43">
    <cfRule type="cellIs" dxfId="482" priority="8" operator="lessThan">
      <formula>0.8</formula>
    </cfRule>
  </conditionalFormatting>
  <conditionalFormatting sqref="AC43">
    <cfRule type="cellIs" dxfId="481" priority="7" operator="lessThan">
      <formula>0.8</formula>
    </cfRule>
  </conditionalFormatting>
  <conditionalFormatting sqref="O45:O50">
    <cfRule type="cellIs" dxfId="480" priority="6" operator="greaterThan">
      <formula>0</formula>
    </cfRule>
  </conditionalFormatting>
  <conditionalFormatting sqref="O51">
    <cfRule type="cellIs" dxfId="479" priority="5" operator="greaterThan">
      <formula>0</formula>
    </cfRule>
  </conditionalFormatting>
  <conditionalFormatting sqref="O52">
    <cfRule type="cellIs" dxfId="478" priority="4" operator="greaterThan">
      <formula>0</formula>
    </cfRule>
  </conditionalFormatting>
  <conditionalFormatting sqref="O53">
    <cfRule type="cellIs" dxfId="477" priority="3" operator="greaterThan">
      <formula>0</formula>
    </cfRule>
  </conditionalFormatting>
  <conditionalFormatting sqref="O54">
    <cfRule type="cellIs" dxfId="476" priority="2" operator="greaterThan">
      <formula>0</formula>
    </cfRule>
  </conditionalFormatting>
  <conditionalFormatting sqref="AA45:AA54">
    <cfRule type="cellIs" dxfId="475" priority="1" operator="lessThan">
      <formula>0</formula>
    </cfRule>
  </conditionalFormatting>
  <dataValidations disablePrompts="1" count="1">
    <dataValidation type="list" allowBlank="1" showInputMessage="1" showErrorMessage="1" sqref="Z8 Z67:Z68 Y5:Z7 Y69:Z77 Z10:Z63 Y8:Y6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B1:Q28"/>
  <sheetViews>
    <sheetView topLeftCell="A4" zoomScale="70" zoomScaleNormal="70" workbookViewId="0">
      <selection activeCell="H17" sqref="H17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703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94" t="s">
        <v>702</v>
      </c>
      <c r="C3" s="493" t="str">
        <f>TEXT('0909 4度C'!A2,"yyyy.mm.ddaaaa")</f>
        <v>2025.09.09星期二</v>
      </c>
      <c r="D3" s="493"/>
      <c r="E3" s="194" t="s">
        <v>701</v>
      </c>
      <c r="F3" s="494">
        <f>'0909 4度C'!D1</f>
        <v>177865</v>
      </c>
      <c r="G3" s="494"/>
      <c r="H3" s="194" t="s">
        <v>700</v>
      </c>
      <c r="I3" s="495">
        <f>'0909 4度C'!F1</f>
        <v>5945144.4499999993</v>
      </c>
      <c r="J3" s="495"/>
      <c r="K3" s="45"/>
      <c r="L3" s="46"/>
      <c r="M3" s="47"/>
      <c r="N3" s="47"/>
    </row>
    <row r="4" spans="2:17" ht="28.5" customHeight="1">
      <c r="B4" s="496" t="s">
        <v>699</v>
      </c>
      <c r="C4" s="496" t="s">
        <v>698</v>
      </c>
      <c r="D4" s="496"/>
      <c r="E4" s="497" t="s">
        <v>697</v>
      </c>
      <c r="F4" s="497"/>
      <c r="G4" s="497" t="s">
        <v>696</v>
      </c>
      <c r="H4" s="497"/>
      <c r="I4" s="497" t="s">
        <v>695</v>
      </c>
      <c r="J4" s="497"/>
      <c r="L4" s="47"/>
      <c r="M4" s="47"/>
      <c r="N4" s="47"/>
    </row>
    <row r="5" spans="2:17" ht="28.5" customHeight="1">
      <c r="B5" s="496"/>
      <c r="C5" s="496" t="s">
        <v>694</v>
      </c>
      <c r="D5" s="496"/>
      <c r="E5" s="496" t="s">
        <v>693</v>
      </c>
      <c r="F5" s="496"/>
      <c r="G5" s="498" t="s">
        <v>692</v>
      </c>
      <c r="H5" s="498"/>
      <c r="I5" s="499" t="s">
        <v>691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147.15231279529056</v>
      </c>
      <c r="F6" s="496">
        <f>AVERAGE(D27:O27,D13:J13)</f>
        <v>151.97813800483783</v>
      </c>
      <c r="G6" s="501">
        <f>AVERAGE(D13:J13)</f>
        <v>151.97813800483783</v>
      </c>
      <c r="H6" s="501"/>
      <c r="I6" s="501">
        <f>AVERAGE(K13:M13)</f>
        <v>135.8920539730135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139.75944498108595</v>
      </c>
      <c r="F7" s="506">
        <f>AVERAGE(D28:O28,D14:J14)</f>
        <v>144.45641299064877</v>
      </c>
      <c r="G7" s="507">
        <f>AVERAGE(D14:J14)</f>
        <v>144.45641299064877</v>
      </c>
      <c r="H7" s="507"/>
      <c r="I7" s="507">
        <f>AVERAGE(K14:M14)</f>
        <v>128.7998529587727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0.94894629205084213</v>
      </c>
      <c r="F8" s="504">
        <f>AVERAGE(D15:J15,D29:O29)</f>
        <v>0.94943428872577107</v>
      </c>
      <c r="G8" s="509">
        <f>AVERAGE(D15:J15)</f>
        <v>0.94943428872577107</v>
      </c>
      <c r="H8" s="509"/>
      <c r="I8" s="509">
        <f>AVERAGE(K15:M15)</f>
        <v>0.94780763314267469</v>
      </c>
      <c r="J8" s="509"/>
      <c r="K8" s="48" t="s">
        <v>690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689</v>
      </c>
      <c r="C10" s="414"/>
      <c r="D10" s="415" t="s">
        <v>688</v>
      </c>
      <c r="E10" s="416"/>
      <c r="F10" s="416"/>
      <c r="G10" s="416"/>
      <c r="H10" s="416"/>
      <c r="I10" s="416"/>
      <c r="J10" s="417"/>
      <c r="K10" s="389" t="s">
        <v>687</v>
      </c>
      <c r="L10" s="390"/>
      <c r="M10" s="391"/>
      <c r="P10" s="51"/>
      <c r="Q10" s="51"/>
    </row>
    <row r="11" spans="2:17" ht="17.25" customHeight="1">
      <c r="B11" s="503" t="s">
        <v>686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685</v>
      </c>
      <c r="C13" s="58" t="s">
        <v>684</v>
      </c>
      <c r="D13" s="59">
        <f>SUMIFS('0909 4度C'!$K:$K,'0909 4度C'!$A:$A,"新豐6線",'0909 4度C'!$B:$B,"平均")</f>
        <v>125</v>
      </c>
      <c r="E13" s="60">
        <f>SUMIFS('0909 4度C'!$K:$K,'0909 4度C'!$A:$A,"新豐2線",'0909 4度C'!$B:$B,"平均")</f>
        <v>83.333333333333329</v>
      </c>
      <c r="F13" s="61">
        <f>SUMIFS('0909 4度C'!$K:$K,'0909 4度C'!$A:$A,"新豐5線",'0909 4度C'!$B:$B,"平均")</f>
        <v>89.743589743589737</v>
      </c>
      <c r="G13" s="61">
        <f>SUMIFS('0909 4度C'!$K:$K,'0909 4度C'!$A:$A,"新豐7線",'0909 4度C'!$B:$B,"平均")</f>
        <v>120.48192771084337</v>
      </c>
      <c r="H13" s="61">
        <f>SUMIFS('0909 4度C'!$K:$K,'0909 4度C'!$A:$A,"新豐3線",'0909 4度C'!$B:$B,"平均")</f>
        <v>308.82352941176475</v>
      </c>
      <c r="I13" s="61">
        <f>SUMIFS('0909 4度C'!$K:$K,'0909 4度C'!$A:$A,"新豐1線",'0909 4度C'!$B:$B,"平均")</f>
        <v>117.34693877551021</v>
      </c>
      <c r="J13" s="62">
        <f>SUMIFS('0909 4度C'!$K:$K,'0909 4度C'!$A:$A,"新豐10線",'0909 4度C'!$B:$B,"平均")</f>
        <v>219.11764705882354</v>
      </c>
      <c r="K13" s="63">
        <f>SUMIFS('0909 4度C'!$K:$K,'0909 4度C'!$A:$A,"新豐8線",'0909 4度C'!$B:$B,"平均")</f>
        <v>132.41379310344828</v>
      </c>
      <c r="L13" s="64">
        <f>SUMIFS('0909 4度C'!$K:$K,'0909 4度C'!$A:$A,"新豐9線",'0909 4度C'!$B:$B,"平均")</f>
        <v>130.43478260869566</v>
      </c>
      <c r="M13" s="62">
        <f>SUMIFS('0909 4度C'!$K:$K,'0909 4度C'!$A:$A,"新豐4線",'0909 4度C'!$B:$B,"平均")</f>
        <v>144.82758620689654</v>
      </c>
    </row>
    <row r="14" spans="2:17" ht="39.6" customHeight="1">
      <c r="B14" s="515"/>
      <c r="C14" s="65" t="s">
        <v>683</v>
      </c>
      <c r="D14" s="66">
        <f>SUMIFS('0909 4度C'!$N:$N,'0909 4度C'!$A:$A,"新豐6線",'0909 4度C'!$B:$B,"平均")</f>
        <v>118.33874458874446</v>
      </c>
      <c r="E14" s="67">
        <f>SUMIFS('0909 4度C'!$N:$N,'0909 4度C'!$A:$A,"新豐2線",'0909 4度C'!$B:$B,"平均")</f>
        <v>78.740701778739094</v>
      </c>
      <c r="F14" s="67">
        <f>SUMIFS('0909 4度C'!$N:$N,'0909 4度C'!$A:$A,"新豐5線",'0909 4度C'!$B:$B,"平均")</f>
        <v>84.960108409867019</v>
      </c>
      <c r="G14" s="67">
        <f>SUMIFS('0909 4度C'!$N:$N,'0909 4度C'!$A:$A,"新豐7線",'0909 4度C'!$B:$B,"平均")</f>
        <v>114.67741053364594</v>
      </c>
      <c r="H14" s="67">
        <f>SUMIFS('0909 4度C'!$N:$N,'0909 4度C'!$A:$A,"新豐3線",'0909 4度C'!$B:$B,"平均")</f>
        <v>294.55619876728508</v>
      </c>
      <c r="I14" s="67">
        <f>SUMIFS('0909 4度C'!$N:$N,'0909 4度C'!$A:$A,"新豐1線",'0909 4度C'!$B:$B,"平均")</f>
        <v>111.69187629380613</v>
      </c>
      <c r="J14" s="68">
        <f>SUMIFS('0909 4度C'!$N:$N,'0909 4度C'!$A:$A,"新豐10線",'0909 4度C'!$B:$B,"平均")</f>
        <v>208.22985056245381</v>
      </c>
      <c r="K14" s="69">
        <f>SUMIFS('0909 4度C'!$N:$N,'0909 4度C'!$A:$A,"新豐8線",'0909 4度C'!$B:$B,"平均")</f>
        <v>125.43768550818776</v>
      </c>
      <c r="L14" s="70">
        <f>SUMIFS('0909 4度C'!$N:$N,'0909 4度C'!$A:$A,"新豐9線",'0909 4度C'!$B:$B,"平均")</f>
        <v>123.67351959659054</v>
      </c>
      <c r="M14" s="68">
        <f>SUMIFS('0909 4度C'!$N:$N,'0909 4度C'!$A:$A,"新豐4線",'0909 4度C'!$B:$B,"平均")</f>
        <v>137.28835377153979</v>
      </c>
    </row>
    <row r="15" spans="2:17" ht="40.15" customHeight="1">
      <c r="B15" s="515"/>
      <c r="C15" s="71" t="s">
        <v>682</v>
      </c>
      <c r="D15" s="72">
        <f t="shared" ref="D15:M15" si="0">D14/D13</f>
        <v>0.94670995670995572</v>
      </c>
      <c r="E15" s="73">
        <f t="shared" si="0"/>
        <v>0.94488842134486917</v>
      </c>
      <c r="F15" s="73">
        <f t="shared" si="0"/>
        <v>0.94669835085280396</v>
      </c>
      <c r="G15" s="73">
        <f t="shared" si="0"/>
        <v>0.95182250742926133</v>
      </c>
      <c r="H15" s="73">
        <f t="shared" si="0"/>
        <v>0.95380102457978011</v>
      </c>
      <c r="I15" s="73">
        <f t="shared" si="0"/>
        <v>0.95180903276460871</v>
      </c>
      <c r="J15" s="74">
        <f t="shared" si="0"/>
        <v>0.95031072739911804</v>
      </c>
      <c r="K15" s="72">
        <f t="shared" si="0"/>
        <v>0.94731585409829289</v>
      </c>
      <c r="L15" s="73">
        <f t="shared" si="0"/>
        <v>0.9481636502405274</v>
      </c>
      <c r="M15" s="74">
        <f t="shared" si="0"/>
        <v>0.94794339508920333</v>
      </c>
    </row>
    <row r="16" spans="2:17" ht="17.25" customHeight="1">
      <c r="B16" s="502" t="s">
        <v>681</v>
      </c>
      <c r="C16" s="195" t="s">
        <v>680</v>
      </c>
      <c r="D16" s="76">
        <f>VLOOKUP("新豐6線",'0909 4度C'!$A:$T,19,0)</f>
        <v>0.70833333333333337</v>
      </c>
      <c r="E16" s="28">
        <f>VLOOKUP("新豐2線",'0909 4度C'!$A:$T,19,0)</f>
        <v>0.125</v>
      </c>
      <c r="F16" s="28">
        <f>VLOOKUP("新豐5線",'0909 4度C'!$A:$T,19,0)</f>
        <v>0.20833333333333334</v>
      </c>
      <c r="G16" s="28">
        <f>VLOOKUP("新豐7線",'0909 4度C'!$A:$T,19,0)</f>
        <v>0.20833333333333334</v>
      </c>
      <c r="H16" s="28">
        <f>VLOOKUP("新豐3線",'0909 4度C'!$A:$T,19,0)</f>
        <v>0.20833333333333334</v>
      </c>
      <c r="I16" s="28">
        <f>VLOOKUP("新豐1線",'0909 4度C'!$A:$T,19,0)</f>
        <v>0.25</v>
      </c>
      <c r="J16" s="77">
        <f>VLOOKUP("新豐10線",'0909 4度C'!$A:$T,19,0)</f>
        <v>0.16666666666666666</v>
      </c>
      <c r="K16" s="78">
        <f>VLOOKUP("新豐8線",'0909 4度C'!$A:$T,19,0)</f>
        <v>0.125</v>
      </c>
      <c r="L16" s="79">
        <f>VLOOKUP("新豐9線",'0909 4度C'!$A:$T,19,0)</f>
        <v>0.125</v>
      </c>
      <c r="M16" s="80">
        <f>VLOOKUP("新豐4線",'0909 4度C'!$A:$T,19,0)</f>
        <v>0.125</v>
      </c>
    </row>
    <row r="17" spans="2:13" ht="17.25" customHeight="1">
      <c r="B17" s="503"/>
      <c r="C17" s="195" t="s">
        <v>679</v>
      </c>
      <c r="D17" s="78">
        <f>LOOKUP(2,1/(('0909 4度C'!$A:$A="新豐6線")*('0909 4度C'!$T:$T&lt;&gt;"")),'0909 4度C'!$T:$T)</f>
        <v>0.83472222222222237</v>
      </c>
      <c r="E17" s="28">
        <f>LOOKUP(2,1/(('0909 4度C'!$A:$A="新豐2線")*('0909 4度C'!$T:$T&lt;&gt;"")),'0909 4度C'!$T:$T)</f>
        <v>0.64097222222222228</v>
      </c>
      <c r="F17" s="28">
        <f>LOOKUP(2,1/(('0909 4度C'!$A:$A="新豐5線")*('0909 4度C'!$T:$T&lt;&gt;"")),'0909 4度C'!$T:$T)</f>
        <v>0.85277777777777775</v>
      </c>
      <c r="G17" s="28">
        <f>LOOKUP(2,1/(('0909 4度C'!$A:$A="新豐7線")*('0909 4度C'!$T:$T&lt;&gt;"")),'0909 4度C'!$T:$T)</f>
        <v>0.79930555555555549</v>
      </c>
      <c r="H17" s="28">
        <f>LOOKUP(2,1/(('0909 4度C'!$A:$A="新豐3線")*('0909 4度C'!$T:$T&lt;&gt;"")),'0909 4度C'!$T:$T)</f>
        <v>0.65416666666666656</v>
      </c>
      <c r="I17" s="28">
        <f>LOOKUP(2,1/(('0909 4度C'!$A:$A="新豐1線")*('0909 4度C'!$T:$T&lt;&gt;"")),'0909 4度C'!$T:$T)</f>
        <v>0.84861111111111109</v>
      </c>
      <c r="J17" s="77">
        <f>LOOKUP(2,1/(('0909 4度C'!$A:$A="新豐10線")*('0909 4度C'!$T:$T&lt;&gt;"")),'0909 4度C'!$T:$T)</f>
        <v>0.45694444444444438</v>
      </c>
      <c r="K17" s="76">
        <f>LOOKUP(2,1/(('0909 4度C'!$A:$A="新豐8線")*('0909 4度C'!$T:$T&lt;&gt;"")),'0909 4度C'!$T:$T)</f>
        <v>0.70486111111111094</v>
      </c>
      <c r="L17" s="28">
        <f>LOOKUP(2,1/(('0909 4度C'!$A:$A="新豐9線")*('0909 4度C'!$T:$T&lt;&gt;"")),'0909 4度C'!$T:$T)</f>
        <v>0.74930555555555545</v>
      </c>
      <c r="M17" s="77">
        <f>LOOKUP(2,1/(('0909 4度C'!$A:$A="新豐4線")*('0909 4度C'!$T:$T&lt;&gt;"")),'0909 4度C'!$T:$T)</f>
        <v>0.70555555555555538</v>
      </c>
    </row>
    <row r="18" spans="2:13" ht="17.25" customHeight="1">
      <c r="B18" s="503" t="s">
        <v>678</v>
      </c>
      <c r="C18" s="514"/>
      <c r="D18" s="81">
        <f>SUMIFS('0909 4度C'!$I:$I,'0909 4度C'!$A:$A,"新豐6線",'0909 4度C'!$B:$B,"平均")</f>
        <v>16</v>
      </c>
      <c r="E18" s="82">
        <f>SUMIFS('0909 4度C'!$I:$I,'0909 4度C'!$A:$A,"新豐2線",'0909 4度C'!$B:$B,"平均")</f>
        <v>18</v>
      </c>
      <c r="F18" s="82">
        <f>SUMIFS('0909 4度C'!$I:$I,'0909 4度C'!$A:$A,"新豐5線",'0909 4度C'!$B:$B,"平均")</f>
        <v>19.5</v>
      </c>
      <c r="G18" s="82">
        <f>SUMIFS('0909 4度C'!$I:$I,'0909 4度C'!$A:$A,"新豐7線",'0909 4度C'!$B:$B,"平均")</f>
        <v>16.600000000000001</v>
      </c>
      <c r="H18" s="82">
        <f>SUMIFS('0909 4度C'!$I:$I,'0909 4度C'!$A:$A,"新豐3線",'0909 4度C'!$B:$B,"平均")</f>
        <v>9.7142857142857135</v>
      </c>
      <c r="I18" s="82">
        <f>SUMIFS('0909 4度C'!$I:$I,'0909 4度C'!$A:$A,"新豐1線",'0909 4度C'!$B:$B,"平均")</f>
        <v>16.333333333333332</v>
      </c>
      <c r="J18" s="83">
        <f>SUMIFS('0909 4度C'!$I:$I,'0909 4度C'!$A:$A,"新豐10線",'0909 4度C'!$B:$B,"平均")</f>
        <v>11.333333333333334</v>
      </c>
      <c r="K18" s="81">
        <f>SUMIFS('0909 4度C'!$I:$I,'0909 4度C'!$A:$A,"新豐8線",'0909 4度C'!$B:$B,"平均")</f>
        <v>18.125</v>
      </c>
      <c r="L18" s="82">
        <f>SUMIFS('0909 4度C'!$I:$I,'0909 4度C'!$A:$A,"新豐9線",'0909 4度C'!$B:$B,"平均")</f>
        <v>18.399999999999999</v>
      </c>
      <c r="M18" s="83">
        <f>SUMIFS('0909 4度C'!$I:$I,'0909 4度C'!$A:$A,"新豐4線",'0909 4度C'!$B:$B,"平均")</f>
        <v>16.571428571428573</v>
      </c>
    </row>
    <row r="19" spans="2:13" ht="17.25" customHeight="1">
      <c r="B19" s="510" t="s">
        <v>677</v>
      </c>
      <c r="C19" s="511"/>
      <c r="D19" s="84" t="s">
        <v>148</v>
      </c>
      <c r="E19" s="85" t="s">
        <v>149</v>
      </c>
      <c r="F19" s="85" t="s">
        <v>676</v>
      </c>
      <c r="G19" s="85" t="s">
        <v>676</v>
      </c>
      <c r="H19" s="85" t="s">
        <v>151</v>
      </c>
      <c r="I19" s="85" t="s">
        <v>148</v>
      </c>
      <c r="J19" s="86" t="s">
        <v>151</v>
      </c>
      <c r="K19" s="84" t="s">
        <v>675</v>
      </c>
      <c r="L19" s="85" t="s">
        <v>675</v>
      </c>
      <c r="M19" s="86" t="s">
        <v>675</v>
      </c>
    </row>
    <row r="20" spans="2:13" ht="17.25" customHeight="1">
      <c r="B20" s="510" t="s">
        <v>674</v>
      </c>
      <c r="C20" s="511"/>
      <c r="D20" s="84"/>
      <c r="E20" s="85"/>
      <c r="F20" s="85" t="s">
        <v>673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672</v>
      </c>
      <c r="C21" s="513"/>
      <c r="D21" s="87"/>
      <c r="E21" s="88" t="s">
        <v>671</v>
      </c>
      <c r="F21" s="387" t="s">
        <v>670</v>
      </c>
      <c r="G21" s="388"/>
      <c r="H21" s="88" t="s">
        <v>668</v>
      </c>
      <c r="I21" s="88" t="s">
        <v>669</v>
      </c>
      <c r="J21" s="89" t="s">
        <v>668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K10:M10"/>
    <mergeCell ref="B11:C12"/>
    <mergeCell ref="B13:B15"/>
    <mergeCell ref="B18:C18"/>
    <mergeCell ref="B19:C19"/>
    <mergeCell ref="B16:B17"/>
    <mergeCell ref="B10:C10"/>
    <mergeCell ref="B21:C21"/>
    <mergeCell ref="F21:G21"/>
    <mergeCell ref="D10:J10"/>
    <mergeCell ref="B20:C20"/>
    <mergeCell ref="E4:F4"/>
    <mergeCell ref="G4:H4"/>
    <mergeCell ref="I4:J4"/>
    <mergeCell ref="C5:D5"/>
    <mergeCell ref="C8:D8"/>
    <mergeCell ref="E8:F8"/>
    <mergeCell ref="G8:H8"/>
    <mergeCell ref="I8:J8"/>
    <mergeCell ref="E5:F5"/>
    <mergeCell ref="G5:H5"/>
    <mergeCell ref="I5:J5"/>
    <mergeCell ref="C6:D6"/>
    <mergeCell ref="B1:J2"/>
    <mergeCell ref="C3:D3"/>
    <mergeCell ref="F3:G3"/>
    <mergeCell ref="I3:J3"/>
    <mergeCell ref="B4:B8"/>
    <mergeCell ref="C4:D4"/>
    <mergeCell ref="I6:J6"/>
    <mergeCell ref="C7:D7"/>
    <mergeCell ref="E7:F7"/>
    <mergeCell ref="G7:H7"/>
    <mergeCell ref="I7:J7"/>
    <mergeCell ref="E6:F6"/>
    <mergeCell ref="G6:H6"/>
  </mergeCells>
  <phoneticPr fontId="3" type="noConversion"/>
  <conditionalFormatting sqref="D15:M15">
    <cfRule type="cellIs" dxfId="47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pageSetUpPr fitToPage="1"/>
  </sheetPr>
  <dimension ref="A1:AC78"/>
  <sheetViews>
    <sheetView zoomScale="80" zoomScaleNormal="80" workbookViewId="0">
      <pane ySplit="4" topLeftCell="A5" activePane="bottomLeft" state="frozen"/>
      <selection activeCell="AO33" activeCellId="2" sqref="AO26 AO28:AO31 AO33:AO3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752</v>
      </c>
      <c r="B1" s="1"/>
      <c r="C1" s="2" t="s">
        <v>751</v>
      </c>
      <c r="D1" s="3">
        <f>SUM(F5:F77)</f>
        <v>177865</v>
      </c>
      <c r="E1" s="197" t="s">
        <v>750</v>
      </c>
      <c r="F1" s="1">
        <f>SUM(G5:G77)</f>
        <v>5945144.4499999993</v>
      </c>
      <c r="G1" s="1" t="s">
        <v>749</v>
      </c>
      <c r="H1" s="106">
        <f>L8+L13+L55+L62+L18+L69+L32+L44+L24+L77</f>
        <v>162.45238095238096</v>
      </c>
      <c r="I1" s="482" t="s">
        <v>748</v>
      </c>
      <c r="J1" s="482"/>
      <c r="K1" s="482"/>
      <c r="L1" s="482" t="s">
        <v>747</v>
      </c>
      <c r="M1" s="482"/>
      <c r="N1" s="482"/>
      <c r="O1" s="482" t="s">
        <v>746</v>
      </c>
      <c r="P1" s="482"/>
      <c r="Q1" s="482"/>
      <c r="R1" s="482"/>
      <c r="S1" s="482" t="s">
        <v>745</v>
      </c>
      <c r="T1" s="482"/>
      <c r="U1" s="482"/>
      <c r="V1" s="482"/>
      <c r="W1" s="482"/>
      <c r="X1" s="482"/>
      <c r="Y1" s="482" t="s">
        <v>744</v>
      </c>
      <c r="Z1" s="482"/>
      <c r="AA1" s="482" t="s">
        <v>743</v>
      </c>
      <c r="AB1" s="483"/>
      <c r="AC1" s="483"/>
    </row>
    <row r="2" spans="1:29" ht="26.25" customHeight="1">
      <c r="A2" s="24">
        <v>45909</v>
      </c>
      <c r="B2" s="25" t="s">
        <v>161</v>
      </c>
      <c r="C2" s="2" t="s">
        <v>733</v>
      </c>
      <c r="D2" s="6">
        <f>AVERAGE(N8,N13,N55,N62,N18,N69,N24,N33,N44,N77)</f>
        <v>139.75944498108592</v>
      </c>
      <c r="E2" s="7" t="s">
        <v>11</v>
      </c>
      <c r="F2" s="8">
        <f>F1/D1</f>
        <v>33.425038371798834</v>
      </c>
      <c r="G2" s="1" t="s">
        <v>742</v>
      </c>
      <c r="H2" s="344">
        <f>COUNT(H5:H77)</f>
        <v>13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741</v>
      </c>
      <c r="B3" s="443" t="s">
        <v>740</v>
      </c>
      <c r="C3" s="443" t="s">
        <v>739</v>
      </c>
      <c r="D3" s="443"/>
      <c r="E3" s="484" t="s">
        <v>738</v>
      </c>
      <c r="F3" s="443" t="s">
        <v>737</v>
      </c>
      <c r="G3" s="484" t="s">
        <v>736</v>
      </c>
      <c r="H3" s="487" t="s">
        <v>735</v>
      </c>
      <c r="I3" s="474" t="s">
        <v>734</v>
      </c>
      <c r="J3" s="479" t="s">
        <v>729</v>
      </c>
      <c r="K3" s="481" t="s">
        <v>733</v>
      </c>
      <c r="L3" s="474" t="s">
        <v>734</v>
      </c>
      <c r="M3" s="479" t="s">
        <v>729</v>
      </c>
      <c r="N3" s="481" t="s">
        <v>733</v>
      </c>
      <c r="O3" s="474" t="s">
        <v>734</v>
      </c>
      <c r="P3" s="481" t="s">
        <v>733</v>
      </c>
      <c r="Q3" s="480" t="s">
        <v>728</v>
      </c>
      <c r="R3" s="451" t="s">
        <v>727</v>
      </c>
      <c r="S3" s="486" t="s">
        <v>25</v>
      </c>
      <c r="T3" s="486"/>
      <c r="U3" s="476" t="s">
        <v>26</v>
      </c>
      <c r="V3" s="476" t="s">
        <v>732</v>
      </c>
      <c r="W3" s="443" t="s">
        <v>731</v>
      </c>
      <c r="X3" s="443"/>
      <c r="Y3" s="477" t="s">
        <v>730</v>
      </c>
      <c r="Z3" s="478"/>
      <c r="AA3" s="479" t="s">
        <v>729</v>
      </c>
      <c r="AB3" s="480" t="s">
        <v>728</v>
      </c>
      <c r="AC3" s="451" t="s">
        <v>727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07" t="s">
        <v>31</v>
      </c>
      <c r="T4" s="207" t="s">
        <v>32</v>
      </c>
      <c r="U4" s="476"/>
      <c r="V4" s="476"/>
      <c r="W4" s="197" t="s">
        <v>33</v>
      </c>
      <c r="X4" s="197" t="s">
        <v>34</v>
      </c>
      <c r="Y4" s="478"/>
      <c r="Z4" s="478"/>
      <c r="AA4" s="479"/>
      <c r="AB4" s="480"/>
      <c r="AC4" s="451"/>
    </row>
    <row r="5" spans="1:29">
      <c r="A5" s="473" t="s">
        <v>35</v>
      </c>
      <c r="B5" s="31" t="s">
        <v>58</v>
      </c>
      <c r="C5" s="475" t="s">
        <v>104</v>
      </c>
      <c r="D5" s="475"/>
      <c r="E5" s="31">
        <v>46.93</v>
      </c>
      <c r="F5" s="207">
        <v>1044</v>
      </c>
      <c r="G5" s="197">
        <f>E5*F5</f>
        <v>48994.92</v>
      </c>
      <c r="H5" s="206" t="s">
        <v>103</v>
      </c>
      <c r="I5" s="205">
        <v>16</v>
      </c>
      <c r="J5" s="215">
        <v>2000</v>
      </c>
      <c r="K5" s="10">
        <f t="shared" ref="K5:K44" si="0">J5/I5</f>
        <v>125</v>
      </c>
      <c r="L5" s="205">
        <v>16</v>
      </c>
      <c r="M5" s="11">
        <f>F5/V5*60</f>
        <v>1898.1818181818157</v>
      </c>
      <c r="N5" s="10">
        <f t="shared" ref="N5:N44" si="1">M5/L5</f>
        <v>118.63636363636348</v>
      </c>
      <c r="O5" s="12">
        <f t="shared" ref="O5:O44" si="2">L5-I5</f>
        <v>0</v>
      </c>
      <c r="P5" s="13">
        <f t="shared" ref="P5:P44" si="3">N5-K5</f>
        <v>-6.3636363636365161</v>
      </c>
      <c r="Q5" s="196">
        <f t="shared" ref="Q5:Q44" si="4">N5/K5</f>
        <v>0.94909090909090787</v>
      </c>
      <c r="R5" s="442">
        <f>Q8</f>
        <v>0.94670995670995572</v>
      </c>
      <c r="S5" s="28">
        <v>0.70833333333333337</v>
      </c>
      <c r="T5" s="28">
        <v>0.73125000000000007</v>
      </c>
      <c r="U5" s="197"/>
      <c r="V5" s="204">
        <f>(T5-S5)*24*60</f>
        <v>33.000000000000043</v>
      </c>
      <c r="W5" s="16"/>
      <c r="X5" s="17"/>
      <c r="Y5" s="443"/>
      <c r="Z5" s="443"/>
      <c r="AA5" s="12">
        <f t="shared" ref="AA5:AA44" si="5">M5-J5</f>
        <v>-101.81818181818426</v>
      </c>
      <c r="AB5" s="196">
        <f t="shared" ref="AB5:AB44" si="6">M5/J5</f>
        <v>0.94909090909090787</v>
      </c>
      <c r="AC5" s="442">
        <f>AB8</f>
        <v>0.94670995670995572</v>
      </c>
    </row>
    <row r="6" spans="1:29">
      <c r="A6" s="474" t="s">
        <v>35</v>
      </c>
      <c r="B6" s="31" t="s">
        <v>58</v>
      </c>
      <c r="C6" s="475" t="s">
        <v>105</v>
      </c>
      <c r="D6" s="475"/>
      <c r="E6" s="31">
        <v>50.49</v>
      </c>
      <c r="F6" s="207">
        <v>2200</v>
      </c>
      <c r="G6" s="197">
        <f>E6*F6</f>
        <v>111078</v>
      </c>
      <c r="H6" s="206" t="s">
        <v>103</v>
      </c>
      <c r="I6" s="205">
        <v>15</v>
      </c>
      <c r="J6" s="26">
        <v>2000</v>
      </c>
      <c r="K6" s="10">
        <f t="shared" si="0"/>
        <v>133.33333333333334</v>
      </c>
      <c r="L6" s="205">
        <v>15</v>
      </c>
      <c r="M6" s="11">
        <f>F6/V6*60</f>
        <v>1885.7142857142837</v>
      </c>
      <c r="N6" s="10">
        <f t="shared" si="1"/>
        <v>125.71428571428558</v>
      </c>
      <c r="O6" s="12">
        <f t="shared" si="2"/>
        <v>0</v>
      </c>
      <c r="P6" s="13">
        <f t="shared" si="3"/>
        <v>-7.6190476190477625</v>
      </c>
      <c r="Q6" s="196">
        <f t="shared" si="4"/>
        <v>0.94285714285714184</v>
      </c>
      <c r="R6" s="442"/>
      <c r="S6" s="28">
        <v>0.7368055555555556</v>
      </c>
      <c r="T6" s="28">
        <v>0.78541666666666676</v>
      </c>
      <c r="U6" s="197">
        <f>(S6-T5)*24*60</f>
        <v>7.9999999999999716</v>
      </c>
      <c r="V6" s="204">
        <f>(T6-S6)*24*60</f>
        <v>70.000000000000071</v>
      </c>
      <c r="W6" s="16"/>
      <c r="X6" s="16"/>
      <c r="Y6" s="443"/>
      <c r="Z6" s="443"/>
      <c r="AA6" s="12">
        <f t="shared" si="5"/>
        <v>-114.28571428571627</v>
      </c>
      <c r="AB6" s="196">
        <f t="shared" si="6"/>
        <v>0.94285714285714184</v>
      </c>
      <c r="AC6" s="442"/>
    </row>
    <row r="7" spans="1:29">
      <c r="A7" s="474" t="s">
        <v>35</v>
      </c>
      <c r="B7" s="31" t="s">
        <v>58</v>
      </c>
      <c r="C7" s="471" t="s">
        <v>106</v>
      </c>
      <c r="D7" s="472"/>
      <c r="E7" s="31">
        <v>50.67</v>
      </c>
      <c r="F7" s="207">
        <v>2086</v>
      </c>
      <c r="G7" s="197">
        <f>E7*F7</f>
        <v>105697.62000000001</v>
      </c>
      <c r="H7" s="206" t="s">
        <v>103</v>
      </c>
      <c r="I7" s="205">
        <v>17</v>
      </c>
      <c r="J7" s="26">
        <v>2000</v>
      </c>
      <c r="K7" s="10">
        <f t="shared" si="0"/>
        <v>117.64705882352941</v>
      </c>
      <c r="L7" s="205">
        <v>17</v>
      </c>
      <c r="M7" s="11">
        <f>F7/V7*60</f>
        <v>1896.363636363634</v>
      </c>
      <c r="N7" s="10">
        <f t="shared" si="1"/>
        <v>111.55080213903729</v>
      </c>
      <c r="O7" s="12">
        <f t="shared" si="2"/>
        <v>0</v>
      </c>
      <c r="P7" s="13">
        <f t="shared" si="3"/>
        <v>-6.0962566844921184</v>
      </c>
      <c r="Q7" s="196">
        <f t="shared" si="4"/>
        <v>0.94818181818181702</v>
      </c>
      <c r="R7" s="442"/>
      <c r="S7" s="28">
        <v>0.78888888888888897</v>
      </c>
      <c r="T7" s="28">
        <v>0.83472222222222237</v>
      </c>
      <c r="U7" s="197">
        <f>(S7-T6)*24*60</f>
        <v>4.9999999999999822</v>
      </c>
      <c r="V7" s="204">
        <f>(T7-S7)*24*60</f>
        <v>66.000000000000085</v>
      </c>
      <c r="W7" s="16"/>
      <c r="X7" s="16"/>
      <c r="Y7" s="447"/>
      <c r="Z7" s="448"/>
      <c r="AA7" s="12">
        <f t="shared" si="5"/>
        <v>-103.63636363636601</v>
      </c>
      <c r="AB7" s="196">
        <f t="shared" si="6"/>
        <v>0.94818181818181702</v>
      </c>
      <c r="AC7" s="442"/>
    </row>
    <row r="8" spans="1:29">
      <c r="A8" s="474" t="s">
        <v>35</v>
      </c>
      <c r="B8" s="31" t="s">
        <v>39</v>
      </c>
      <c r="C8" s="446"/>
      <c r="D8" s="446"/>
      <c r="E8" s="200"/>
      <c r="F8" s="33"/>
      <c r="G8" s="10"/>
      <c r="H8" s="207"/>
      <c r="I8" s="19">
        <v>16</v>
      </c>
      <c r="J8" s="26">
        <v>2000</v>
      </c>
      <c r="K8" s="10">
        <f t="shared" si="0"/>
        <v>125</v>
      </c>
      <c r="L8" s="19">
        <v>16</v>
      </c>
      <c r="M8" s="11">
        <f>AVERAGE(M5:M7)</f>
        <v>1893.4199134199114</v>
      </c>
      <c r="N8" s="10">
        <f t="shared" si="1"/>
        <v>118.33874458874446</v>
      </c>
      <c r="O8" s="12">
        <f t="shared" si="2"/>
        <v>0</v>
      </c>
      <c r="P8" s="13">
        <f t="shared" si="3"/>
        <v>-6.6612554112555387</v>
      </c>
      <c r="Q8" s="196">
        <f t="shared" si="4"/>
        <v>0.94670995670995572</v>
      </c>
      <c r="R8" s="442"/>
      <c r="S8" s="28"/>
      <c r="T8" s="28"/>
      <c r="U8" s="197"/>
      <c r="V8" s="204"/>
      <c r="W8" s="10"/>
      <c r="X8" s="10"/>
      <c r="Y8" s="443"/>
      <c r="Z8" s="443"/>
      <c r="AA8" s="12">
        <f t="shared" si="5"/>
        <v>-106.58008658008862</v>
      </c>
      <c r="AB8" s="196">
        <f t="shared" si="6"/>
        <v>0.94670995670995572</v>
      </c>
      <c r="AC8" s="442"/>
    </row>
    <row r="9" spans="1:29" ht="15.75" customHeight="1">
      <c r="A9" s="439" t="s">
        <v>37</v>
      </c>
      <c r="B9" s="31" t="s">
        <v>53</v>
      </c>
      <c r="C9" s="471" t="s">
        <v>107</v>
      </c>
      <c r="D9" s="472"/>
      <c r="E9" s="31">
        <v>39.619999999999997</v>
      </c>
      <c r="F9" s="207">
        <v>4808</v>
      </c>
      <c r="G9" s="197">
        <f>E9*F9</f>
        <v>190492.96</v>
      </c>
      <c r="H9" s="206" t="s">
        <v>103</v>
      </c>
      <c r="I9" s="205">
        <v>19</v>
      </c>
      <c r="J9" s="26">
        <v>1500</v>
      </c>
      <c r="K9" s="10">
        <f t="shared" si="0"/>
        <v>78.94736842105263</v>
      </c>
      <c r="L9" s="205">
        <v>19</v>
      </c>
      <c r="M9" s="11">
        <f>F9/V9*60</f>
        <v>1414.1176470588236</v>
      </c>
      <c r="N9" s="10">
        <f t="shared" si="1"/>
        <v>74.427244582043343</v>
      </c>
      <c r="O9" s="12">
        <f t="shared" si="2"/>
        <v>0</v>
      </c>
      <c r="P9" s="13">
        <f t="shared" si="3"/>
        <v>-4.5201238390092868</v>
      </c>
      <c r="Q9" s="196">
        <f t="shared" si="4"/>
        <v>0.94274509803921569</v>
      </c>
      <c r="R9" s="442">
        <f>Q13</f>
        <v>0.94488842134486917</v>
      </c>
      <c r="S9" s="28">
        <v>0.125</v>
      </c>
      <c r="T9" s="28">
        <v>0.26666666666666666</v>
      </c>
      <c r="U9" s="197"/>
      <c r="V9" s="204">
        <f>(T9-S9)*24*60</f>
        <v>204</v>
      </c>
      <c r="W9" s="16">
        <f>T9</f>
        <v>0.26666666666666666</v>
      </c>
      <c r="X9" s="16">
        <f>S10</f>
        <v>0.28472222222222221</v>
      </c>
      <c r="Y9" s="443"/>
      <c r="Z9" s="443"/>
      <c r="AA9" s="12">
        <f t="shared" si="5"/>
        <v>-85.88235294117635</v>
      </c>
      <c r="AB9" s="196">
        <f t="shared" si="6"/>
        <v>0.9427450980392158</v>
      </c>
      <c r="AC9" s="442">
        <f>AB13</f>
        <v>0.94488842134486917</v>
      </c>
    </row>
    <row r="10" spans="1:29" ht="15.75" customHeight="1">
      <c r="A10" s="439" t="s">
        <v>37</v>
      </c>
      <c r="B10" s="31" t="s">
        <v>53</v>
      </c>
      <c r="C10" s="471" t="s">
        <v>54</v>
      </c>
      <c r="D10" s="472"/>
      <c r="E10" s="31">
        <v>39.799999999999997</v>
      </c>
      <c r="F10" s="207">
        <v>4000</v>
      </c>
      <c r="G10" s="197">
        <f>E10*F10</f>
        <v>159200</v>
      </c>
      <c r="H10" s="206">
        <v>2</v>
      </c>
      <c r="I10" s="205">
        <v>17</v>
      </c>
      <c r="J10" s="26">
        <v>1500</v>
      </c>
      <c r="K10" s="10">
        <f t="shared" si="0"/>
        <v>88.235294117647058</v>
      </c>
      <c r="L10" s="205">
        <v>17</v>
      </c>
      <c r="M10" s="11">
        <f>F10/V10*60</f>
        <v>1420.1183431952661</v>
      </c>
      <c r="N10" s="10">
        <f t="shared" si="1"/>
        <v>83.536373129133295</v>
      </c>
      <c r="O10" s="12">
        <f t="shared" si="2"/>
        <v>0</v>
      </c>
      <c r="P10" s="13">
        <f t="shared" si="3"/>
        <v>-4.6989209885137626</v>
      </c>
      <c r="Q10" s="196">
        <f t="shared" si="4"/>
        <v>0.94674556213017735</v>
      </c>
      <c r="R10" s="442"/>
      <c r="S10" s="28">
        <v>0.28472222222222221</v>
      </c>
      <c r="T10" s="28">
        <v>0.40208333333333335</v>
      </c>
      <c r="U10" s="197">
        <f>(S10-T9)*24*60</f>
        <v>25.999999999999986</v>
      </c>
      <c r="V10" s="204">
        <f>(T10-S10)*24*60</f>
        <v>169.00000000000003</v>
      </c>
      <c r="W10" s="16"/>
      <c r="X10" s="16"/>
      <c r="Y10" s="443"/>
      <c r="Z10" s="443"/>
      <c r="AA10" s="12">
        <f t="shared" si="5"/>
        <v>-79.881656804733893</v>
      </c>
      <c r="AB10" s="196">
        <f t="shared" si="6"/>
        <v>0.94674556213017735</v>
      </c>
      <c r="AC10" s="442"/>
    </row>
    <row r="11" spans="1:29" ht="15.75" customHeight="1">
      <c r="A11" s="439" t="s">
        <v>37</v>
      </c>
      <c r="B11" s="31" t="s">
        <v>53</v>
      </c>
      <c r="C11" s="471" t="s">
        <v>55</v>
      </c>
      <c r="D11" s="472"/>
      <c r="E11" s="31">
        <v>39.29</v>
      </c>
      <c r="F11" s="207">
        <v>3770</v>
      </c>
      <c r="G11" s="197">
        <f>E11*F11</f>
        <v>148123.29999999999</v>
      </c>
      <c r="H11" s="206" t="s">
        <v>103</v>
      </c>
      <c r="I11" s="205">
        <v>19</v>
      </c>
      <c r="J11" s="26">
        <v>1500</v>
      </c>
      <c r="K11" s="10">
        <f t="shared" si="0"/>
        <v>78.94736842105263</v>
      </c>
      <c r="L11" s="205">
        <v>19</v>
      </c>
      <c r="M11" s="11">
        <f>F11/V11*60</f>
        <v>1413.7499999999995</v>
      </c>
      <c r="N11" s="10">
        <f t="shared" si="1"/>
        <v>74.407894736842081</v>
      </c>
      <c r="O11" s="12">
        <f t="shared" si="2"/>
        <v>0</v>
      </c>
      <c r="P11" s="13">
        <f t="shared" si="3"/>
        <v>-4.5394736842105488</v>
      </c>
      <c r="Q11" s="196">
        <f t="shared" si="4"/>
        <v>0.94249999999999967</v>
      </c>
      <c r="R11" s="442"/>
      <c r="S11" s="28">
        <v>0.40625</v>
      </c>
      <c r="T11" s="28">
        <v>0.51736111111111116</v>
      </c>
      <c r="U11" s="197">
        <f>(S11-T10)*24*60</f>
        <v>5.9999999999999787</v>
      </c>
      <c r="V11" s="204">
        <f>(T11-S11)*24*60</f>
        <v>160.00000000000006</v>
      </c>
      <c r="W11" s="16">
        <f>T11</f>
        <v>0.51736111111111116</v>
      </c>
      <c r="X11" s="16">
        <f>S12</f>
        <v>0.55833333333333335</v>
      </c>
      <c r="Y11" s="443"/>
      <c r="Z11" s="443"/>
      <c r="AA11" s="12">
        <f t="shared" si="5"/>
        <v>-86.250000000000455</v>
      </c>
      <c r="AB11" s="196">
        <f t="shared" si="6"/>
        <v>0.94249999999999967</v>
      </c>
      <c r="AC11" s="442"/>
    </row>
    <row r="12" spans="1:29" ht="15.75" customHeight="1">
      <c r="A12" s="439" t="s">
        <v>37</v>
      </c>
      <c r="B12" s="31" t="s">
        <v>53</v>
      </c>
      <c r="C12" s="471" t="s">
        <v>54</v>
      </c>
      <c r="D12" s="472"/>
      <c r="E12" s="31">
        <v>39.799999999999997</v>
      </c>
      <c r="F12" s="207">
        <v>2819</v>
      </c>
      <c r="G12" s="197">
        <f>E12*F12</f>
        <v>112196.2</v>
      </c>
      <c r="H12" s="206" t="s">
        <v>103</v>
      </c>
      <c r="I12" s="205">
        <v>17</v>
      </c>
      <c r="J12" s="26">
        <v>1500</v>
      </c>
      <c r="K12" s="10">
        <f t="shared" si="0"/>
        <v>88.235294117647058</v>
      </c>
      <c r="L12" s="205">
        <v>17</v>
      </c>
      <c r="M12" s="11">
        <f>F12/V12*60</f>
        <v>1421.3445378151255</v>
      </c>
      <c r="N12" s="10">
        <f t="shared" si="1"/>
        <v>83.608502224419141</v>
      </c>
      <c r="O12" s="12">
        <f t="shared" si="2"/>
        <v>0</v>
      </c>
      <c r="P12" s="13">
        <f t="shared" si="3"/>
        <v>-4.6267918932279173</v>
      </c>
      <c r="Q12" s="196">
        <f t="shared" si="4"/>
        <v>0.94756302521008362</v>
      </c>
      <c r="R12" s="442"/>
      <c r="S12" s="28">
        <v>0.55833333333333335</v>
      </c>
      <c r="T12" s="28">
        <v>0.64097222222222228</v>
      </c>
      <c r="U12" s="197">
        <f>(S12-T11)*24*60</f>
        <v>58.99999999999995</v>
      </c>
      <c r="V12" s="204">
        <f>(T12-S12)*24*60</f>
        <v>119.00000000000006</v>
      </c>
      <c r="W12" s="16"/>
      <c r="X12" s="16"/>
      <c r="Y12" s="443"/>
      <c r="Z12" s="443"/>
      <c r="AA12" s="12">
        <f t="shared" si="5"/>
        <v>-78.655462184874523</v>
      </c>
      <c r="AB12" s="196">
        <f t="shared" si="6"/>
        <v>0.94756302521008362</v>
      </c>
      <c r="AC12" s="442"/>
    </row>
    <row r="13" spans="1:29" ht="16.5" customHeight="1">
      <c r="A13" s="439" t="s">
        <v>37</v>
      </c>
      <c r="B13" s="31" t="s">
        <v>39</v>
      </c>
      <c r="C13" s="446"/>
      <c r="D13" s="446"/>
      <c r="E13" s="200"/>
      <c r="F13" s="26"/>
      <c r="G13" s="11"/>
      <c r="H13" s="207"/>
      <c r="I13" s="19">
        <v>18</v>
      </c>
      <c r="J13" s="26">
        <v>1500</v>
      </c>
      <c r="K13" s="10">
        <f t="shared" si="0"/>
        <v>83.333333333333329</v>
      </c>
      <c r="L13" s="19">
        <v>18</v>
      </c>
      <c r="M13" s="11">
        <f>AVERAGE(M9:M12)</f>
        <v>1417.3326320173037</v>
      </c>
      <c r="N13" s="10">
        <f t="shared" si="1"/>
        <v>78.740701778739094</v>
      </c>
      <c r="O13" s="12">
        <f t="shared" si="2"/>
        <v>0</v>
      </c>
      <c r="P13" s="13">
        <f t="shared" si="3"/>
        <v>-4.5926315545942344</v>
      </c>
      <c r="Q13" s="196">
        <f t="shared" si="4"/>
        <v>0.94488842134486917</v>
      </c>
      <c r="R13" s="442"/>
      <c r="S13" s="28"/>
      <c r="T13" s="28"/>
      <c r="U13" s="10"/>
      <c r="V13" s="204"/>
      <c r="W13" s="10"/>
      <c r="X13" s="10"/>
      <c r="Y13" s="443"/>
      <c r="Z13" s="443"/>
      <c r="AA13" s="12">
        <f t="shared" si="5"/>
        <v>-82.667367982696305</v>
      </c>
      <c r="AB13" s="196">
        <f t="shared" si="6"/>
        <v>0.94488842134486917</v>
      </c>
      <c r="AC13" s="442"/>
    </row>
    <row r="14" spans="1:29" ht="16.5" customHeight="1">
      <c r="A14" s="469" t="s">
        <v>40</v>
      </c>
      <c r="B14" s="207" t="s">
        <v>56</v>
      </c>
      <c r="C14" s="464" t="s">
        <v>57</v>
      </c>
      <c r="D14" s="464"/>
      <c r="E14" s="31">
        <v>41</v>
      </c>
      <c r="F14" s="207">
        <v>1871</v>
      </c>
      <c r="G14" s="197">
        <f>E14*F14</f>
        <v>76711</v>
      </c>
      <c r="H14" s="206" t="s">
        <v>103</v>
      </c>
      <c r="I14" s="205">
        <v>26</v>
      </c>
      <c r="J14" s="26">
        <v>1500</v>
      </c>
      <c r="K14" s="10">
        <f t="shared" si="0"/>
        <v>57.692307692307693</v>
      </c>
      <c r="L14" s="205">
        <v>26</v>
      </c>
      <c r="M14" s="11">
        <f>F14/V14*60</f>
        <v>1421.0126582278481</v>
      </c>
      <c r="N14" s="10">
        <f t="shared" si="1"/>
        <v>54.654333008763388</v>
      </c>
      <c r="O14" s="12">
        <f t="shared" si="2"/>
        <v>0</v>
      </c>
      <c r="P14" s="13">
        <f t="shared" si="3"/>
        <v>-3.0379746835443058</v>
      </c>
      <c r="Q14" s="196">
        <f t="shared" si="4"/>
        <v>0.94734177215189874</v>
      </c>
      <c r="R14" s="442">
        <f>Q18</f>
        <v>0.94669835085280396</v>
      </c>
      <c r="S14" s="28">
        <v>0.20833333333333334</v>
      </c>
      <c r="T14" s="28">
        <v>0.26319444444444445</v>
      </c>
      <c r="U14" s="197"/>
      <c r="V14" s="204">
        <f>(T14-S14)*24*60</f>
        <v>79</v>
      </c>
      <c r="W14" s="18"/>
      <c r="X14" s="18"/>
      <c r="Y14" s="443"/>
      <c r="Z14" s="443"/>
      <c r="AA14" s="12">
        <f t="shared" si="5"/>
        <v>-78.987341772151922</v>
      </c>
      <c r="AB14" s="196">
        <f t="shared" si="6"/>
        <v>0.94734177215189874</v>
      </c>
      <c r="AC14" s="442">
        <f>AB18</f>
        <v>0.94669835085280385</v>
      </c>
    </row>
    <row r="15" spans="1:29" ht="16.5" customHeight="1">
      <c r="A15" s="470" t="s">
        <v>40</v>
      </c>
      <c r="B15" s="207" t="s">
        <v>53</v>
      </c>
      <c r="C15" s="464" t="s">
        <v>1241</v>
      </c>
      <c r="D15" s="464"/>
      <c r="E15" s="31">
        <v>39.36</v>
      </c>
      <c r="F15" s="207">
        <v>4247</v>
      </c>
      <c r="G15" s="197">
        <f>E15*F15</f>
        <v>167161.91999999998</v>
      </c>
      <c r="H15" s="206" t="s">
        <v>103</v>
      </c>
      <c r="I15" s="205">
        <v>20</v>
      </c>
      <c r="J15" s="26">
        <v>1500</v>
      </c>
      <c r="K15" s="10">
        <f t="shared" si="0"/>
        <v>75</v>
      </c>
      <c r="L15" s="205">
        <v>20</v>
      </c>
      <c r="M15" s="11">
        <f>F15/V15*60</f>
        <v>1415.6666666666667</v>
      </c>
      <c r="N15" s="10">
        <f t="shared" si="1"/>
        <v>70.783333333333331</v>
      </c>
      <c r="O15" s="12">
        <f t="shared" si="2"/>
        <v>0</v>
      </c>
      <c r="P15" s="13">
        <f t="shared" si="3"/>
        <v>-4.2166666666666686</v>
      </c>
      <c r="Q15" s="196">
        <f t="shared" si="4"/>
        <v>0.94377777777777772</v>
      </c>
      <c r="R15" s="442"/>
      <c r="S15" s="28">
        <v>0.26666666666666666</v>
      </c>
      <c r="T15" s="28">
        <v>0.39166666666666666</v>
      </c>
      <c r="U15" s="197">
        <f>IF(S15=TIME(17,0,0),"",(S15-T14)*24*60)</f>
        <v>4.9999999999999822</v>
      </c>
      <c r="V15" s="204">
        <f>(T15-S15)*24*60</f>
        <v>180</v>
      </c>
      <c r="W15" s="16"/>
      <c r="X15" s="16"/>
      <c r="Y15" s="443"/>
      <c r="Z15" s="443"/>
      <c r="AA15" s="12">
        <f t="shared" si="5"/>
        <v>-84.333333333333258</v>
      </c>
      <c r="AB15" s="196">
        <f t="shared" si="6"/>
        <v>0.94377777777777783</v>
      </c>
      <c r="AC15" s="442"/>
    </row>
    <row r="16" spans="1:29" ht="16.5" customHeight="1">
      <c r="A16" s="470" t="s">
        <v>40</v>
      </c>
      <c r="B16" s="207" t="s">
        <v>58</v>
      </c>
      <c r="C16" s="464" t="s">
        <v>59</v>
      </c>
      <c r="D16" s="464"/>
      <c r="E16" s="31">
        <v>50.98</v>
      </c>
      <c r="F16" s="207">
        <v>3066</v>
      </c>
      <c r="G16" s="197">
        <f>E16*F16</f>
        <v>156304.68</v>
      </c>
      <c r="H16" s="206" t="s">
        <v>103</v>
      </c>
      <c r="I16" s="205">
        <v>16</v>
      </c>
      <c r="J16" s="26">
        <v>2000</v>
      </c>
      <c r="K16" s="10">
        <f t="shared" si="0"/>
        <v>125</v>
      </c>
      <c r="L16" s="205">
        <v>16</v>
      </c>
      <c r="M16" s="11">
        <f>F16/V16*60</f>
        <v>1896.4948453608254</v>
      </c>
      <c r="N16" s="10">
        <f t="shared" si="1"/>
        <v>118.53092783505159</v>
      </c>
      <c r="O16" s="12">
        <f t="shared" si="2"/>
        <v>0</v>
      </c>
      <c r="P16" s="13">
        <f t="shared" si="3"/>
        <v>-6.4690721649484146</v>
      </c>
      <c r="Q16" s="196">
        <f t="shared" si="4"/>
        <v>0.94824742268041273</v>
      </c>
      <c r="R16" s="442"/>
      <c r="S16" s="28">
        <v>0.70833333333333337</v>
      </c>
      <c r="T16" s="28">
        <v>0.77569444444444446</v>
      </c>
      <c r="U16" s="197" t="str">
        <f>IF(S16=TIME(17,0,0),"",(S16-T15)*24*60)</f>
        <v/>
      </c>
      <c r="V16" s="204">
        <f>(T16-S16)*24*60</f>
        <v>96.999999999999972</v>
      </c>
      <c r="W16" s="16"/>
      <c r="X16" s="16"/>
      <c r="Y16" s="443"/>
      <c r="Z16" s="443"/>
      <c r="AA16" s="12">
        <f t="shared" si="5"/>
        <v>-103.50515463917463</v>
      </c>
      <c r="AB16" s="196">
        <f t="shared" si="6"/>
        <v>0.94824742268041273</v>
      </c>
      <c r="AC16" s="442"/>
    </row>
    <row r="17" spans="1:29" ht="16.5" customHeight="1">
      <c r="A17" s="470" t="s">
        <v>40</v>
      </c>
      <c r="B17" s="207" t="s">
        <v>58</v>
      </c>
      <c r="C17" s="464" t="s">
        <v>60</v>
      </c>
      <c r="D17" s="464"/>
      <c r="E17" s="31">
        <v>50.92</v>
      </c>
      <c r="F17" s="207">
        <v>3314</v>
      </c>
      <c r="G17" s="197">
        <f>E17*F17</f>
        <v>168748.88</v>
      </c>
      <c r="H17" s="206" t="s">
        <v>103</v>
      </c>
      <c r="I17" s="205">
        <v>15</v>
      </c>
      <c r="J17" s="26">
        <v>2000</v>
      </c>
      <c r="K17" s="10">
        <f t="shared" si="0"/>
        <v>133.33333333333334</v>
      </c>
      <c r="L17" s="205">
        <v>15</v>
      </c>
      <c r="M17" s="11">
        <f>F17/V17*60</f>
        <v>1893.7142857142867</v>
      </c>
      <c r="N17" s="10">
        <f t="shared" si="1"/>
        <v>126.24761904761911</v>
      </c>
      <c r="O17" s="12">
        <f t="shared" si="2"/>
        <v>0</v>
      </c>
      <c r="P17" s="13">
        <f t="shared" si="3"/>
        <v>-7.0857142857142321</v>
      </c>
      <c r="Q17" s="196">
        <f t="shared" si="4"/>
        <v>0.94685714285714329</v>
      </c>
      <c r="R17" s="442"/>
      <c r="S17" s="28">
        <v>0.77986111111111112</v>
      </c>
      <c r="T17" s="28">
        <v>0.85277777777777775</v>
      </c>
      <c r="U17" s="197">
        <f>IF(S17=TIME(17,0,0),"",(S17-T16)*24*60)</f>
        <v>5.9999999999999787</v>
      </c>
      <c r="V17" s="204">
        <f>(T17-S17)*24*60</f>
        <v>104.99999999999994</v>
      </c>
      <c r="W17" s="16"/>
      <c r="X17" s="16"/>
      <c r="Y17" s="443"/>
      <c r="Z17" s="443"/>
      <c r="AA17" s="12">
        <f t="shared" si="5"/>
        <v>-106.28571428571331</v>
      </c>
      <c r="AB17" s="196">
        <f t="shared" si="6"/>
        <v>0.9468571428571434</v>
      </c>
      <c r="AC17" s="442"/>
    </row>
    <row r="18" spans="1:29" ht="16.5" customHeight="1">
      <c r="A18" s="470" t="s">
        <v>40</v>
      </c>
      <c r="B18" s="31" t="s">
        <v>39</v>
      </c>
      <c r="C18" s="446"/>
      <c r="D18" s="446"/>
      <c r="E18" s="200"/>
      <c r="F18" s="33"/>
      <c r="G18" s="10"/>
      <c r="H18" s="207"/>
      <c r="I18" s="19">
        <v>19.5</v>
      </c>
      <c r="J18" s="26">
        <v>1750</v>
      </c>
      <c r="K18" s="10">
        <f t="shared" si="0"/>
        <v>89.743589743589737</v>
      </c>
      <c r="L18" s="19">
        <v>19.5</v>
      </c>
      <c r="M18" s="11">
        <f>AVERAGE(M14:M17)</f>
        <v>1656.7221139924068</v>
      </c>
      <c r="N18" s="10">
        <f t="shared" si="1"/>
        <v>84.960108409867019</v>
      </c>
      <c r="O18" s="12">
        <f t="shared" si="2"/>
        <v>0</v>
      </c>
      <c r="P18" s="13">
        <f t="shared" si="3"/>
        <v>-4.7834813337227189</v>
      </c>
      <c r="Q18" s="196">
        <f t="shared" si="4"/>
        <v>0.94669835085280396</v>
      </c>
      <c r="R18" s="442"/>
      <c r="S18" s="28"/>
      <c r="T18" s="28"/>
      <c r="U18" s="197"/>
      <c r="V18" s="204"/>
      <c r="W18" s="10"/>
      <c r="X18" s="10"/>
      <c r="Y18" s="443"/>
      <c r="Z18" s="443"/>
      <c r="AA18" s="12">
        <f t="shared" si="5"/>
        <v>-93.277886007593224</v>
      </c>
      <c r="AB18" s="196">
        <f t="shared" si="6"/>
        <v>0.94669835085280385</v>
      </c>
      <c r="AC18" s="442"/>
    </row>
    <row r="19" spans="1:29" ht="15.75" customHeight="1">
      <c r="A19" s="467" t="s">
        <v>41</v>
      </c>
      <c r="B19" s="31" t="s">
        <v>56</v>
      </c>
      <c r="C19" s="464" t="s">
        <v>61</v>
      </c>
      <c r="D19" s="464"/>
      <c r="E19" s="31">
        <v>43.14</v>
      </c>
      <c r="F19" s="207">
        <v>1424</v>
      </c>
      <c r="G19" s="197">
        <f>E19*F19</f>
        <v>61431.360000000001</v>
      </c>
      <c r="H19" s="206" t="s">
        <v>103</v>
      </c>
      <c r="I19" s="205">
        <v>17</v>
      </c>
      <c r="J19" s="26">
        <v>2000</v>
      </c>
      <c r="K19" s="10">
        <f t="shared" si="0"/>
        <v>117.64705882352941</v>
      </c>
      <c r="L19" s="205">
        <v>17</v>
      </c>
      <c r="M19" s="11">
        <f>F19/V19*60</f>
        <v>1898.6666666666667</v>
      </c>
      <c r="N19" s="10">
        <f t="shared" si="1"/>
        <v>111.68627450980392</v>
      </c>
      <c r="O19" s="12">
        <f t="shared" si="2"/>
        <v>0</v>
      </c>
      <c r="P19" s="13">
        <f t="shared" si="3"/>
        <v>-5.9607843137254832</v>
      </c>
      <c r="Q19" s="196">
        <f t="shared" si="4"/>
        <v>0.94933333333333336</v>
      </c>
      <c r="R19" s="442">
        <f>Q24</f>
        <v>0.95182250742926133</v>
      </c>
      <c r="S19" s="28">
        <v>0.20833333333333334</v>
      </c>
      <c r="T19" s="28">
        <v>0.23958333333333334</v>
      </c>
      <c r="U19" s="197"/>
      <c r="V19" s="204">
        <f>(T19-S19)*24*60</f>
        <v>45</v>
      </c>
      <c r="W19" s="18"/>
      <c r="X19" s="18"/>
      <c r="Y19" s="443"/>
      <c r="Z19" s="443"/>
      <c r="AA19" s="12">
        <f t="shared" si="5"/>
        <v>-101.33333333333326</v>
      </c>
      <c r="AB19" s="196">
        <f t="shared" si="6"/>
        <v>0.94933333333333336</v>
      </c>
      <c r="AC19" s="442">
        <f>AB24</f>
        <v>0.95182250742926133</v>
      </c>
    </row>
    <row r="20" spans="1:29" ht="15.75" customHeight="1">
      <c r="A20" s="468" t="s">
        <v>41</v>
      </c>
      <c r="B20" s="31" t="s">
        <v>58</v>
      </c>
      <c r="C20" s="464" t="s">
        <v>62</v>
      </c>
      <c r="D20" s="464"/>
      <c r="E20" s="31">
        <v>57.73</v>
      </c>
      <c r="F20" s="207">
        <v>2921</v>
      </c>
      <c r="G20" s="197">
        <f>E20*F20</f>
        <v>168629.33</v>
      </c>
      <c r="H20" s="206" t="s">
        <v>103</v>
      </c>
      <c r="I20" s="205">
        <v>15</v>
      </c>
      <c r="J20" s="26">
        <v>2000</v>
      </c>
      <c r="K20" s="10">
        <f t="shared" si="0"/>
        <v>133.33333333333334</v>
      </c>
      <c r="L20" s="205">
        <v>15</v>
      </c>
      <c r="M20" s="11">
        <f>F20/V20*60</f>
        <v>1884.5161290322583</v>
      </c>
      <c r="N20" s="10">
        <f t="shared" si="1"/>
        <v>125.63440860215056</v>
      </c>
      <c r="O20" s="12">
        <f t="shared" si="2"/>
        <v>0</v>
      </c>
      <c r="P20" s="13">
        <f t="shared" si="3"/>
        <v>-7.6989247311827853</v>
      </c>
      <c r="Q20" s="196">
        <f t="shared" si="4"/>
        <v>0.94225806451612915</v>
      </c>
      <c r="R20" s="442"/>
      <c r="S20" s="28">
        <v>0.24444444444444446</v>
      </c>
      <c r="T20" s="28">
        <v>0.30902777777777779</v>
      </c>
      <c r="U20" s="197">
        <f>IF(S20=TIME(17,0,0),"",(S20-T19)*24*60)</f>
        <v>7.0000000000000151</v>
      </c>
      <c r="V20" s="204">
        <f>(T20-S20)*24*60</f>
        <v>92.999999999999986</v>
      </c>
      <c r="W20" s="16"/>
      <c r="X20" s="197"/>
      <c r="Y20" s="443"/>
      <c r="Z20" s="443"/>
      <c r="AA20" s="12">
        <f t="shared" si="5"/>
        <v>-115.48387096774172</v>
      </c>
      <c r="AB20" s="196">
        <f t="shared" si="6"/>
        <v>0.94225806451612915</v>
      </c>
      <c r="AC20" s="442"/>
    </row>
    <row r="21" spans="1:29" ht="15.75" customHeight="1">
      <c r="A21" s="468" t="s">
        <v>41</v>
      </c>
      <c r="B21" s="31" t="s">
        <v>58</v>
      </c>
      <c r="C21" s="464" t="s">
        <v>63</v>
      </c>
      <c r="D21" s="464"/>
      <c r="E21" s="31">
        <v>53.68</v>
      </c>
      <c r="F21" s="207">
        <v>1986</v>
      </c>
      <c r="G21" s="197">
        <f>E21*F21</f>
        <v>106608.48</v>
      </c>
      <c r="H21" s="206" t="s">
        <v>103</v>
      </c>
      <c r="I21" s="205">
        <v>16</v>
      </c>
      <c r="J21" s="26">
        <v>2000</v>
      </c>
      <c r="K21" s="10">
        <f t="shared" si="0"/>
        <v>125</v>
      </c>
      <c r="L21" s="205">
        <v>16</v>
      </c>
      <c r="M21" s="11">
        <f>F21/V21*60</f>
        <v>1891.4285714285711</v>
      </c>
      <c r="N21" s="10">
        <f t="shared" si="1"/>
        <v>118.21428571428569</v>
      </c>
      <c r="O21" s="12">
        <f t="shared" si="2"/>
        <v>0</v>
      </c>
      <c r="P21" s="13">
        <f t="shared" si="3"/>
        <v>-6.785714285714306</v>
      </c>
      <c r="Q21" s="196">
        <f t="shared" si="4"/>
        <v>0.94571428571428551</v>
      </c>
      <c r="R21" s="442"/>
      <c r="S21" s="28">
        <v>0.3125</v>
      </c>
      <c r="T21" s="28">
        <v>0.35625000000000001</v>
      </c>
      <c r="U21" s="197">
        <f>IF(S21=TIME(17,0,0),"",(S21-T20)*24*60)</f>
        <v>4.9999999999999822</v>
      </c>
      <c r="V21" s="204">
        <f>(T21-S21)*24*60</f>
        <v>63.000000000000014</v>
      </c>
      <c r="W21" s="16"/>
      <c r="X21" s="197"/>
      <c r="Y21" s="443"/>
      <c r="Z21" s="443"/>
      <c r="AA21" s="12">
        <f t="shared" si="5"/>
        <v>-108.5714285714289</v>
      </c>
      <c r="AB21" s="196">
        <f t="shared" si="6"/>
        <v>0.94571428571428551</v>
      </c>
      <c r="AC21" s="442"/>
    </row>
    <row r="22" spans="1:29" ht="15.75" customHeight="1">
      <c r="A22" s="468" t="s">
        <v>41</v>
      </c>
      <c r="B22" s="31" t="s">
        <v>58</v>
      </c>
      <c r="C22" s="464" t="s">
        <v>65</v>
      </c>
      <c r="D22" s="464"/>
      <c r="E22" s="31">
        <v>54.09</v>
      </c>
      <c r="F22" s="207">
        <v>3371</v>
      </c>
      <c r="G22" s="197">
        <f>E22*F22</f>
        <v>182337.39</v>
      </c>
      <c r="H22" s="206" t="s">
        <v>103</v>
      </c>
      <c r="I22" s="205">
        <v>19</v>
      </c>
      <c r="J22" s="26">
        <v>2000</v>
      </c>
      <c r="K22" s="10">
        <f t="shared" si="0"/>
        <v>105.26315789473684</v>
      </c>
      <c r="L22" s="205">
        <v>19</v>
      </c>
      <c r="M22" s="11">
        <f>F22/V22*60</f>
        <v>1890.2803738317768</v>
      </c>
      <c r="N22" s="10">
        <f t="shared" si="1"/>
        <v>99.488440727988248</v>
      </c>
      <c r="O22" s="12">
        <f t="shared" si="2"/>
        <v>0</v>
      </c>
      <c r="P22" s="13">
        <f t="shared" si="3"/>
        <v>-5.7747171667485873</v>
      </c>
      <c r="Q22" s="196">
        <f t="shared" si="4"/>
        <v>0.94514018691588841</v>
      </c>
      <c r="R22" s="442"/>
      <c r="S22" s="28">
        <v>0.70833333333333337</v>
      </c>
      <c r="T22" s="28">
        <v>0.78263888888888888</v>
      </c>
      <c r="U22" s="197" t="str">
        <f>IF(S22=TIME(17,0,0),"",(S22-T21)*24*60)</f>
        <v/>
      </c>
      <c r="V22" s="204">
        <f>(T22-S22)*24*60</f>
        <v>106.99999999999994</v>
      </c>
      <c r="W22" s="16"/>
      <c r="X22" s="197"/>
      <c r="Y22" s="443"/>
      <c r="Z22" s="443"/>
      <c r="AA22" s="12">
        <f t="shared" si="5"/>
        <v>-109.71962616822316</v>
      </c>
      <c r="AB22" s="196">
        <f t="shared" si="6"/>
        <v>0.94514018691588841</v>
      </c>
      <c r="AC22" s="442"/>
    </row>
    <row r="23" spans="1:29" ht="15.75" customHeight="1">
      <c r="A23" s="468" t="s">
        <v>41</v>
      </c>
      <c r="B23" s="31" t="s">
        <v>58</v>
      </c>
      <c r="C23" s="464" t="s">
        <v>66</v>
      </c>
      <c r="D23" s="464"/>
      <c r="E23" s="31">
        <v>53.27</v>
      </c>
      <c r="F23" s="207">
        <v>586</v>
      </c>
      <c r="G23" s="197">
        <f>E23*F23</f>
        <v>31216.22</v>
      </c>
      <c r="H23" s="206" t="s">
        <v>103</v>
      </c>
      <c r="I23" s="205">
        <v>15</v>
      </c>
      <c r="J23" s="26">
        <v>2000</v>
      </c>
      <c r="K23" s="10">
        <f t="shared" si="0"/>
        <v>133.33333333333334</v>
      </c>
      <c r="L23" s="205">
        <v>15</v>
      </c>
      <c r="M23" s="11">
        <f>F23/V23*60</f>
        <v>1953.3333333333403</v>
      </c>
      <c r="N23" s="10">
        <f t="shared" si="1"/>
        <v>130.22222222222268</v>
      </c>
      <c r="O23" s="12">
        <f t="shared" si="2"/>
        <v>0</v>
      </c>
      <c r="P23" s="13">
        <f t="shared" si="3"/>
        <v>-3.1111111111106595</v>
      </c>
      <c r="Q23" s="196">
        <f t="shared" si="4"/>
        <v>0.97666666666667001</v>
      </c>
      <c r="R23" s="442"/>
      <c r="S23" s="28">
        <v>0.78680555555555554</v>
      </c>
      <c r="T23" s="28">
        <v>0.79930555555555549</v>
      </c>
      <c r="U23" s="197">
        <f>IF(S23=TIME(17,0,0),"",(S23-T22)*24*60)</f>
        <v>5.9999999999999787</v>
      </c>
      <c r="V23" s="204">
        <f>(T23-S23)*24*60</f>
        <v>17.999999999999936</v>
      </c>
      <c r="W23" s="16"/>
      <c r="X23" s="197"/>
      <c r="Y23" s="443"/>
      <c r="Z23" s="443"/>
      <c r="AA23" s="12">
        <f t="shared" si="5"/>
        <v>-46.666666666659694</v>
      </c>
      <c r="AB23" s="196">
        <f t="shared" si="6"/>
        <v>0.97666666666667012</v>
      </c>
      <c r="AC23" s="442"/>
    </row>
    <row r="24" spans="1:29" ht="15.75" customHeight="1">
      <c r="A24" s="468" t="s">
        <v>41</v>
      </c>
      <c r="B24" s="31" t="s">
        <v>39</v>
      </c>
      <c r="C24" s="446"/>
      <c r="D24" s="446"/>
      <c r="E24" s="200"/>
      <c r="F24" s="207"/>
      <c r="G24" s="197"/>
      <c r="H24" s="207"/>
      <c r="I24" s="19">
        <v>16.600000000000001</v>
      </c>
      <c r="J24" s="26">
        <v>2000</v>
      </c>
      <c r="K24" s="10">
        <f t="shared" si="0"/>
        <v>120.48192771084337</v>
      </c>
      <c r="L24" s="19">
        <v>16.600000000000001</v>
      </c>
      <c r="M24" s="11">
        <f>AVERAGE(M19:M23)</f>
        <v>1903.6450148585227</v>
      </c>
      <c r="N24" s="10">
        <f t="shared" si="1"/>
        <v>114.67741053364594</v>
      </c>
      <c r="O24" s="12">
        <f t="shared" si="2"/>
        <v>0</v>
      </c>
      <c r="P24" s="13">
        <f t="shared" si="3"/>
        <v>-5.8045171771974253</v>
      </c>
      <c r="Q24" s="196">
        <f t="shared" si="4"/>
        <v>0.95182250742926133</v>
      </c>
      <c r="R24" s="442"/>
      <c r="S24" s="28"/>
      <c r="T24" s="28"/>
      <c r="U24" s="10"/>
      <c r="V24" s="204"/>
      <c r="W24" s="10"/>
      <c r="X24" s="10"/>
      <c r="Y24" s="443"/>
      <c r="Z24" s="443"/>
      <c r="AA24" s="12">
        <f t="shared" si="5"/>
        <v>-96.3549851414773</v>
      </c>
      <c r="AB24" s="196">
        <f t="shared" si="6"/>
        <v>0.95182250742926133</v>
      </c>
      <c r="AC24" s="442"/>
    </row>
    <row r="25" spans="1:29" ht="15.75" customHeight="1">
      <c r="A25" s="463" t="s">
        <v>43</v>
      </c>
      <c r="B25" s="31" t="s">
        <v>67</v>
      </c>
      <c r="C25" s="464" t="s">
        <v>68</v>
      </c>
      <c r="D25" s="464"/>
      <c r="E25" s="31">
        <v>26.2</v>
      </c>
      <c r="F25" s="207">
        <v>2600</v>
      </c>
      <c r="G25" s="197">
        <f t="shared" ref="G25:G32" si="7">E25*F25</f>
        <v>68120</v>
      </c>
      <c r="H25" s="206">
        <v>2</v>
      </c>
      <c r="I25" s="205">
        <v>20</v>
      </c>
      <c r="J25" s="26">
        <v>2400</v>
      </c>
      <c r="K25" s="10">
        <f t="shared" si="0"/>
        <v>120</v>
      </c>
      <c r="L25" s="205">
        <v>20</v>
      </c>
      <c r="M25" s="11">
        <f t="shared" ref="M25:M32" si="8">F25/V25*60</f>
        <v>2260.869565217391</v>
      </c>
      <c r="N25" s="10">
        <f t="shared" si="1"/>
        <v>113.04347826086955</v>
      </c>
      <c r="O25" s="12">
        <f t="shared" si="2"/>
        <v>0</v>
      </c>
      <c r="P25" s="13">
        <f t="shared" si="3"/>
        <v>-6.9565217391304515</v>
      </c>
      <c r="Q25" s="196">
        <f t="shared" si="4"/>
        <v>0.94202898550724623</v>
      </c>
      <c r="R25" s="442">
        <f>Q33</f>
        <v>0.94731585409829289</v>
      </c>
      <c r="S25" s="28">
        <v>0.125</v>
      </c>
      <c r="T25" s="28">
        <v>0.17291666666666666</v>
      </c>
      <c r="U25" s="197"/>
      <c r="V25" s="204">
        <f t="shared" ref="V25:V32" si="9">(T25-S25)*24*60</f>
        <v>69</v>
      </c>
      <c r="W25" s="16">
        <f>T25</f>
        <v>0.17291666666666666</v>
      </c>
      <c r="X25" s="16">
        <f>S26</f>
        <v>0.19166666666666665</v>
      </c>
      <c r="Y25" s="443"/>
      <c r="Z25" s="443"/>
      <c r="AA25" s="12">
        <f t="shared" si="5"/>
        <v>-139.13043478260897</v>
      </c>
      <c r="AB25" s="196">
        <f t="shared" si="6"/>
        <v>0.94202898550724623</v>
      </c>
      <c r="AC25" s="442">
        <f>AB33</f>
        <v>0.947315854098293</v>
      </c>
    </row>
    <row r="26" spans="1:29" ht="15.75" customHeight="1">
      <c r="A26" s="463" t="s">
        <v>43</v>
      </c>
      <c r="B26" s="31" t="s">
        <v>67</v>
      </c>
      <c r="C26" s="464" t="s">
        <v>69</v>
      </c>
      <c r="D26" s="464"/>
      <c r="E26" s="31">
        <v>31.29</v>
      </c>
      <c r="F26" s="207">
        <v>5600</v>
      </c>
      <c r="G26" s="197">
        <f t="shared" si="7"/>
        <v>175224</v>
      </c>
      <c r="H26" s="206">
        <v>2</v>
      </c>
      <c r="I26" s="205">
        <v>16</v>
      </c>
      <c r="J26" s="26">
        <v>2400</v>
      </c>
      <c r="K26" s="10">
        <f t="shared" si="0"/>
        <v>150</v>
      </c>
      <c r="L26" s="205">
        <v>16</v>
      </c>
      <c r="M26" s="11">
        <f t="shared" si="8"/>
        <v>2270.27027027027</v>
      </c>
      <c r="N26" s="10">
        <f t="shared" si="1"/>
        <v>141.89189189189187</v>
      </c>
      <c r="O26" s="12">
        <f t="shared" si="2"/>
        <v>0</v>
      </c>
      <c r="P26" s="13">
        <f t="shared" si="3"/>
        <v>-8.1081081081081265</v>
      </c>
      <c r="Q26" s="196">
        <f t="shared" si="4"/>
        <v>0.94594594594594583</v>
      </c>
      <c r="R26" s="442"/>
      <c r="S26" s="28">
        <v>0.19166666666666665</v>
      </c>
      <c r="T26" s="28">
        <v>0.29444444444444445</v>
      </c>
      <c r="U26" s="197">
        <f t="shared" ref="U26:U32" si="10">(S26-T25)*24*60</f>
        <v>26.999999999999986</v>
      </c>
      <c r="V26" s="204">
        <f t="shared" si="9"/>
        <v>148.00000000000003</v>
      </c>
      <c r="W26" s="16"/>
      <c r="X26" s="16"/>
      <c r="Y26" s="443"/>
      <c r="Z26" s="443"/>
      <c r="AA26" s="12">
        <f t="shared" si="5"/>
        <v>-129.72972972973002</v>
      </c>
      <c r="AB26" s="196">
        <f t="shared" si="6"/>
        <v>0.94594594594594583</v>
      </c>
      <c r="AC26" s="442"/>
    </row>
    <row r="27" spans="1:29" ht="15.75" customHeight="1">
      <c r="A27" s="463" t="s">
        <v>43</v>
      </c>
      <c r="B27" s="31" t="s">
        <v>67</v>
      </c>
      <c r="C27" s="464" t="s">
        <v>70</v>
      </c>
      <c r="D27" s="464"/>
      <c r="E27" s="31">
        <v>24.25</v>
      </c>
      <c r="F27" s="207">
        <v>4101</v>
      </c>
      <c r="G27" s="197">
        <f t="shared" si="7"/>
        <v>99449.25</v>
      </c>
      <c r="H27" s="206" t="s">
        <v>103</v>
      </c>
      <c r="I27" s="205">
        <v>18</v>
      </c>
      <c r="J27" s="26">
        <v>2400</v>
      </c>
      <c r="K27" s="10">
        <f t="shared" si="0"/>
        <v>133.33333333333334</v>
      </c>
      <c r="L27" s="205">
        <v>18</v>
      </c>
      <c r="M27" s="11">
        <f t="shared" si="8"/>
        <v>2278.333333333333</v>
      </c>
      <c r="N27" s="10">
        <f t="shared" si="1"/>
        <v>126.57407407407406</v>
      </c>
      <c r="O27" s="12">
        <f t="shared" si="2"/>
        <v>0</v>
      </c>
      <c r="P27" s="13">
        <f t="shared" si="3"/>
        <v>-6.7592592592592808</v>
      </c>
      <c r="Q27" s="196">
        <f t="shared" si="4"/>
        <v>0.9493055555555554</v>
      </c>
      <c r="R27" s="442"/>
      <c r="S27" s="28">
        <v>0.2986111111111111</v>
      </c>
      <c r="T27" s="28">
        <v>0.37361111111111112</v>
      </c>
      <c r="U27" s="197">
        <f t="shared" si="10"/>
        <v>5.9999999999999787</v>
      </c>
      <c r="V27" s="204">
        <f t="shared" si="9"/>
        <v>108.00000000000001</v>
      </c>
      <c r="W27" s="16"/>
      <c r="X27" s="16"/>
      <c r="Y27" s="443"/>
      <c r="Z27" s="443"/>
      <c r="AA27" s="12">
        <f t="shared" si="5"/>
        <v>-121.66666666666697</v>
      </c>
      <c r="AB27" s="196">
        <f t="shared" si="6"/>
        <v>0.9493055555555554</v>
      </c>
      <c r="AC27" s="442"/>
    </row>
    <row r="28" spans="1:29" ht="15.75" customHeight="1">
      <c r="A28" s="463" t="s">
        <v>43</v>
      </c>
      <c r="B28" s="31" t="s">
        <v>67</v>
      </c>
      <c r="C28" s="464" t="s">
        <v>72</v>
      </c>
      <c r="D28" s="464"/>
      <c r="E28" s="31">
        <v>25.98</v>
      </c>
      <c r="F28" s="207">
        <v>3637</v>
      </c>
      <c r="G28" s="197">
        <f t="shared" si="7"/>
        <v>94489.26</v>
      </c>
      <c r="H28" s="206" t="s">
        <v>103</v>
      </c>
      <c r="I28" s="205">
        <v>17</v>
      </c>
      <c r="J28" s="26">
        <v>2400</v>
      </c>
      <c r="K28" s="10">
        <f t="shared" si="0"/>
        <v>141.1764705882353</v>
      </c>
      <c r="L28" s="205">
        <v>17</v>
      </c>
      <c r="M28" s="11">
        <f t="shared" si="8"/>
        <v>2273.1250000000009</v>
      </c>
      <c r="N28" s="10">
        <f t="shared" si="1"/>
        <v>133.71323529411771</v>
      </c>
      <c r="O28" s="12">
        <f t="shared" si="2"/>
        <v>0</v>
      </c>
      <c r="P28" s="13">
        <f t="shared" si="3"/>
        <v>-7.4632352941175952</v>
      </c>
      <c r="Q28" s="196">
        <f t="shared" si="4"/>
        <v>0.94713541666666701</v>
      </c>
      <c r="R28" s="442"/>
      <c r="S28" s="28">
        <v>0.37847222222222221</v>
      </c>
      <c r="T28" s="28">
        <v>0.44513888888888886</v>
      </c>
      <c r="U28" s="197">
        <f t="shared" si="10"/>
        <v>6.9999999999999751</v>
      </c>
      <c r="V28" s="204">
        <f t="shared" si="9"/>
        <v>95.999999999999972</v>
      </c>
      <c r="W28" s="16"/>
      <c r="X28" s="16"/>
      <c r="Y28" s="443"/>
      <c r="Z28" s="443"/>
      <c r="AA28" s="12">
        <f t="shared" si="5"/>
        <v>-126.87499999999909</v>
      </c>
      <c r="AB28" s="196">
        <f t="shared" si="6"/>
        <v>0.94713541666666701</v>
      </c>
      <c r="AC28" s="442"/>
    </row>
    <row r="29" spans="1:29" ht="15.75" customHeight="1">
      <c r="A29" s="463" t="s">
        <v>43</v>
      </c>
      <c r="B29" s="31" t="s">
        <v>67</v>
      </c>
      <c r="C29" s="464" t="s">
        <v>165</v>
      </c>
      <c r="D29" s="464"/>
      <c r="E29" s="31">
        <v>26.18</v>
      </c>
      <c r="F29" s="207">
        <v>2800</v>
      </c>
      <c r="G29" s="197">
        <f t="shared" si="7"/>
        <v>73304</v>
      </c>
      <c r="H29" s="206">
        <v>2</v>
      </c>
      <c r="I29" s="205">
        <v>19</v>
      </c>
      <c r="J29" s="26">
        <v>2400</v>
      </c>
      <c r="K29" s="10">
        <f t="shared" si="0"/>
        <v>126.31578947368421</v>
      </c>
      <c r="L29" s="205">
        <v>19</v>
      </c>
      <c r="M29" s="11">
        <f t="shared" si="8"/>
        <v>2270.2702702702686</v>
      </c>
      <c r="N29" s="10">
        <f t="shared" si="1"/>
        <v>119.48790896159308</v>
      </c>
      <c r="O29" s="12">
        <f t="shared" si="2"/>
        <v>0</v>
      </c>
      <c r="P29" s="13">
        <f t="shared" si="3"/>
        <v>-6.8278805120911272</v>
      </c>
      <c r="Q29" s="196">
        <f t="shared" si="4"/>
        <v>0.94594594594594528</v>
      </c>
      <c r="R29" s="442"/>
      <c r="S29" s="28">
        <v>0.44999999999999996</v>
      </c>
      <c r="T29" s="28">
        <v>0.50138888888888888</v>
      </c>
      <c r="U29" s="197">
        <f t="shared" si="10"/>
        <v>6.9999999999999751</v>
      </c>
      <c r="V29" s="204">
        <f t="shared" si="9"/>
        <v>74.000000000000057</v>
      </c>
      <c r="W29" s="16">
        <f>T29</f>
        <v>0.50138888888888888</v>
      </c>
      <c r="X29" s="16">
        <f>S30</f>
        <v>0.54305555555555551</v>
      </c>
      <c r="Y29" s="443"/>
      <c r="Z29" s="443"/>
      <c r="AA29" s="12">
        <f t="shared" si="5"/>
        <v>-129.72972972973139</v>
      </c>
      <c r="AB29" s="196">
        <f t="shared" si="6"/>
        <v>0.94594594594594528</v>
      </c>
      <c r="AC29" s="442"/>
    </row>
    <row r="30" spans="1:29" ht="15.75" customHeight="1">
      <c r="A30" s="463" t="s">
        <v>43</v>
      </c>
      <c r="B30" s="31" t="s">
        <v>67</v>
      </c>
      <c r="C30" s="464" t="s">
        <v>69</v>
      </c>
      <c r="D30" s="464"/>
      <c r="E30" s="31">
        <v>31.29</v>
      </c>
      <c r="F30" s="207">
        <v>4100</v>
      </c>
      <c r="G30" s="197">
        <f t="shared" si="7"/>
        <v>128289</v>
      </c>
      <c r="H30" s="206" t="s">
        <v>103</v>
      </c>
      <c r="I30" s="205">
        <v>16</v>
      </c>
      <c r="J30" s="26">
        <v>2400</v>
      </c>
      <c r="K30" s="10">
        <f t="shared" si="0"/>
        <v>150</v>
      </c>
      <c r="L30" s="205">
        <v>16</v>
      </c>
      <c r="M30" s="11">
        <f t="shared" si="8"/>
        <v>2277.7777777777792</v>
      </c>
      <c r="N30" s="10">
        <f t="shared" si="1"/>
        <v>142.3611111111112</v>
      </c>
      <c r="O30" s="12">
        <f t="shared" si="2"/>
        <v>0</v>
      </c>
      <c r="P30" s="13">
        <f t="shared" si="3"/>
        <v>-7.6388888888888005</v>
      </c>
      <c r="Q30" s="196">
        <f t="shared" si="4"/>
        <v>0.94907407407407463</v>
      </c>
      <c r="R30" s="442"/>
      <c r="S30" s="28">
        <v>0.54305555555555551</v>
      </c>
      <c r="T30" s="28">
        <v>0.61805555555555547</v>
      </c>
      <c r="U30" s="197">
        <f t="shared" si="10"/>
        <v>59.999999999999943</v>
      </c>
      <c r="V30" s="204">
        <f t="shared" si="9"/>
        <v>107.99999999999994</v>
      </c>
      <c r="W30" s="16"/>
      <c r="X30" s="16"/>
      <c r="Y30" s="443"/>
      <c r="Z30" s="443"/>
      <c r="AA30" s="12">
        <f t="shared" si="5"/>
        <v>-122.22222222222081</v>
      </c>
      <c r="AB30" s="196">
        <f t="shared" si="6"/>
        <v>0.94907407407407463</v>
      </c>
      <c r="AC30" s="442"/>
    </row>
    <row r="31" spans="1:29" ht="15.75" customHeight="1">
      <c r="A31" s="463" t="s">
        <v>43</v>
      </c>
      <c r="B31" s="31" t="s">
        <v>67</v>
      </c>
      <c r="C31" s="464" t="s">
        <v>165</v>
      </c>
      <c r="D31" s="464"/>
      <c r="E31" s="31">
        <v>26.18</v>
      </c>
      <c r="F31" s="207">
        <v>2090</v>
      </c>
      <c r="G31" s="197">
        <f t="shared" si="7"/>
        <v>54716.2</v>
      </c>
      <c r="H31" s="206" t="s">
        <v>103</v>
      </c>
      <c r="I31" s="205">
        <v>19</v>
      </c>
      <c r="J31" s="26">
        <v>2400</v>
      </c>
      <c r="K31" s="10">
        <f t="shared" si="0"/>
        <v>126.31578947368421</v>
      </c>
      <c r="L31" s="205">
        <v>19</v>
      </c>
      <c r="M31" s="11">
        <f t="shared" si="8"/>
        <v>2280.0000000000014</v>
      </c>
      <c r="N31" s="10">
        <f t="shared" si="1"/>
        <v>120.00000000000007</v>
      </c>
      <c r="O31" s="12">
        <f t="shared" si="2"/>
        <v>0</v>
      </c>
      <c r="P31" s="13">
        <f t="shared" si="3"/>
        <v>-6.3157894736841342</v>
      </c>
      <c r="Q31" s="196">
        <f t="shared" si="4"/>
        <v>0.95000000000000062</v>
      </c>
      <c r="R31" s="442"/>
      <c r="S31" s="28">
        <v>0.62361111111111101</v>
      </c>
      <c r="T31" s="28">
        <v>0.66180555555555542</v>
      </c>
      <c r="U31" s="197">
        <f t="shared" si="10"/>
        <v>7.9999999999999716</v>
      </c>
      <c r="V31" s="204">
        <f t="shared" si="9"/>
        <v>54.999999999999964</v>
      </c>
      <c r="W31" s="16"/>
      <c r="X31" s="16"/>
      <c r="Y31" s="443"/>
      <c r="Z31" s="443"/>
      <c r="AA31" s="12">
        <f t="shared" si="5"/>
        <v>-119.99999999999864</v>
      </c>
      <c r="AB31" s="196">
        <f t="shared" si="6"/>
        <v>0.95000000000000062</v>
      </c>
      <c r="AC31" s="442"/>
    </row>
    <row r="32" spans="1:29" ht="15.75" customHeight="1">
      <c r="A32" s="463" t="s">
        <v>725</v>
      </c>
      <c r="B32" s="31" t="s">
        <v>67</v>
      </c>
      <c r="C32" s="464" t="s">
        <v>68</v>
      </c>
      <c r="D32" s="464"/>
      <c r="E32" s="31">
        <v>26.2</v>
      </c>
      <c r="F32" s="207">
        <v>2088</v>
      </c>
      <c r="G32" s="197">
        <f t="shared" si="7"/>
        <v>54705.599999999999</v>
      </c>
      <c r="H32" s="206" t="s">
        <v>103</v>
      </c>
      <c r="I32" s="205">
        <v>20</v>
      </c>
      <c r="J32" s="26">
        <v>2400</v>
      </c>
      <c r="K32" s="10">
        <f t="shared" si="0"/>
        <v>120</v>
      </c>
      <c r="L32" s="205">
        <v>20</v>
      </c>
      <c r="M32" s="11">
        <f t="shared" si="8"/>
        <v>2277.8181818181833</v>
      </c>
      <c r="N32" s="10">
        <f t="shared" si="1"/>
        <v>113.89090909090916</v>
      </c>
      <c r="O32" s="12">
        <f t="shared" si="2"/>
        <v>0</v>
      </c>
      <c r="P32" s="13">
        <f t="shared" si="3"/>
        <v>-6.1090909090908383</v>
      </c>
      <c r="Q32" s="196">
        <f t="shared" si="4"/>
        <v>0.94909090909090965</v>
      </c>
      <c r="R32" s="442"/>
      <c r="S32" s="28">
        <v>0.66666666666666652</v>
      </c>
      <c r="T32" s="28">
        <v>0.70486111111111094</v>
      </c>
      <c r="U32" s="197">
        <f t="shared" si="10"/>
        <v>6.9999999999999751</v>
      </c>
      <c r="V32" s="204">
        <f t="shared" si="9"/>
        <v>54.999999999999964</v>
      </c>
      <c r="W32" s="16"/>
      <c r="X32" s="16"/>
      <c r="Y32" s="443"/>
      <c r="Z32" s="443"/>
      <c r="AA32" s="12">
        <f t="shared" si="5"/>
        <v>-122.18181818181665</v>
      </c>
      <c r="AB32" s="196">
        <f t="shared" si="6"/>
        <v>0.94909090909090976</v>
      </c>
      <c r="AC32" s="442"/>
    </row>
    <row r="33" spans="1:29" ht="15.75" customHeight="1">
      <c r="A33" s="463" t="s">
        <v>724</v>
      </c>
      <c r="B33" s="31" t="s">
        <v>723</v>
      </c>
      <c r="C33" s="446"/>
      <c r="D33" s="446"/>
      <c r="E33" s="200"/>
      <c r="F33" s="207"/>
      <c r="G33" s="197"/>
      <c r="H33" s="207"/>
      <c r="I33" s="19">
        <v>18.125</v>
      </c>
      <c r="J33" s="26">
        <v>2400</v>
      </c>
      <c r="K33" s="10">
        <f t="shared" si="0"/>
        <v>132.41379310344828</v>
      </c>
      <c r="L33" s="19">
        <v>18.125</v>
      </c>
      <c r="M33" s="11">
        <f>AVERAGE(M25:M32)</f>
        <v>2273.5580498359031</v>
      </c>
      <c r="N33" s="10">
        <f t="shared" si="1"/>
        <v>125.43768550818776</v>
      </c>
      <c r="O33" s="12">
        <f t="shared" si="2"/>
        <v>0</v>
      </c>
      <c r="P33" s="13">
        <f t="shared" si="3"/>
        <v>-6.9761075952605296</v>
      </c>
      <c r="Q33" s="196">
        <f t="shared" si="4"/>
        <v>0.94731585409829289</v>
      </c>
      <c r="R33" s="442"/>
      <c r="S33" s="28"/>
      <c r="T33" s="28"/>
      <c r="U33" s="197"/>
      <c r="V33" s="204"/>
      <c r="W33" s="197"/>
      <c r="X33" s="197"/>
      <c r="Y33" s="443"/>
      <c r="Z33" s="443"/>
      <c r="AA33" s="12">
        <f t="shared" si="5"/>
        <v>-126.44195016409685</v>
      </c>
      <c r="AB33" s="196">
        <f t="shared" si="6"/>
        <v>0.947315854098293</v>
      </c>
      <c r="AC33" s="442"/>
    </row>
    <row r="34" spans="1:29" ht="15.75" customHeight="1">
      <c r="A34" s="461" t="s">
        <v>722</v>
      </c>
      <c r="B34" s="31" t="s">
        <v>67</v>
      </c>
      <c r="C34" s="441" t="s">
        <v>73</v>
      </c>
      <c r="D34" s="441"/>
      <c r="E34" s="31">
        <v>26.2</v>
      </c>
      <c r="F34" s="207">
        <v>4500</v>
      </c>
      <c r="G34" s="197">
        <f t="shared" ref="G34:G43" si="11">E34*F34</f>
        <v>117900</v>
      </c>
      <c r="H34" s="206">
        <v>2</v>
      </c>
      <c r="I34" s="205">
        <v>18</v>
      </c>
      <c r="J34" s="26">
        <v>2400</v>
      </c>
      <c r="K34" s="10">
        <f t="shared" si="0"/>
        <v>133.33333333333334</v>
      </c>
      <c r="L34" s="205">
        <v>18</v>
      </c>
      <c r="M34" s="11">
        <f t="shared" ref="M34:M43" si="12">F34/V34*60</f>
        <v>2268.9075630252105</v>
      </c>
      <c r="N34" s="10">
        <f t="shared" si="1"/>
        <v>126.05042016806725</v>
      </c>
      <c r="O34" s="12">
        <f t="shared" si="2"/>
        <v>0</v>
      </c>
      <c r="P34" s="13">
        <f t="shared" si="3"/>
        <v>-7.2829131652660948</v>
      </c>
      <c r="Q34" s="196">
        <f t="shared" si="4"/>
        <v>0.94537815126050428</v>
      </c>
      <c r="R34" s="442">
        <f>Q44</f>
        <v>0.9481636502405274</v>
      </c>
      <c r="S34" s="28">
        <v>0.125</v>
      </c>
      <c r="T34" s="28">
        <v>0.20763888888888887</v>
      </c>
      <c r="U34" s="197"/>
      <c r="V34" s="204">
        <f t="shared" ref="V34:V43" si="13">(T34-S34)*24*60</f>
        <v>118.99999999999997</v>
      </c>
      <c r="W34" s="18">
        <f>T34</f>
        <v>0.20763888888888887</v>
      </c>
      <c r="X34" s="18">
        <f>S35</f>
        <v>0.22847222222222222</v>
      </c>
      <c r="Y34" s="443"/>
      <c r="Z34" s="443"/>
      <c r="AA34" s="12">
        <f t="shared" si="5"/>
        <v>-131.09243697478951</v>
      </c>
      <c r="AB34" s="196">
        <f t="shared" si="6"/>
        <v>0.9453781512605044</v>
      </c>
      <c r="AC34" s="442">
        <f>AB44</f>
        <v>0.9481636502405274</v>
      </c>
    </row>
    <row r="35" spans="1:29" ht="15.75" customHeight="1">
      <c r="A35" s="461" t="s">
        <v>721</v>
      </c>
      <c r="B35" s="31" t="s">
        <v>67</v>
      </c>
      <c r="C35" s="441" t="s">
        <v>74</v>
      </c>
      <c r="D35" s="441"/>
      <c r="E35" s="31">
        <v>24.45</v>
      </c>
      <c r="F35" s="207">
        <v>2494</v>
      </c>
      <c r="G35" s="197">
        <f t="shared" si="11"/>
        <v>60978.299999999996</v>
      </c>
      <c r="H35" s="206" t="s">
        <v>103</v>
      </c>
      <c r="I35" s="205">
        <v>20</v>
      </c>
      <c r="J35" s="26">
        <v>2400</v>
      </c>
      <c r="K35" s="10">
        <f t="shared" si="0"/>
        <v>120</v>
      </c>
      <c r="L35" s="205">
        <v>20</v>
      </c>
      <c r="M35" s="11">
        <f t="shared" si="12"/>
        <v>2267.2727272727257</v>
      </c>
      <c r="N35" s="10">
        <f t="shared" si="1"/>
        <v>113.36363636363629</v>
      </c>
      <c r="O35" s="12">
        <f t="shared" si="2"/>
        <v>0</v>
      </c>
      <c r="P35" s="13">
        <f t="shared" si="3"/>
        <v>-6.6363636363637113</v>
      </c>
      <c r="Q35" s="196">
        <f t="shared" si="4"/>
        <v>0.94469696969696904</v>
      </c>
      <c r="R35" s="442"/>
      <c r="S35" s="28">
        <v>0.22847222222222222</v>
      </c>
      <c r="T35" s="28">
        <v>0.27430555555555558</v>
      </c>
      <c r="U35" s="197">
        <f t="shared" ref="U35:U43" si="14">(S35-T34)*24*60</f>
        <v>30.000000000000014</v>
      </c>
      <c r="V35" s="204">
        <f t="shared" si="13"/>
        <v>66.000000000000043</v>
      </c>
      <c r="W35" s="197"/>
      <c r="X35" s="197"/>
      <c r="Y35" s="443"/>
      <c r="Z35" s="443"/>
      <c r="AA35" s="12">
        <f t="shared" si="5"/>
        <v>-132.72727272727434</v>
      </c>
      <c r="AB35" s="196">
        <f t="shared" si="6"/>
        <v>0.94469696969696904</v>
      </c>
      <c r="AC35" s="442"/>
    </row>
    <row r="36" spans="1:29">
      <c r="A36" s="462" t="s">
        <v>720</v>
      </c>
      <c r="B36" s="31" t="s">
        <v>67</v>
      </c>
      <c r="C36" s="441" t="s">
        <v>75</v>
      </c>
      <c r="D36" s="441"/>
      <c r="E36" s="31">
        <v>26.39</v>
      </c>
      <c r="F36" s="207">
        <v>4000</v>
      </c>
      <c r="G36" s="197">
        <f t="shared" si="11"/>
        <v>105560</v>
      </c>
      <c r="H36" s="206">
        <v>2</v>
      </c>
      <c r="I36" s="205">
        <v>19</v>
      </c>
      <c r="J36" s="26">
        <v>2400</v>
      </c>
      <c r="K36" s="10">
        <f t="shared" si="0"/>
        <v>126.31578947368421</v>
      </c>
      <c r="L36" s="205">
        <v>19</v>
      </c>
      <c r="M36" s="11">
        <f t="shared" si="12"/>
        <v>2264.1509433962256</v>
      </c>
      <c r="N36" s="10">
        <f t="shared" si="1"/>
        <v>119.16583912611713</v>
      </c>
      <c r="O36" s="12">
        <f t="shared" si="2"/>
        <v>0</v>
      </c>
      <c r="P36" s="13">
        <f t="shared" si="3"/>
        <v>-7.1499503475670707</v>
      </c>
      <c r="Q36" s="196">
        <f t="shared" si="4"/>
        <v>0.94339622641509402</v>
      </c>
      <c r="R36" s="442"/>
      <c r="S36" s="28">
        <v>0.27986111111111112</v>
      </c>
      <c r="T36" s="28">
        <v>0.35347222222222224</v>
      </c>
      <c r="U36" s="197">
        <f t="shared" si="14"/>
        <v>7.9999999999999716</v>
      </c>
      <c r="V36" s="204">
        <f t="shared" si="13"/>
        <v>106.00000000000003</v>
      </c>
      <c r="W36" s="197"/>
      <c r="X36" s="197"/>
      <c r="Y36" s="443"/>
      <c r="Z36" s="443"/>
      <c r="AA36" s="12">
        <f t="shared" si="5"/>
        <v>-135.84905660377444</v>
      </c>
      <c r="AB36" s="196">
        <f t="shared" si="6"/>
        <v>0.94339622641509402</v>
      </c>
      <c r="AC36" s="442"/>
    </row>
    <row r="37" spans="1:29">
      <c r="A37" s="462" t="s">
        <v>44</v>
      </c>
      <c r="B37" s="31" t="s">
        <v>67</v>
      </c>
      <c r="C37" s="441" t="s">
        <v>76</v>
      </c>
      <c r="D37" s="441"/>
      <c r="E37" s="31">
        <v>20.52</v>
      </c>
      <c r="F37" s="207">
        <v>3753</v>
      </c>
      <c r="G37" s="197">
        <f t="shared" si="11"/>
        <v>77011.56</v>
      </c>
      <c r="H37" s="206" t="s">
        <v>103</v>
      </c>
      <c r="I37" s="205">
        <v>18</v>
      </c>
      <c r="J37" s="26">
        <v>2400</v>
      </c>
      <c r="K37" s="10">
        <f t="shared" si="0"/>
        <v>133.33333333333334</v>
      </c>
      <c r="L37" s="205">
        <v>18</v>
      </c>
      <c r="M37" s="11">
        <f t="shared" si="12"/>
        <v>2274.5454545454554</v>
      </c>
      <c r="N37" s="10">
        <f t="shared" si="1"/>
        <v>126.36363636363642</v>
      </c>
      <c r="O37" s="12">
        <f t="shared" si="2"/>
        <v>0</v>
      </c>
      <c r="P37" s="13">
        <f t="shared" si="3"/>
        <v>-6.9696969696969262</v>
      </c>
      <c r="Q37" s="196">
        <f t="shared" si="4"/>
        <v>0.94772727272727308</v>
      </c>
      <c r="R37" s="442"/>
      <c r="S37" s="28">
        <v>0.3576388888888889</v>
      </c>
      <c r="T37" s="28">
        <v>0.42638888888888887</v>
      </c>
      <c r="U37" s="197">
        <f t="shared" si="14"/>
        <v>5.9999999999999787</v>
      </c>
      <c r="V37" s="204">
        <f t="shared" si="13"/>
        <v>98.999999999999972</v>
      </c>
      <c r="W37" s="16"/>
      <c r="X37" s="16"/>
      <c r="Y37" s="443"/>
      <c r="Z37" s="443"/>
      <c r="AA37" s="12">
        <f t="shared" si="5"/>
        <v>-125.45454545454459</v>
      </c>
      <c r="AB37" s="196">
        <f t="shared" si="6"/>
        <v>0.94772727272727308</v>
      </c>
      <c r="AC37" s="442"/>
    </row>
    <row r="38" spans="1:29">
      <c r="A38" s="462" t="s">
        <v>719</v>
      </c>
      <c r="B38" s="31" t="s">
        <v>67</v>
      </c>
      <c r="C38" s="441" t="s">
        <v>77</v>
      </c>
      <c r="D38" s="441"/>
      <c r="E38" s="31">
        <v>26.2</v>
      </c>
      <c r="F38" s="207">
        <v>2900</v>
      </c>
      <c r="G38" s="197">
        <f t="shared" si="11"/>
        <v>75980</v>
      </c>
      <c r="H38" s="206">
        <v>2</v>
      </c>
      <c r="I38" s="205">
        <v>19</v>
      </c>
      <c r="J38" s="26">
        <v>2400</v>
      </c>
      <c r="K38" s="10">
        <f t="shared" si="0"/>
        <v>126.31578947368421</v>
      </c>
      <c r="L38" s="205">
        <v>19</v>
      </c>
      <c r="M38" s="11">
        <f t="shared" si="12"/>
        <v>2289.4736842105272</v>
      </c>
      <c r="N38" s="10">
        <f t="shared" si="1"/>
        <v>120.4986149584488</v>
      </c>
      <c r="O38" s="12">
        <f t="shared" si="2"/>
        <v>0</v>
      </c>
      <c r="P38" s="13">
        <f t="shared" si="3"/>
        <v>-5.8171745152354077</v>
      </c>
      <c r="Q38" s="196">
        <f t="shared" si="4"/>
        <v>0.95394736842105299</v>
      </c>
      <c r="R38" s="442"/>
      <c r="S38" s="28">
        <v>0.43055555555555552</v>
      </c>
      <c r="T38" s="28">
        <v>0.48333333333333328</v>
      </c>
      <c r="U38" s="197">
        <f t="shared" si="14"/>
        <v>5.9999999999999787</v>
      </c>
      <c r="V38" s="204">
        <f t="shared" si="13"/>
        <v>75.999999999999972</v>
      </c>
      <c r="W38" s="16"/>
      <c r="X38" s="16"/>
      <c r="Y38" s="443"/>
      <c r="Z38" s="443"/>
      <c r="AA38" s="12">
        <f t="shared" si="5"/>
        <v>-110.52631578947285</v>
      </c>
      <c r="AB38" s="196">
        <f t="shared" si="6"/>
        <v>0.95394736842105299</v>
      </c>
      <c r="AC38" s="442"/>
    </row>
    <row r="39" spans="1:29">
      <c r="A39" s="462" t="s">
        <v>44</v>
      </c>
      <c r="B39" s="31" t="s">
        <v>67</v>
      </c>
      <c r="C39" s="441" t="s">
        <v>78</v>
      </c>
      <c r="D39" s="441"/>
      <c r="E39" s="31">
        <v>25.98</v>
      </c>
      <c r="F39" s="207">
        <v>2000</v>
      </c>
      <c r="G39" s="197">
        <f t="shared" si="11"/>
        <v>51960</v>
      </c>
      <c r="H39" s="206">
        <v>2</v>
      </c>
      <c r="I39" s="205">
        <v>17</v>
      </c>
      <c r="J39" s="26">
        <v>2400</v>
      </c>
      <c r="K39" s="10">
        <f t="shared" si="0"/>
        <v>141.1764705882353</v>
      </c>
      <c r="L39" s="205">
        <v>17</v>
      </c>
      <c r="M39" s="11">
        <f t="shared" si="12"/>
        <v>2264.1509433962278</v>
      </c>
      <c r="N39" s="10">
        <f t="shared" si="1"/>
        <v>133.18534961154282</v>
      </c>
      <c r="O39" s="12">
        <f t="shared" si="2"/>
        <v>0</v>
      </c>
      <c r="P39" s="13">
        <f t="shared" si="3"/>
        <v>-7.9911209766924856</v>
      </c>
      <c r="Q39" s="196">
        <f t="shared" si="4"/>
        <v>0.94339622641509491</v>
      </c>
      <c r="R39" s="442"/>
      <c r="S39" s="28">
        <v>0.48680555555555549</v>
      </c>
      <c r="T39" s="28">
        <v>0.52361111111111103</v>
      </c>
      <c r="U39" s="197">
        <f t="shared" si="14"/>
        <v>4.9999999999999822</v>
      </c>
      <c r="V39" s="204">
        <f t="shared" si="13"/>
        <v>52.999999999999972</v>
      </c>
      <c r="W39" s="16">
        <f>T39</f>
        <v>0.52361111111111103</v>
      </c>
      <c r="X39" s="16">
        <f>S40</f>
        <v>0.56388888888888877</v>
      </c>
      <c r="Y39" s="443"/>
      <c r="Z39" s="443"/>
      <c r="AA39" s="12">
        <f t="shared" si="5"/>
        <v>-135.84905660377217</v>
      </c>
      <c r="AB39" s="196">
        <f t="shared" si="6"/>
        <v>0.94339622641509491</v>
      </c>
      <c r="AC39" s="442"/>
    </row>
    <row r="40" spans="1:29">
      <c r="A40" s="462" t="s">
        <v>718</v>
      </c>
      <c r="B40" s="31" t="s">
        <v>67</v>
      </c>
      <c r="C40" s="441" t="s">
        <v>73</v>
      </c>
      <c r="D40" s="441"/>
      <c r="E40" s="31">
        <v>26.2</v>
      </c>
      <c r="F40" s="207">
        <v>3310</v>
      </c>
      <c r="G40" s="197">
        <f t="shared" si="11"/>
        <v>86722</v>
      </c>
      <c r="H40" s="206" t="s">
        <v>103</v>
      </c>
      <c r="I40" s="205">
        <v>18</v>
      </c>
      <c r="J40" s="26">
        <v>2400</v>
      </c>
      <c r="K40" s="10">
        <f t="shared" si="0"/>
        <v>133.33333333333334</v>
      </c>
      <c r="L40" s="205">
        <v>18</v>
      </c>
      <c r="M40" s="11">
        <f t="shared" si="12"/>
        <v>2256.818181818182</v>
      </c>
      <c r="N40" s="10">
        <f t="shared" si="1"/>
        <v>125.37878787878789</v>
      </c>
      <c r="O40" s="12">
        <f t="shared" si="2"/>
        <v>0</v>
      </c>
      <c r="P40" s="13">
        <f t="shared" si="3"/>
        <v>-7.9545454545454533</v>
      </c>
      <c r="Q40" s="196">
        <f t="shared" si="4"/>
        <v>0.94034090909090906</v>
      </c>
      <c r="R40" s="442"/>
      <c r="S40" s="28">
        <v>0.56388888888888877</v>
      </c>
      <c r="T40" s="28">
        <v>0.62499999999999989</v>
      </c>
      <c r="U40" s="197">
        <f t="shared" si="14"/>
        <v>57.999999999999957</v>
      </c>
      <c r="V40" s="204">
        <f t="shared" si="13"/>
        <v>88</v>
      </c>
      <c r="W40" s="16"/>
      <c r="X40" s="16"/>
      <c r="Y40" s="447"/>
      <c r="Z40" s="448"/>
      <c r="AA40" s="12">
        <f t="shared" si="5"/>
        <v>-143.18181818181802</v>
      </c>
      <c r="AB40" s="196">
        <f t="shared" si="6"/>
        <v>0.94034090909090917</v>
      </c>
      <c r="AC40" s="442"/>
    </row>
    <row r="41" spans="1:29">
      <c r="A41" s="462" t="s">
        <v>44</v>
      </c>
      <c r="B41" s="31" t="s">
        <v>67</v>
      </c>
      <c r="C41" s="441" t="s">
        <v>75</v>
      </c>
      <c r="D41" s="441"/>
      <c r="E41" s="31">
        <v>26.39</v>
      </c>
      <c r="F41" s="207">
        <v>2745</v>
      </c>
      <c r="G41" s="197">
        <f t="shared" si="11"/>
        <v>72440.55</v>
      </c>
      <c r="H41" s="206" t="s">
        <v>103</v>
      </c>
      <c r="I41" s="205">
        <v>19</v>
      </c>
      <c r="J41" s="26">
        <v>2400</v>
      </c>
      <c r="K41" s="10">
        <f t="shared" si="0"/>
        <v>126.31578947368421</v>
      </c>
      <c r="L41" s="205">
        <v>19</v>
      </c>
      <c r="M41" s="11">
        <f t="shared" si="12"/>
        <v>2287.4999999999982</v>
      </c>
      <c r="N41" s="10">
        <f t="shared" si="1"/>
        <v>120.39473684210516</v>
      </c>
      <c r="O41" s="12">
        <f t="shared" si="2"/>
        <v>0</v>
      </c>
      <c r="P41" s="13">
        <f t="shared" si="3"/>
        <v>-5.9210526315790446</v>
      </c>
      <c r="Q41" s="196">
        <f t="shared" si="4"/>
        <v>0.95312499999999922</v>
      </c>
      <c r="R41" s="442"/>
      <c r="S41" s="28">
        <v>0.6284722222222221</v>
      </c>
      <c r="T41" s="28">
        <v>0.67847222222222214</v>
      </c>
      <c r="U41" s="197">
        <f t="shared" si="14"/>
        <v>4.9999999999999822</v>
      </c>
      <c r="V41" s="204">
        <f t="shared" si="13"/>
        <v>72.000000000000057</v>
      </c>
      <c r="W41" s="16"/>
      <c r="X41" s="16"/>
      <c r="Y41" s="447"/>
      <c r="Z41" s="448"/>
      <c r="AA41" s="12">
        <f t="shared" si="5"/>
        <v>-112.50000000000182</v>
      </c>
      <c r="AB41" s="196">
        <f t="shared" si="6"/>
        <v>0.95312499999999922</v>
      </c>
      <c r="AC41" s="442"/>
    </row>
    <row r="42" spans="1:29">
      <c r="A42" s="462" t="s">
        <v>44</v>
      </c>
      <c r="B42" s="31" t="s">
        <v>67</v>
      </c>
      <c r="C42" s="441" t="s">
        <v>78</v>
      </c>
      <c r="D42" s="441"/>
      <c r="E42" s="31">
        <v>25.98</v>
      </c>
      <c r="F42" s="207">
        <v>1411</v>
      </c>
      <c r="G42" s="197">
        <f t="shared" si="11"/>
        <v>36657.78</v>
      </c>
      <c r="H42" s="206" t="s">
        <v>103</v>
      </c>
      <c r="I42" s="205">
        <v>17</v>
      </c>
      <c r="J42" s="26">
        <v>2400</v>
      </c>
      <c r="K42" s="10">
        <f t="shared" si="0"/>
        <v>141.1764705882353</v>
      </c>
      <c r="L42" s="205">
        <v>17</v>
      </c>
      <c r="M42" s="11">
        <f t="shared" si="12"/>
        <v>2288.1081081081065</v>
      </c>
      <c r="N42" s="10">
        <f t="shared" si="1"/>
        <v>134.5945945945945</v>
      </c>
      <c r="O42" s="12">
        <f t="shared" si="2"/>
        <v>0</v>
      </c>
      <c r="P42" s="13">
        <f t="shared" si="3"/>
        <v>-6.5818759936408071</v>
      </c>
      <c r="Q42" s="196">
        <f t="shared" si="4"/>
        <v>0.95337837837837758</v>
      </c>
      <c r="R42" s="442"/>
      <c r="S42" s="28">
        <v>0.68333333333333324</v>
      </c>
      <c r="T42" s="28">
        <v>0.7090277777777777</v>
      </c>
      <c r="U42" s="197">
        <f t="shared" si="14"/>
        <v>6.9999999999999751</v>
      </c>
      <c r="V42" s="204">
        <f t="shared" si="13"/>
        <v>37.000000000000028</v>
      </c>
      <c r="W42" s="16"/>
      <c r="X42" s="16"/>
      <c r="Y42" s="447"/>
      <c r="Z42" s="448"/>
      <c r="AA42" s="12">
        <f t="shared" si="5"/>
        <v>-111.89189189189347</v>
      </c>
      <c r="AB42" s="196">
        <f t="shared" si="6"/>
        <v>0.95337837837837769</v>
      </c>
      <c r="AC42" s="442"/>
    </row>
    <row r="43" spans="1:29">
      <c r="A43" s="462" t="s">
        <v>717</v>
      </c>
      <c r="B43" s="31" t="s">
        <v>67</v>
      </c>
      <c r="C43" s="441" t="s">
        <v>77</v>
      </c>
      <c r="D43" s="441"/>
      <c r="E43" s="31">
        <v>26.2</v>
      </c>
      <c r="F43" s="207">
        <v>1989</v>
      </c>
      <c r="G43" s="197">
        <f t="shared" si="11"/>
        <v>52111.799999999996</v>
      </c>
      <c r="H43" s="206" t="s">
        <v>103</v>
      </c>
      <c r="I43" s="205">
        <v>19</v>
      </c>
      <c r="J43" s="26">
        <v>2400</v>
      </c>
      <c r="K43" s="10">
        <f t="shared" si="0"/>
        <v>126.31578947368421</v>
      </c>
      <c r="L43" s="205">
        <v>19</v>
      </c>
      <c r="M43" s="11">
        <f t="shared" si="12"/>
        <v>2295.0000000000014</v>
      </c>
      <c r="N43" s="10">
        <f t="shared" si="1"/>
        <v>120.78947368421059</v>
      </c>
      <c r="O43" s="12">
        <f t="shared" si="2"/>
        <v>0</v>
      </c>
      <c r="P43" s="13">
        <f t="shared" si="3"/>
        <v>-5.5263157894736139</v>
      </c>
      <c r="Q43" s="196">
        <f t="shared" si="4"/>
        <v>0.9562500000000006</v>
      </c>
      <c r="R43" s="442"/>
      <c r="S43" s="28">
        <v>0.71319444444444435</v>
      </c>
      <c r="T43" s="28">
        <v>0.74930555555555545</v>
      </c>
      <c r="U43" s="197">
        <f t="shared" si="14"/>
        <v>5.9999999999999787</v>
      </c>
      <c r="V43" s="204">
        <f t="shared" si="13"/>
        <v>51.999999999999972</v>
      </c>
      <c r="W43" s="16"/>
      <c r="X43" s="16"/>
      <c r="Y43" s="447"/>
      <c r="Z43" s="448"/>
      <c r="AA43" s="12">
        <f t="shared" si="5"/>
        <v>-104.99999999999864</v>
      </c>
      <c r="AB43" s="196">
        <f t="shared" si="6"/>
        <v>0.9562500000000006</v>
      </c>
      <c r="AC43" s="442"/>
    </row>
    <row r="44" spans="1:29">
      <c r="A44" s="462" t="s">
        <v>716</v>
      </c>
      <c r="B44" s="33" t="s">
        <v>39</v>
      </c>
      <c r="C44" s="446"/>
      <c r="D44" s="446"/>
      <c r="E44" s="200"/>
      <c r="F44" s="33"/>
      <c r="G44" s="10"/>
      <c r="H44" s="207"/>
      <c r="I44" s="19">
        <v>18.399999999999999</v>
      </c>
      <c r="J44" s="26">
        <v>2400</v>
      </c>
      <c r="K44" s="10">
        <f t="shared" si="0"/>
        <v>130.43478260869566</v>
      </c>
      <c r="L44" s="19">
        <v>18.399999999999999</v>
      </c>
      <c r="M44" s="11">
        <f>AVERAGE(M34:M43)</f>
        <v>2275.5927605772658</v>
      </c>
      <c r="N44" s="10">
        <f t="shared" si="1"/>
        <v>123.67351959659054</v>
      </c>
      <c r="O44" s="12">
        <f t="shared" si="2"/>
        <v>0</v>
      </c>
      <c r="P44" s="13">
        <f t="shared" si="3"/>
        <v>-6.7612630121051183</v>
      </c>
      <c r="Q44" s="196">
        <f t="shared" si="4"/>
        <v>0.9481636502405274</v>
      </c>
      <c r="R44" s="442"/>
      <c r="S44" s="28"/>
      <c r="T44" s="28"/>
      <c r="U44" s="10"/>
      <c r="V44" s="204"/>
      <c r="W44" s="10"/>
      <c r="X44" s="10"/>
      <c r="Y44" s="443"/>
      <c r="Z44" s="443"/>
      <c r="AA44" s="12">
        <f t="shared" si="5"/>
        <v>-124.40723942273416</v>
      </c>
      <c r="AB44" s="196">
        <f t="shared" si="6"/>
        <v>0.9481636502405274</v>
      </c>
      <c r="AC44" s="442"/>
    </row>
    <row r="45" spans="1:29" ht="15.75" customHeight="1">
      <c r="A45" s="453" t="s">
        <v>47</v>
      </c>
      <c r="B45" s="31" t="s">
        <v>79</v>
      </c>
      <c r="C45" s="444" t="s">
        <v>80</v>
      </c>
      <c r="D45" s="445"/>
      <c r="E45" s="31">
        <v>21.13</v>
      </c>
      <c r="F45" s="207">
        <v>3000</v>
      </c>
      <c r="G45" s="197">
        <v>63390</v>
      </c>
      <c r="H45" s="206">
        <v>2</v>
      </c>
      <c r="I45" s="205">
        <v>10</v>
      </c>
      <c r="J45" s="26">
        <v>3000</v>
      </c>
      <c r="K45" s="10">
        <v>300</v>
      </c>
      <c r="L45" s="205">
        <v>10</v>
      </c>
      <c r="M45" s="11">
        <v>2857.1428571428582</v>
      </c>
      <c r="N45" s="11">
        <v>285.71428571428584</v>
      </c>
      <c r="O45" s="12">
        <v>0</v>
      </c>
      <c r="P45" s="13">
        <v>-14.285714285714164</v>
      </c>
      <c r="Q45" s="196">
        <v>0.95238095238095277</v>
      </c>
      <c r="R45" s="456">
        <f>Q55</f>
        <v>0.95380102457978011</v>
      </c>
      <c r="S45" s="28">
        <v>0.20833333333333334</v>
      </c>
      <c r="T45" s="28">
        <v>0.25208333333333333</v>
      </c>
      <c r="U45" s="18"/>
      <c r="V45" s="204">
        <v>62.999999999999979</v>
      </c>
      <c r="W45" s="16"/>
      <c r="X45" s="16"/>
      <c r="Y45" s="447"/>
      <c r="Z45" s="448"/>
      <c r="AA45" s="12">
        <v>-142.85714285714175</v>
      </c>
      <c r="AB45" s="196">
        <v>0.95238095238095277</v>
      </c>
      <c r="AC45" s="456">
        <v>0.95179664544324705</v>
      </c>
    </row>
    <row r="46" spans="1:29" ht="15.75" customHeight="1">
      <c r="A46" s="454" t="s">
        <v>849</v>
      </c>
      <c r="B46" s="31" t="s">
        <v>79</v>
      </c>
      <c r="C46" s="444" t="s">
        <v>81</v>
      </c>
      <c r="D46" s="445"/>
      <c r="E46" s="31">
        <v>27.17</v>
      </c>
      <c r="F46" s="207">
        <v>3800</v>
      </c>
      <c r="G46" s="197">
        <v>103246</v>
      </c>
      <c r="H46" s="206">
        <v>2</v>
      </c>
      <c r="I46" s="205">
        <v>10</v>
      </c>
      <c r="J46" s="26">
        <v>3000</v>
      </c>
      <c r="K46" s="10">
        <v>300</v>
      </c>
      <c r="L46" s="205">
        <v>10</v>
      </c>
      <c r="M46" s="11">
        <v>2849.9999999999991</v>
      </c>
      <c r="N46" s="11">
        <v>284.99999999999989</v>
      </c>
      <c r="O46" s="12">
        <v>0</v>
      </c>
      <c r="P46" s="13">
        <v>-15.000000000000114</v>
      </c>
      <c r="Q46" s="196">
        <v>0.94999999999999962</v>
      </c>
      <c r="R46" s="457"/>
      <c r="S46" s="28">
        <v>0.25694444444444442</v>
      </c>
      <c r="T46" s="28">
        <v>0.3125</v>
      </c>
      <c r="U46" s="197">
        <v>6.9999999999999751</v>
      </c>
      <c r="V46" s="204">
        <v>80.000000000000028</v>
      </c>
      <c r="W46" s="16"/>
      <c r="X46" s="16"/>
      <c r="Y46" s="447"/>
      <c r="Z46" s="448"/>
      <c r="AA46" s="12">
        <v>-150.00000000000091</v>
      </c>
      <c r="AB46" s="196">
        <v>0.94999999999999973</v>
      </c>
      <c r="AC46" s="457"/>
    </row>
    <row r="47" spans="1:29" ht="15.75" customHeight="1">
      <c r="A47" s="454" t="s">
        <v>850</v>
      </c>
      <c r="B47" s="31" t="s">
        <v>79</v>
      </c>
      <c r="C47" s="444" t="s">
        <v>82</v>
      </c>
      <c r="D47" s="445"/>
      <c r="E47" s="31">
        <v>35.119999999999997</v>
      </c>
      <c r="F47" s="207">
        <v>2800</v>
      </c>
      <c r="G47" s="197">
        <v>98336</v>
      </c>
      <c r="H47" s="206">
        <v>2</v>
      </c>
      <c r="I47" s="205">
        <v>10</v>
      </c>
      <c r="J47" s="26">
        <v>3000</v>
      </c>
      <c r="K47" s="10">
        <v>300</v>
      </c>
      <c r="L47" s="205">
        <v>10</v>
      </c>
      <c r="M47" s="11">
        <v>2847.4576271186429</v>
      </c>
      <c r="N47" s="11">
        <v>284.7457627118643</v>
      </c>
      <c r="O47" s="12">
        <v>0</v>
      </c>
      <c r="P47" s="13">
        <v>-15.254237288135698</v>
      </c>
      <c r="Q47" s="196">
        <v>0.94915254237288105</v>
      </c>
      <c r="R47" s="457"/>
      <c r="S47" s="28">
        <v>0.31597222222222221</v>
      </c>
      <c r="T47" s="28">
        <v>0.35694444444444445</v>
      </c>
      <c r="U47" s="197">
        <v>4.9999999999999822</v>
      </c>
      <c r="V47" s="204">
        <v>59.000000000000028</v>
      </c>
      <c r="W47" s="16"/>
      <c r="X47" s="16"/>
      <c r="Y47" s="447"/>
      <c r="Z47" s="448"/>
      <c r="AA47" s="12">
        <v>-152.5423728813571</v>
      </c>
      <c r="AB47" s="196">
        <v>0.94915254237288094</v>
      </c>
      <c r="AC47" s="457"/>
    </row>
    <row r="48" spans="1:29" ht="15.75" customHeight="1">
      <c r="A48" s="454" t="s">
        <v>851</v>
      </c>
      <c r="B48" s="31" t="s">
        <v>79</v>
      </c>
      <c r="C48" s="444" t="s">
        <v>83</v>
      </c>
      <c r="D48" s="445"/>
      <c r="E48" s="31">
        <v>40.18</v>
      </c>
      <c r="F48" s="207">
        <v>1801</v>
      </c>
      <c r="G48" s="197">
        <v>72364.179999999993</v>
      </c>
      <c r="H48" s="206" t="s">
        <v>103</v>
      </c>
      <c r="I48" s="205">
        <v>10</v>
      </c>
      <c r="J48" s="26">
        <v>3000</v>
      </c>
      <c r="K48" s="10">
        <v>300</v>
      </c>
      <c r="L48" s="205">
        <v>10</v>
      </c>
      <c r="M48" s="11">
        <v>2843.6842105263136</v>
      </c>
      <c r="N48" s="11">
        <v>284.36842105263133</v>
      </c>
      <c r="O48" s="12">
        <v>0</v>
      </c>
      <c r="P48" s="13">
        <v>-15.631578947368666</v>
      </c>
      <c r="Q48" s="196">
        <v>0.94789473684210446</v>
      </c>
      <c r="R48" s="457"/>
      <c r="S48" s="28">
        <v>0.36180555555555555</v>
      </c>
      <c r="T48" s="28">
        <v>0.38819444444444445</v>
      </c>
      <c r="U48" s="197">
        <v>6.9999999999999751</v>
      </c>
      <c r="V48" s="204">
        <v>38.000000000000028</v>
      </c>
      <c r="W48" s="16"/>
      <c r="X48" s="16"/>
      <c r="Y48" s="447"/>
      <c r="Z48" s="448"/>
      <c r="AA48" s="12">
        <v>-156.31578947368644</v>
      </c>
      <c r="AB48" s="196">
        <v>0.94789473684210457</v>
      </c>
      <c r="AC48" s="457"/>
    </row>
    <row r="49" spans="1:29" ht="15.75" customHeight="1">
      <c r="A49" s="454" t="s">
        <v>47</v>
      </c>
      <c r="B49" s="31" t="s">
        <v>79</v>
      </c>
      <c r="C49" s="444" t="s">
        <v>84</v>
      </c>
      <c r="D49" s="445"/>
      <c r="E49" s="31">
        <v>28.5</v>
      </c>
      <c r="F49" s="207">
        <v>1023</v>
      </c>
      <c r="G49" s="197">
        <v>29155.5</v>
      </c>
      <c r="H49" s="206" t="s">
        <v>103</v>
      </c>
      <c r="I49" s="205">
        <v>10</v>
      </c>
      <c r="J49" s="26">
        <v>3000</v>
      </c>
      <c r="K49" s="10">
        <v>300</v>
      </c>
      <c r="L49" s="205">
        <v>10</v>
      </c>
      <c r="M49" s="11">
        <v>2922.8571428571422</v>
      </c>
      <c r="N49" s="11">
        <v>292.28571428571422</v>
      </c>
      <c r="O49" s="12">
        <v>0</v>
      </c>
      <c r="P49" s="13">
        <v>-7.7142857142857792</v>
      </c>
      <c r="Q49" s="196">
        <v>0.97428571428571409</v>
      </c>
      <c r="R49" s="457"/>
      <c r="S49" s="28">
        <v>0.39305555555555555</v>
      </c>
      <c r="T49" s="28">
        <v>0.40763888888888888</v>
      </c>
      <c r="U49" s="197">
        <v>6.9999999999999751</v>
      </c>
      <c r="V49" s="204">
        <v>21.000000000000007</v>
      </c>
      <c r="W49" s="16"/>
      <c r="X49" s="16"/>
      <c r="Y49" s="447"/>
      <c r="Z49" s="448"/>
      <c r="AA49" s="12">
        <v>-77.142857142857792</v>
      </c>
      <c r="AB49" s="196">
        <v>0.97428571428571409</v>
      </c>
      <c r="AC49" s="457"/>
    </row>
    <row r="50" spans="1:29" ht="15.75" customHeight="1">
      <c r="A50" s="454" t="s">
        <v>851</v>
      </c>
      <c r="B50" s="31" t="s">
        <v>79</v>
      </c>
      <c r="C50" s="444" t="s">
        <v>85</v>
      </c>
      <c r="D50" s="445"/>
      <c r="E50" s="31">
        <v>35.869999999999997</v>
      </c>
      <c r="F50" s="207">
        <v>3169</v>
      </c>
      <c r="G50" s="197">
        <v>113672.03</v>
      </c>
      <c r="H50" s="206" t="s">
        <v>103</v>
      </c>
      <c r="I50" s="205">
        <v>10</v>
      </c>
      <c r="J50" s="26">
        <v>3000</v>
      </c>
      <c r="K50" s="10">
        <v>300</v>
      </c>
      <c r="L50" s="205">
        <v>10</v>
      </c>
      <c r="M50" s="11">
        <v>2837.9104477611941</v>
      </c>
      <c r="N50" s="11">
        <v>283.79104477611941</v>
      </c>
      <c r="O50" s="12">
        <v>0</v>
      </c>
      <c r="P50" s="13">
        <v>-16.208955223880594</v>
      </c>
      <c r="Q50" s="196">
        <v>0.94597014925373135</v>
      </c>
      <c r="R50" s="457"/>
      <c r="S50" s="28">
        <v>0.41319444444444442</v>
      </c>
      <c r="T50" s="28">
        <v>0.4597222222222222</v>
      </c>
      <c r="U50" s="197">
        <v>7.9999999999999716</v>
      </c>
      <c r="V50" s="204">
        <v>67</v>
      </c>
      <c r="W50" s="16"/>
      <c r="X50" s="16"/>
      <c r="Y50" s="447"/>
      <c r="Z50" s="448"/>
      <c r="AA50" s="12">
        <v>-162.08955223880594</v>
      </c>
      <c r="AB50" s="196">
        <v>0.94597014925373135</v>
      </c>
      <c r="AC50" s="457"/>
    </row>
    <row r="51" spans="1:29" ht="15.75" customHeight="1">
      <c r="A51" s="454" t="s">
        <v>47</v>
      </c>
      <c r="B51" s="31" t="s">
        <v>79</v>
      </c>
      <c r="C51" s="444" t="s">
        <v>86</v>
      </c>
      <c r="D51" s="445"/>
      <c r="E51" s="31">
        <v>36.14</v>
      </c>
      <c r="F51" s="207">
        <v>2488</v>
      </c>
      <c r="G51" s="197">
        <v>89916.32</v>
      </c>
      <c r="H51" s="206" t="s">
        <v>103</v>
      </c>
      <c r="I51" s="205">
        <v>8</v>
      </c>
      <c r="J51" s="26">
        <v>3000</v>
      </c>
      <c r="K51" s="10">
        <v>375</v>
      </c>
      <c r="L51" s="205">
        <v>8</v>
      </c>
      <c r="M51" s="11">
        <v>2870.7692307692323</v>
      </c>
      <c r="N51" s="11">
        <v>358.84615384615404</v>
      </c>
      <c r="O51" s="12">
        <v>0</v>
      </c>
      <c r="P51" s="13">
        <v>-16.153846153845961</v>
      </c>
      <c r="Q51" s="196">
        <v>0.95692307692307743</v>
      </c>
      <c r="R51" s="457"/>
      <c r="S51" s="28">
        <v>0.46388888888888885</v>
      </c>
      <c r="T51" s="28">
        <v>0.49999999999999994</v>
      </c>
      <c r="U51" s="197">
        <v>5.9999999999999787</v>
      </c>
      <c r="V51" s="204">
        <v>51.999999999999972</v>
      </c>
      <c r="W51" s="16">
        <f>T51</f>
        <v>0.49999999999999994</v>
      </c>
      <c r="X51" s="16">
        <f>S52</f>
        <v>0.54027777777777775</v>
      </c>
      <c r="Y51" s="447"/>
      <c r="Z51" s="448"/>
      <c r="AA51" s="12">
        <v>-129.23076923076769</v>
      </c>
      <c r="AB51" s="196">
        <v>0.95692307692307743</v>
      </c>
      <c r="AC51" s="457"/>
    </row>
    <row r="52" spans="1:29" ht="15.75" customHeight="1">
      <c r="A52" s="454" t="s">
        <v>715</v>
      </c>
      <c r="B52" s="31" t="s">
        <v>79</v>
      </c>
      <c r="C52" s="444" t="s">
        <v>82</v>
      </c>
      <c r="D52" s="445"/>
      <c r="E52" s="31">
        <v>35.119999999999997</v>
      </c>
      <c r="F52" s="207">
        <v>1940</v>
      </c>
      <c r="G52" s="197">
        <v>68132.799999999988</v>
      </c>
      <c r="H52" s="206" t="s">
        <v>103</v>
      </c>
      <c r="I52" s="205">
        <v>10</v>
      </c>
      <c r="J52" s="26">
        <v>3000</v>
      </c>
      <c r="K52" s="10">
        <v>300</v>
      </c>
      <c r="L52" s="205">
        <v>10</v>
      </c>
      <c r="M52" s="11">
        <v>2839.0243902439015</v>
      </c>
      <c r="N52" s="11">
        <v>283.90243902439016</v>
      </c>
      <c r="O52" s="12">
        <v>0</v>
      </c>
      <c r="P52" s="13">
        <v>-16.097560975609838</v>
      </c>
      <c r="Q52" s="196">
        <v>0.94634146341463388</v>
      </c>
      <c r="R52" s="457"/>
      <c r="S52" s="28">
        <v>0.54027777777777775</v>
      </c>
      <c r="T52" s="28">
        <v>0.56874999999999998</v>
      </c>
      <c r="U52" s="197">
        <v>58.000000000000036</v>
      </c>
      <c r="V52" s="204">
        <v>41.000000000000014</v>
      </c>
      <c r="W52" s="16"/>
      <c r="X52" s="16"/>
      <c r="Y52" s="447"/>
      <c r="Z52" s="448"/>
      <c r="AA52" s="12">
        <v>-160.97560975609849</v>
      </c>
      <c r="AB52" s="196">
        <v>0.94634146341463388</v>
      </c>
      <c r="AC52" s="457"/>
    </row>
    <row r="53" spans="1:29" ht="15.75" customHeight="1">
      <c r="A53" s="454" t="s">
        <v>715</v>
      </c>
      <c r="B53" s="31" t="s">
        <v>79</v>
      </c>
      <c r="C53" s="444" t="s">
        <v>81</v>
      </c>
      <c r="D53" s="445"/>
      <c r="E53" s="31">
        <v>27.17</v>
      </c>
      <c r="F53" s="207">
        <v>2877</v>
      </c>
      <c r="G53" s="197">
        <v>78168.090000000011</v>
      </c>
      <c r="H53" s="206" t="s">
        <v>103</v>
      </c>
      <c r="I53" s="205">
        <v>10</v>
      </c>
      <c r="J53" s="26">
        <v>3000</v>
      </c>
      <c r="K53" s="10">
        <v>300</v>
      </c>
      <c r="L53" s="205">
        <v>10</v>
      </c>
      <c r="M53" s="11">
        <v>2829.8360655737733</v>
      </c>
      <c r="N53" s="11">
        <v>282.98360655737736</v>
      </c>
      <c r="O53" s="12">
        <v>0</v>
      </c>
      <c r="P53" s="13">
        <v>-17.016393442622643</v>
      </c>
      <c r="Q53" s="196">
        <v>0.94327868852459118</v>
      </c>
      <c r="R53" s="457"/>
      <c r="S53" s="28">
        <v>0.57430555555555551</v>
      </c>
      <c r="T53" s="28">
        <v>0.61666666666666659</v>
      </c>
      <c r="U53" s="197">
        <v>7.9999999999999716</v>
      </c>
      <c r="V53" s="204">
        <v>60.999999999999943</v>
      </c>
      <c r="W53" s="16"/>
      <c r="X53" s="16"/>
      <c r="Y53" s="447"/>
      <c r="Z53" s="448"/>
      <c r="AA53" s="12">
        <v>-170.16393442622666</v>
      </c>
      <c r="AB53" s="196">
        <v>0.94327868852459107</v>
      </c>
      <c r="AC53" s="457"/>
    </row>
    <row r="54" spans="1:29" ht="15.75" customHeight="1">
      <c r="A54" s="454" t="s">
        <v>715</v>
      </c>
      <c r="B54" s="31" t="s">
        <v>79</v>
      </c>
      <c r="C54" s="444" t="s">
        <v>80</v>
      </c>
      <c r="D54" s="445"/>
      <c r="E54" s="31">
        <v>21.13</v>
      </c>
      <c r="F54" s="207">
        <v>2189</v>
      </c>
      <c r="G54" s="197">
        <v>46253.57</v>
      </c>
      <c r="H54" s="206" t="s">
        <v>103</v>
      </c>
      <c r="I54" s="205">
        <v>10</v>
      </c>
      <c r="J54" s="26">
        <v>3000</v>
      </c>
      <c r="K54" s="10">
        <v>300</v>
      </c>
      <c r="L54" s="205">
        <v>10</v>
      </c>
      <c r="M54" s="11">
        <v>2855.217391304348</v>
      </c>
      <c r="N54" s="11">
        <v>285.52173913043481</v>
      </c>
      <c r="O54" s="12">
        <v>0</v>
      </c>
      <c r="P54" s="13">
        <v>-14.47826086956519</v>
      </c>
      <c r="Q54" s="196">
        <v>0.95173913043478275</v>
      </c>
      <c r="R54" s="457"/>
      <c r="S54" s="28">
        <v>0.62222222222222212</v>
      </c>
      <c r="T54" s="28">
        <v>0.65416666666666656</v>
      </c>
      <c r="U54" s="197">
        <v>7.9999999999999716</v>
      </c>
      <c r="V54" s="204">
        <v>46</v>
      </c>
      <c r="W54" s="16"/>
      <c r="X54" s="16"/>
      <c r="Y54" s="447"/>
      <c r="Z54" s="448"/>
      <c r="AA54" s="12">
        <v>-144.78260869565202</v>
      </c>
      <c r="AB54" s="196">
        <v>0.95173913043478264</v>
      </c>
      <c r="AC54" s="457"/>
    </row>
    <row r="55" spans="1:29" ht="15.75" customHeight="1">
      <c r="A55" s="455" t="s">
        <v>47</v>
      </c>
      <c r="B55" s="31" t="s">
        <v>714</v>
      </c>
      <c r="C55" s="459"/>
      <c r="D55" s="460"/>
      <c r="E55" s="203"/>
      <c r="F55" s="207"/>
      <c r="G55" s="197"/>
      <c r="H55" s="207"/>
      <c r="I55" s="19">
        <v>9.7142857142857135</v>
      </c>
      <c r="J55" s="26">
        <v>3000</v>
      </c>
      <c r="K55" s="10">
        <f t="shared" ref="K55:K77" si="15">J55/I55</f>
        <v>308.82352941176475</v>
      </c>
      <c r="L55" s="19">
        <v>9.7142857142857135</v>
      </c>
      <c r="M55" s="11">
        <f>AVERAGE(M45:M51)</f>
        <v>2861.4030737393405</v>
      </c>
      <c r="N55" s="10">
        <f t="shared" ref="N55:N77" si="16">M55/L55</f>
        <v>294.55619876728508</v>
      </c>
      <c r="O55" s="12">
        <f t="shared" ref="O55:O77" si="17">L55-I55</f>
        <v>0</v>
      </c>
      <c r="P55" s="13">
        <f t="shared" ref="P55:P77" si="18">N55-K55</f>
        <v>-14.267330644479671</v>
      </c>
      <c r="Q55" s="196">
        <f t="shared" ref="Q55:Q77" si="19">N55/K55</f>
        <v>0.95380102457978011</v>
      </c>
      <c r="R55" s="458"/>
      <c r="S55" s="28"/>
      <c r="T55" s="28"/>
      <c r="U55" s="197"/>
      <c r="V55" s="204"/>
      <c r="W55" s="16"/>
      <c r="X55" s="16"/>
      <c r="Y55" s="447"/>
      <c r="Z55" s="448"/>
      <c r="AA55" s="12">
        <v>-144.61006367025902</v>
      </c>
      <c r="AB55" s="196">
        <v>0.95179664544324705</v>
      </c>
      <c r="AC55" s="458"/>
    </row>
    <row r="56" spans="1:29" ht="15.75" customHeight="1">
      <c r="A56" s="451" t="s">
        <v>713</v>
      </c>
      <c r="B56" s="31" t="s">
        <v>53</v>
      </c>
      <c r="C56" s="441" t="s">
        <v>87</v>
      </c>
      <c r="D56" s="441"/>
      <c r="E56" s="31">
        <v>46</v>
      </c>
      <c r="F56" s="35">
        <v>3294</v>
      </c>
      <c r="G56" s="197">
        <f t="shared" ref="G56:G61" si="20">E56*F56</f>
        <v>151524</v>
      </c>
      <c r="H56" s="206" t="s">
        <v>103</v>
      </c>
      <c r="I56" s="205">
        <v>17</v>
      </c>
      <c r="J56" s="26">
        <v>2000</v>
      </c>
      <c r="K56" s="10">
        <f t="shared" si="15"/>
        <v>117.64705882352941</v>
      </c>
      <c r="L56" s="205">
        <v>17</v>
      </c>
      <c r="M56" s="11">
        <f t="shared" ref="M56:M61" si="21">F56/V56*60</f>
        <v>1900.3846153846148</v>
      </c>
      <c r="N56" s="11">
        <f t="shared" si="16"/>
        <v>111.78733031674204</v>
      </c>
      <c r="O56" s="12">
        <f t="shared" si="17"/>
        <v>0</v>
      </c>
      <c r="P56" s="13">
        <f t="shared" si="18"/>
        <v>-5.8597285067873628</v>
      </c>
      <c r="Q56" s="196">
        <f t="shared" si="19"/>
        <v>0.95019230769230745</v>
      </c>
      <c r="R56" s="442">
        <f>Q62</f>
        <v>0.95180903276460871</v>
      </c>
      <c r="S56" s="28">
        <v>0.25</v>
      </c>
      <c r="T56" s="28">
        <v>0.32222222222222224</v>
      </c>
      <c r="U56" s="18"/>
      <c r="V56" s="204">
        <f t="shared" ref="V56:V61" si="22">(T56-S56)*24*60</f>
        <v>104.00000000000003</v>
      </c>
      <c r="W56" s="18"/>
      <c r="X56" s="18"/>
      <c r="Y56" s="443"/>
      <c r="Z56" s="443"/>
      <c r="AA56" s="12">
        <f t="shared" ref="AA56:AA77" si="23">M56-J56</f>
        <v>-99.61538461538521</v>
      </c>
      <c r="AB56" s="196">
        <f t="shared" ref="AB56:AB77" si="24">M56/J56</f>
        <v>0.95019230769230745</v>
      </c>
      <c r="AC56" s="442">
        <f>AB62</f>
        <v>0.95180903276460871</v>
      </c>
    </row>
    <row r="57" spans="1:29" ht="15.75" customHeight="1">
      <c r="A57" s="451" t="s">
        <v>712</v>
      </c>
      <c r="B57" s="31" t="s">
        <v>53</v>
      </c>
      <c r="C57" s="441" t="s">
        <v>88</v>
      </c>
      <c r="D57" s="441"/>
      <c r="E57" s="31">
        <v>46</v>
      </c>
      <c r="F57" s="35">
        <v>3327</v>
      </c>
      <c r="G57" s="197">
        <f t="shared" si="20"/>
        <v>153042</v>
      </c>
      <c r="H57" s="206" t="s">
        <v>103</v>
      </c>
      <c r="I57" s="205">
        <v>17</v>
      </c>
      <c r="J57" s="26">
        <v>2000</v>
      </c>
      <c r="K57" s="10">
        <f t="shared" si="15"/>
        <v>117.64705882352941</v>
      </c>
      <c r="L57" s="205">
        <v>17</v>
      </c>
      <c r="M57" s="11">
        <f t="shared" si="21"/>
        <v>1883.2075471698108</v>
      </c>
      <c r="N57" s="11">
        <f t="shared" si="16"/>
        <v>110.77691453940064</v>
      </c>
      <c r="O57" s="12">
        <f t="shared" si="17"/>
        <v>0</v>
      </c>
      <c r="P57" s="13">
        <f t="shared" si="18"/>
        <v>-6.8701442841287701</v>
      </c>
      <c r="Q57" s="196">
        <f t="shared" si="19"/>
        <v>0.94160377358490543</v>
      </c>
      <c r="R57" s="442"/>
      <c r="S57" s="28">
        <v>0.3263888888888889</v>
      </c>
      <c r="T57" s="28">
        <v>0.4</v>
      </c>
      <c r="U57" s="197">
        <f>IF(S57=TIME(17,0,0),"",(S57-T56)*24*60)</f>
        <v>5.9999999999999787</v>
      </c>
      <c r="V57" s="204">
        <f t="shared" si="22"/>
        <v>106.00000000000003</v>
      </c>
      <c r="W57" s="16"/>
      <c r="X57" s="16"/>
      <c r="Y57" s="443"/>
      <c r="Z57" s="443"/>
      <c r="AA57" s="12">
        <f t="shared" si="23"/>
        <v>-116.79245283018918</v>
      </c>
      <c r="AB57" s="196">
        <f t="shared" si="24"/>
        <v>0.94160377358490543</v>
      </c>
      <c r="AC57" s="442"/>
    </row>
    <row r="58" spans="1:29" ht="15.75" customHeight="1">
      <c r="A58" s="451" t="s">
        <v>711</v>
      </c>
      <c r="B58" s="31" t="s">
        <v>58</v>
      </c>
      <c r="C58" s="444" t="s">
        <v>168</v>
      </c>
      <c r="D58" s="445"/>
      <c r="E58" s="31">
        <v>54.09</v>
      </c>
      <c r="F58" s="35">
        <v>717</v>
      </c>
      <c r="G58" s="197">
        <f t="shared" si="20"/>
        <v>38782.53</v>
      </c>
      <c r="H58" s="206" t="s">
        <v>103</v>
      </c>
      <c r="I58" s="205">
        <v>16</v>
      </c>
      <c r="J58" s="26">
        <v>2000</v>
      </c>
      <c r="K58" s="10">
        <f t="shared" si="15"/>
        <v>125</v>
      </c>
      <c r="L58" s="205">
        <v>16</v>
      </c>
      <c r="M58" s="11">
        <f t="shared" si="21"/>
        <v>1955.4545454545455</v>
      </c>
      <c r="N58" s="11">
        <f t="shared" si="16"/>
        <v>122.21590909090909</v>
      </c>
      <c r="O58" s="12">
        <f t="shared" si="17"/>
        <v>0</v>
      </c>
      <c r="P58" s="13">
        <f t="shared" si="18"/>
        <v>-2.7840909090909065</v>
      </c>
      <c r="Q58" s="196">
        <f t="shared" si="19"/>
        <v>0.97772727272727278</v>
      </c>
      <c r="R58" s="442"/>
      <c r="S58" s="28">
        <v>0.40555555555555556</v>
      </c>
      <c r="T58" s="28">
        <v>0.42083333333333334</v>
      </c>
      <c r="U58" s="197">
        <f>IF(S58=TIME(17,0,0),"",(S58-T57)*24*60)</f>
        <v>7.9999999999999716</v>
      </c>
      <c r="V58" s="204">
        <f t="shared" si="22"/>
        <v>22</v>
      </c>
      <c r="W58" s="16"/>
      <c r="X58" s="16"/>
      <c r="Y58" s="201"/>
      <c r="Z58" s="202"/>
      <c r="AA58" s="12">
        <f t="shared" si="23"/>
        <v>-44.545454545454504</v>
      </c>
      <c r="AB58" s="196">
        <f t="shared" si="24"/>
        <v>0.97772727272727278</v>
      </c>
      <c r="AC58" s="442"/>
    </row>
    <row r="59" spans="1:29" ht="15.75" customHeight="1">
      <c r="A59" s="451" t="s">
        <v>48</v>
      </c>
      <c r="B59" s="31" t="s">
        <v>58</v>
      </c>
      <c r="C59" s="198" t="s">
        <v>89</v>
      </c>
      <c r="D59" s="199"/>
      <c r="E59" s="31">
        <v>55.56</v>
      </c>
      <c r="F59" s="35">
        <v>2354</v>
      </c>
      <c r="G59" s="197">
        <f t="shared" si="20"/>
        <v>130788.24</v>
      </c>
      <c r="H59" s="206" t="s">
        <v>103</v>
      </c>
      <c r="I59" s="205">
        <v>17</v>
      </c>
      <c r="J59" s="26">
        <v>2000</v>
      </c>
      <c r="K59" s="10">
        <f t="shared" si="15"/>
        <v>117.64705882352941</v>
      </c>
      <c r="L59" s="205">
        <v>17</v>
      </c>
      <c r="M59" s="11">
        <f t="shared" si="21"/>
        <v>1883.1999999999985</v>
      </c>
      <c r="N59" s="11">
        <f t="shared" si="16"/>
        <v>110.7764705882352</v>
      </c>
      <c r="O59" s="12">
        <f t="shared" si="17"/>
        <v>0</v>
      </c>
      <c r="P59" s="13">
        <f t="shared" si="18"/>
        <v>-6.8705882352942069</v>
      </c>
      <c r="Q59" s="196">
        <f t="shared" si="19"/>
        <v>0.94159999999999922</v>
      </c>
      <c r="R59" s="442"/>
      <c r="S59" s="28">
        <v>0.70833333333333337</v>
      </c>
      <c r="T59" s="28">
        <v>0.76041666666666674</v>
      </c>
      <c r="U59" s="197" t="str">
        <f>IF(S59=TIME(17,0,0),"",(S59-T58)*24*60)</f>
        <v/>
      </c>
      <c r="V59" s="204">
        <f t="shared" si="22"/>
        <v>75.000000000000057</v>
      </c>
      <c r="W59" s="16"/>
      <c r="X59" s="16"/>
      <c r="Y59" s="201"/>
      <c r="Z59" s="202"/>
      <c r="AA59" s="12">
        <f t="shared" si="23"/>
        <v>-116.80000000000155</v>
      </c>
      <c r="AB59" s="196">
        <f t="shared" si="24"/>
        <v>0.94159999999999922</v>
      </c>
      <c r="AC59" s="442"/>
    </row>
    <row r="60" spans="1:29" ht="15.75" customHeight="1">
      <c r="A60" s="451" t="s">
        <v>710</v>
      </c>
      <c r="B60" s="31" t="s">
        <v>58</v>
      </c>
      <c r="C60" s="198" t="s">
        <v>90</v>
      </c>
      <c r="D60" s="199"/>
      <c r="E60" s="31">
        <v>55.32</v>
      </c>
      <c r="F60" s="35">
        <v>1834</v>
      </c>
      <c r="G60" s="197">
        <f t="shared" si="20"/>
        <v>101456.88</v>
      </c>
      <c r="H60" s="206" t="s">
        <v>103</v>
      </c>
      <c r="I60" s="205">
        <v>15</v>
      </c>
      <c r="J60" s="26">
        <v>2000</v>
      </c>
      <c r="K60" s="10">
        <f t="shared" si="15"/>
        <v>133.33333333333334</v>
      </c>
      <c r="L60" s="205">
        <v>15</v>
      </c>
      <c r="M60" s="11">
        <f t="shared" si="21"/>
        <v>1897.2413793103462</v>
      </c>
      <c r="N60" s="11">
        <f t="shared" si="16"/>
        <v>126.48275862068975</v>
      </c>
      <c r="O60" s="12">
        <f t="shared" si="17"/>
        <v>0</v>
      </c>
      <c r="P60" s="13">
        <f t="shared" si="18"/>
        <v>-6.8505747126435921</v>
      </c>
      <c r="Q60" s="196">
        <f t="shared" si="19"/>
        <v>0.9486206896551731</v>
      </c>
      <c r="R60" s="442"/>
      <c r="S60" s="28">
        <v>0.76458333333333339</v>
      </c>
      <c r="T60" s="28">
        <v>0.80486111111111114</v>
      </c>
      <c r="U60" s="197">
        <f>IF(S60=TIME(17,0,0),"",(S60-T59)*24*60)</f>
        <v>5.9999999999999787</v>
      </c>
      <c r="V60" s="204">
        <f t="shared" si="22"/>
        <v>57.999999999999957</v>
      </c>
      <c r="W60" s="16"/>
      <c r="X60" s="16"/>
      <c r="Y60" s="201"/>
      <c r="Z60" s="202"/>
      <c r="AA60" s="12">
        <f t="shared" si="23"/>
        <v>-102.75862068965375</v>
      </c>
      <c r="AB60" s="196">
        <f t="shared" si="24"/>
        <v>0.9486206896551731</v>
      </c>
      <c r="AC60" s="442"/>
    </row>
    <row r="61" spans="1:29" ht="15.75" customHeight="1">
      <c r="A61" s="451" t="s">
        <v>710</v>
      </c>
      <c r="B61" s="31" t="s">
        <v>58</v>
      </c>
      <c r="C61" s="444" t="s">
        <v>91</v>
      </c>
      <c r="D61" s="445"/>
      <c r="E61" s="31">
        <v>57.73</v>
      </c>
      <c r="F61" s="35">
        <v>1355</v>
      </c>
      <c r="G61" s="197">
        <f t="shared" si="20"/>
        <v>78224.149999999994</v>
      </c>
      <c r="H61" s="206" t="s">
        <v>103</v>
      </c>
      <c r="I61" s="205">
        <v>16</v>
      </c>
      <c r="J61" s="26">
        <v>1500</v>
      </c>
      <c r="K61" s="10">
        <f t="shared" si="15"/>
        <v>93.75</v>
      </c>
      <c r="L61" s="205">
        <v>16</v>
      </c>
      <c r="M61" s="11">
        <f t="shared" si="21"/>
        <v>1426.3157894736853</v>
      </c>
      <c r="N61" s="11">
        <f t="shared" si="16"/>
        <v>89.144736842105331</v>
      </c>
      <c r="O61" s="12">
        <f t="shared" si="17"/>
        <v>0</v>
      </c>
      <c r="P61" s="13">
        <f t="shared" si="18"/>
        <v>-4.6052631578946688</v>
      </c>
      <c r="Q61" s="196">
        <f t="shared" si="19"/>
        <v>0.95087719298245688</v>
      </c>
      <c r="R61" s="442"/>
      <c r="S61" s="28">
        <v>0.80902777777777779</v>
      </c>
      <c r="T61" s="28">
        <v>0.84861111111111109</v>
      </c>
      <c r="U61" s="197">
        <f>IF(S61=TIME(17,0,0),"",(S61-T60)*24*60)</f>
        <v>5.9999999999999787</v>
      </c>
      <c r="V61" s="204">
        <f t="shared" si="22"/>
        <v>56.999999999999957</v>
      </c>
      <c r="W61" s="16"/>
      <c r="X61" s="16"/>
      <c r="Y61" s="447"/>
      <c r="Z61" s="448"/>
      <c r="AA61" s="12">
        <f t="shared" si="23"/>
        <v>-73.6842105263147</v>
      </c>
      <c r="AB61" s="196">
        <f t="shared" si="24"/>
        <v>0.95087719298245688</v>
      </c>
      <c r="AC61" s="442"/>
    </row>
    <row r="62" spans="1:29">
      <c r="A62" s="452" t="s">
        <v>710</v>
      </c>
      <c r="B62" s="31" t="s">
        <v>709</v>
      </c>
      <c r="C62" s="459"/>
      <c r="D62" s="460"/>
      <c r="E62" s="200"/>
      <c r="F62" s="33"/>
      <c r="G62" s="10"/>
      <c r="H62" s="207"/>
      <c r="I62" s="19">
        <v>16.333333333333332</v>
      </c>
      <c r="J62" s="26">
        <v>1916.6666666666667</v>
      </c>
      <c r="K62" s="10">
        <f t="shared" si="15"/>
        <v>117.34693877551021</v>
      </c>
      <c r="L62" s="19">
        <v>16.333333333333332</v>
      </c>
      <c r="M62" s="11">
        <f>AVERAGE(M56:M61)</f>
        <v>1824.3006461321668</v>
      </c>
      <c r="N62" s="10">
        <f t="shared" si="16"/>
        <v>111.69187629380613</v>
      </c>
      <c r="O62" s="12">
        <f t="shared" si="17"/>
        <v>0</v>
      </c>
      <c r="P62" s="13">
        <f t="shared" si="18"/>
        <v>-5.6550624817040784</v>
      </c>
      <c r="Q62" s="196">
        <f t="shared" si="19"/>
        <v>0.95180903276460871</v>
      </c>
      <c r="R62" s="442"/>
      <c r="S62" s="29"/>
      <c r="T62" s="28"/>
      <c r="U62" s="10"/>
      <c r="V62" s="204"/>
      <c r="W62" s="10"/>
      <c r="X62" s="10"/>
      <c r="Y62" s="447"/>
      <c r="Z62" s="448"/>
      <c r="AA62" s="12">
        <f t="shared" si="23"/>
        <v>-92.366020534499967</v>
      </c>
      <c r="AB62" s="196">
        <f t="shared" si="24"/>
        <v>0.95180903276460871</v>
      </c>
      <c r="AC62" s="442"/>
    </row>
    <row r="63" spans="1:29" ht="15.75" customHeight="1">
      <c r="A63" s="449" t="s">
        <v>708</v>
      </c>
      <c r="B63" s="207" t="s">
        <v>92</v>
      </c>
      <c r="C63" s="441" t="s">
        <v>93</v>
      </c>
      <c r="D63" s="441"/>
      <c r="E63" s="31">
        <v>84.51</v>
      </c>
      <c r="F63" s="35">
        <v>1536</v>
      </c>
      <c r="G63" s="197">
        <f t="shared" ref="G63:G68" si="25">E63*F63</f>
        <v>129807.36000000002</v>
      </c>
      <c r="H63" s="206" t="s">
        <v>103</v>
      </c>
      <c r="I63" s="205">
        <v>17</v>
      </c>
      <c r="J63" s="26">
        <v>2400</v>
      </c>
      <c r="K63" s="10">
        <f t="shared" si="15"/>
        <v>141.1764705882353</v>
      </c>
      <c r="L63" s="19">
        <v>17</v>
      </c>
      <c r="M63" s="11">
        <f t="shared" ref="M63:M68" si="26">F63/V63*60</f>
        <v>2304.0000000000014</v>
      </c>
      <c r="N63" s="10">
        <f t="shared" si="16"/>
        <v>135.52941176470597</v>
      </c>
      <c r="O63" s="12">
        <f t="shared" si="17"/>
        <v>0</v>
      </c>
      <c r="P63" s="13">
        <f t="shared" si="18"/>
        <v>-5.6470588235293349</v>
      </c>
      <c r="Q63" s="196">
        <f t="shared" si="19"/>
        <v>0.96000000000000052</v>
      </c>
      <c r="R63" s="442">
        <f>Q69</f>
        <v>0.95031072739911804</v>
      </c>
      <c r="S63" s="28">
        <v>0.16666666666666666</v>
      </c>
      <c r="T63" s="28">
        <v>0.19444444444444442</v>
      </c>
      <c r="U63" s="197"/>
      <c r="V63" s="204">
        <f t="shared" ref="V63:V68" si="27">(T63-S63)*24*60</f>
        <v>39.999999999999979</v>
      </c>
      <c r="W63" s="16">
        <f>T63</f>
        <v>0.19444444444444442</v>
      </c>
      <c r="X63" s="16">
        <f>S64</f>
        <v>0.21388888888888888</v>
      </c>
      <c r="Y63" s="443"/>
      <c r="Z63" s="443"/>
      <c r="AA63" s="12">
        <f t="shared" si="23"/>
        <v>-95.999999999998636</v>
      </c>
      <c r="AB63" s="196">
        <f t="shared" si="24"/>
        <v>0.96000000000000052</v>
      </c>
      <c r="AC63" s="442">
        <f>AB69</f>
        <v>0.95031072739911804</v>
      </c>
    </row>
    <row r="64" spans="1:29" ht="15.75" customHeight="1">
      <c r="A64" s="449" t="s">
        <v>708</v>
      </c>
      <c r="B64" s="207" t="s">
        <v>79</v>
      </c>
      <c r="C64" s="441" t="s">
        <v>94</v>
      </c>
      <c r="D64" s="441"/>
      <c r="E64" s="31">
        <v>26.78</v>
      </c>
      <c r="F64" s="35">
        <v>2662</v>
      </c>
      <c r="G64" s="197">
        <f t="shared" si="25"/>
        <v>71288.36</v>
      </c>
      <c r="H64" s="206" t="s">
        <v>103</v>
      </c>
      <c r="I64" s="205">
        <v>10</v>
      </c>
      <c r="J64" s="26">
        <v>3000</v>
      </c>
      <c r="K64" s="10">
        <f t="shared" si="15"/>
        <v>300</v>
      </c>
      <c r="L64" s="19">
        <v>10</v>
      </c>
      <c r="M64" s="11">
        <f t="shared" si="26"/>
        <v>2852.1428571428569</v>
      </c>
      <c r="N64" s="10">
        <f t="shared" si="16"/>
        <v>285.21428571428567</v>
      </c>
      <c r="O64" s="12">
        <f t="shared" si="17"/>
        <v>0</v>
      </c>
      <c r="P64" s="13">
        <f t="shared" si="18"/>
        <v>-14.785714285714334</v>
      </c>
      <c r="Q64" s="196">
        <f t="shared" si="19"/>
        <v>0.95071428571428551</v>
      </c>
      <c r="R64" s="442"/>
      <c r="S64" s="28">
        <v>0.21388888888888888</v>
      </c>
      <c r="T64" s="28">
        <v>0.25277777777777777</v>
      </c>
      <c r="U64" s="197">
        <f>(S64-T63)*24*60</f>
        <v>28.000000000000021</v>
      </c>
      <c r="V64" s="204">
        <f t="shared" si="27"/>
        <v>56</v>
      </c>
      <c r="W64" s="197"/>
      <c r="X64" s="197"/>
      <c r="Y64" s="443"/>
      <c r="Z64" s="443"/>
      <c r="AA64" s="12">
        <f t="shared" si="23"/>
        <v>-147.85714285714312</v>
      </c>
      <c r="AB64" s="196">
        <f t="shared" si="24"/>
        <v>0.95071428571428562</v>
      </c>
      <c r="AC64" s="442"/>
    </row>
    <row r="65" spans="1:29" ht="15.75" customHeight="1">
      <c r="A65" s="449" t="s">
        <v>708</v>
      </c>
      <c r="B65" s="207" t="s">
        <v>79</v>
      </c>
      <c r="C65" s="441" t="s">
        <v>95</v>
      </c>
      <c r="D65" s="441"/>
      <c r="E65" s="31">
        <v>35.369999999999997</v>
      </c>
      <c r="F65" s="35">
        <v>1585</v>
      </c>
      <c r="G65" s="197">
        <f t="shared" si="25"/>
        <v>56061.45</v>
      </c>
      <c r="H65" s="206" t="s">
        <v>103</v>
      </c>
      <c r="I65" s="205">
        <v>10</v>
      </c>
      <c r="J65" s="26">
        <v>3000</v>
      </c>
      <c r="K65" s="10">
        <f t="shared" si="15"/>
        <v>300</v>
      </c>
      <c r="L65" s="19">
        <v>10</v>
      </c>
      <c r="M65" s="11">
        <f t="shared" si="26"/>
        <v>2881.8181818181779</v>
      </c>
      <c r="N65" s="10">
        <f t="shared" si="16"/>
        <v>288.18181818181779</v>
      </c>
      <c r="O65" s="12">
        <f t="shared" si="17"/>
        <v>0</v>
      </c>
      <c r="P65" s="13">
        <f t="shared" si="18"/>
        <v>-11.818181818182211</v>
      </c>
      <c r="Q65" s="196">
        <f t="shared" si="19"/>
        <v>0.96060606060605924</v>
      </c>
      <c r="R65" s="442"/>
      <c r="S65" s="28">
        <v>0.25694444444444442</v>
      </c>
      <c r="T65" s="28">
        <v>0.27986111111111112</v>
      </c>
      <c r="U65" s="197">
        <f>(S65-T64)*24*60</f>
        <v>5.9999999999999787</v>
      </c>
      <c r="V65" s="204">
        <f t="shared" si="27"/>
        <v>33.000000000000043</v>
      </c>
      <c r="W65" s="197"/>
      <c r="X65" s="197"/>
      <c r="Y65" s="443"/>
      <c r="Z65" s="443"/>
      <c r="AA65" s="12">
        <f t="shared" si="23"/>
        <v>-118.18181818182211</v>
      </c>
      <c r="AB65" s="196">
        <f t="shared" si="24"/>
        <v>0.96060606060605924</v>
      </c>
      <c r="AC65" s="442"/>
    </row>
    <row r="66" spans="1:29" ht="15.75" customHeight="1">
      <c r="A66" s="449" t="s">
        <v>50</v>
      </c>
      <c r="B66" s="207" t="s">
        <v>53</v>
      </c>
      <c r="C66" s="441" t="s">
        <v>96</v>
      </c>
      <c r="D66" s="441"/>
      <c r="E66" s="31">
        <v>26.97</v>
      </c>
      <c r="F66" s="35">
        <v>3326</v>
      </c>
      <c r="G66" s="197">
        <f t="shared" si="25"/>
        <v>89702.22</v>
      </c>
      <c r="H66" s="206" t="s">
        <v>103</v>
      </c>
      <c r="I66" s="205">
        <v>8</v>
      </c>
      <c r="J66" s="26">
        <v>1500</v>
      </c>
      <c r="K66" s="10">
        <f t="shared" si="15"/>
        <v>187.5</v>
      </c>
      <c r="L66" s="19">
        <v>8</v>
      </c>
      <c r="M66" s="11">
        <f t="shared" si="26"/>
        <v>1415.3191489361707</v>
      </c>
      <c r="N66" s="10">
        <f t="shared" si="16"/>
        <v>176.91489361702133</v>
      </c>
      <c r="O66" s="12">
        <f t="shared" si="17"/>
        <v>0</v>
      </c>
      <c r="P66" s="13">
        <f t="shared" si="18"/>
        <v>-10.585106382978665</v>
      </c>
      <c r="Q66" s="196">
        <f t="shared" si="19"/>
        <v>0.94354609929078048</v>
      </c>
      <c r="R66" s="442"/>
      <c r="S66" s="28">
        <v>0.28402777777777777</v>
      </c>
      <c r="T66" s="28">
        <v>0.38194444444444442</v>
      </c>
      <c r="U66" s="197">
        <f>(S66-T65)*24*60</f>
        <v>5.9999999999999787</v>
      </c>
      <c r="V66" s="204">
        <f t="shared" si="27"/>
        <v>140.99999999999997</v>
      </c>
      <c r="W66" s="197"/>
      <c r="X66" s="197"/>
      <c r="Y66" s="443"/>
      <c r="Z66" s="443"/>
      <c r="AA66" s="12">
        <f t="shared" si="23"/>
        <v>-84.680851063829323</v>
      </c>
      <c r="AB66" s="196">
        <f t="shared" si="24"/>
        <v>0.94354609929078048</v>
      </c>
      <c r="AC66" s="442"/>
    </row>
    <row r="67" spans="1:29">
      <c r="A67" s="450" t="s">
        <v>707</v>
      </c>
      <c r="B67" s="207" t="s">
        <v>79</v>
      </c>
      <c r="C67" s="441" t="s">
        <v>97</v>
      </c>
      <c r="D67" s="441"/>
      <c r="E67" s="31">
        <v>35.119999999999997</v>
      </c>
      <c r="F67" s="35">
        <v>1224</v>
      </c>
      <c r="G67" s="197">
        <f t="shared" si="25"/>
        <v>42986.879999999997</v>
      </c>
      <c r="H67" s="206" t="s">
        <v>103</v>
      </c>
      <c r="I67" s="205">
        <v>13</v>
      </c>
      <c r="J67" s="26">
        <v>2000</v>
      </c>
      <c r="K67" s="10">
        <f t="shared" si="15"/>
        <v>153.84615384615384</v>
      </c>
      <c r="L67" s="19">
        <v>13</v>
      </c>
      <c r="M67" s="11">
        <f t="shared" si="26"/>
        <v>1883.0769230769222</v>
      </c>
      <c r="N67" s="10">
        <f t="shared" si="16"/>
        <v>144.85207100591708</v>
      </c>
      <c r="O67" s="12">
        <f t="shared" si="17"/>
        <v>0</v>
      </c>
      <c r="P67" s="13">
        <f t="shared" si="18"/>
        <v>-8.9940828402367572</v>
      </c>
      <c r="Q67" s="196">
        <f t="shared" si="19"/>
        <v>0.9415384615384611</v>
      </c>
      <c r="R67" s="442"/>
      <c r="S67" s="28">
        <v>0.38680555555555551</v>
      </c>
      <c r="T67" s="28">
        <v>0.41388888888888886</v>
      </c>
      <c r="U67" s="197">
        <f>(S67-T66)*24*60</f>
        <v>6.9999999999999751</v>
      </c>
      <c r="V67" s="204">
        <f t="shared" si="27"/>
        <v>39.000000000000021</v>
      </c>
      <c r="W67" s="16"/>
      <c r="X67" s="16"/>
      <c r="Y67" s="443"/>
      <c r="Z67" s="443"/>
      <c r="AA67" s="12">
        <f t="shared" si="23"/>
        <v>-116.92307692307782</v>
      </c>
      <c r="AB67" s="196">
        <f t="shared" si="24"/>
        <v>0.9415384615384611</v>
      </c>
      <c r="AC67" s="442"/>
    </row>
    <row r="68" spans="1:29" ht="15" customHeight="1">
      <c r="A68" s="450" t="s">
        <v>50</v>
      </c>
      <c r="B68" s="207" t="s">
        <v>79</v>
      </c>
      <c r="C68" s="444" t="s">
        <v>98</v>
      </c>
      <c r="D68" s="445"/>
      <c r="E68" s="31">
        <v>35.869999999999997</v>
      </c>
      <c r="F68" s="35">
        <v>2588</v>
      </c>
      <c r="G68" s="197">
        <f t="shared" si="25"/>
        <v>92831.56</v>
      </c>
      <c r="H68" s="206" t="s">
        <v>103</v>
      </c>
      <c r="I68" s="205">
        <v>10</v>
      </c>
      <c r="J68" s="26">
        <v>3000</v>
      </c>
      <c r="K68" s="10">
        <f t="shared" si="15"/>
        <v>300</v>
      </c>
      <c r="L68" s="19">
        <v>10</v>
      </c>
      <c r="M68" s="11">
        <f t="shared" si="26"/>
        <v>2823.2727272727288</v>
      </c>
      <c r="N68" s="10">
        <f t="shared" si="16"/>
        <v>282.32727272727288</v>
      </c>
      <c r="O68" s="12">
        <f t="shared" si="17"/>
        <v>0</v>
      </c>
      <c r="P68" s="13">
        <f t="shared" si="18"/>
        <v>-17.672727272727116</v>
      </c>
      <c r="Q68" s="196">
        <f t="shared" si="19"/>
        <v>0.94109090909090964</v>
      </c>
      <c r="R68" s="442"/>
      <c r="S68" s="28">
        <v>0.41874999999999996</v>
      </c>
      <c r="T68" s="28">
        <v>0.45694444444444438</v>
      </c>
      <c r="U68" s="197">
        <f>(S68-T67)*24*60</f>
        <v>6.9999999999999751</v>
      </c>
      <c r="V68" s="204">
        <f t="shared" si="27"/>
        <v>54.999999999999964</v>
      </c>
      <c r="W68" s="197"/>
      <c r="X68" s="197"/>
      <c r="Y68" s="447"/>
      <c r="Z68" s="448"/>
      <c r="AA68" s="12">
        <f t="shared" si="23"/>
        <v>-176.72727272727116</v>
      </c>
      <c r="AB68" s="196">
        <f t="shared" si="24"/>
        <v>0.94109090909090964</v>
      </c>
      <c r="AC68" s="442"/>
    </row>
    <row r="69" spans="1:29">
      <c r="A69" s="450" t="s">
        <v>706</v>
      </c>
      <c r="B69" s="31" t="s">
        <v>705</v>
      </c>
      <c r="C69" s="446"/>
      <c r="D69" s="446"/>
      <c r="E69" s="200"/>
      <c r="F69" s="33"/>
      <c r="G69" s="10"/>
      <c r="H69" s="207"/>
      <c r="I69" s="19">
        <v>11.333333333333334</v>
      </c>
      <c r="J69" s="26">
        <v>2483.3333333333335</v>
      </c>
      <c r="K69" s="10">
        <f t="shared" si="15"/>
        <v>219.11764705882354</v>
      </c>
      <c r="L69" s="19">
        <v>11.333333333333334</v>
      </c>
      <c r="M69" s="11">
        <f>AVERAGE(M63:M68)</f>
        <v>2359.9383063744767</v>
      </c>
      <c r="N69" s="10">
        <f t="shared" si="16"/>
        <v>208.22985056245381</v>
      </c>
      <c r="O69" s="12">
        <f t="shared" si="17"/>
        <v>0</v>
      </c>
      <c r="P69" s="13">
        <f t="shared" si="18"/>
        <v>-10.887796496369731</v>
      </c>
      <c r="Q69" s="196">
        <f t="shared" si="19"/>
        <v>0.95031072739911804</v>
      </c>
      <c r="R69" s="442"/>
      <c r="S69" s="28"/>
      <c r="T69" s="28"/>
      <c r="U69" s="10"/>
      <c r="V69" s="204"/>
      <c r="W69" s="10"/>
      <c r="X69" s="10"/>
      <c r="Y69" s="443"/>
      <c r="Z69" s="443"/>
      <c r="AA69" s="12">
        <f t="shared" si="23"/>
        <v>-123.39502695885676</v>
      </c>
      <c r="AB69" s="196">
        <f t="shared" si="24"/>
        <v>0.95031072739911804</v>
      </c>
      <c r="AC69" s="442"/>
    </row>
    <row r="70" spans="1:29" ht="15.75" customHeight="1">
      <c r="A70" s="439" t="s">
        <v>169</v>
      </c>
      <c r="B70" s="207" t="s">
        <v>67</v>
      </c>
      <c r="C70" s="441" t="s">
        <v>99</v>
      </c>
      <c r="D70" s="441"/>
      <c r="E70" s="31">
        <v>20.2</v>
      </c>
      <c r="F70" s="207">
        <v>2913</v>
      </c>
      <c r="G70" s="197">
        <f t="shared" ref="G70:G76" si="28">E70*F70</f>
        <v>58842.6</v>
      </c>
      <c r="H70" s="206" t="s">
        <v>103</v>
      </c>
      <c r="I70" s="205">
        <v>19</v>
      </c>
      <c r="J70" s="26">
        <v>2400</v>
      </c>
      <c r="K70" s="10">
        <f t="shared" si="15"/>
        <v>126.31578947368421</v>
      </c>
      <c r="L70" s="19">
        <v>19</v>
      </c>
      <c r="M70" s="11">
        <f t="shared" ref="M70:M76" si="29">F70/V70*60</f>
        <v>2269.8701298701299</v>
      </c>
      <c r="N70" s="10">
        <f t="shared" si="16"/>
        <v>119.46684894053315</v>
      </c>
      <c r="O70" s="12">
        <f t="shared" si="17"/>
        <v>0</v>
      </c>
      <c r="P70" s="13">
        <f t="shared" si="18"/>
        <v>-6.8489405331510511</v>
      </c>
      <c r="Q70" s="196">
        <f t="shared" si="19"/>
        <v>0.94577922077922083</v>
      </c>
      <c r="R70" s="442">
        <f>Q77</f>
        <v>0.94794339508920333</v>
      </c>
      <c r="S70" s="28">
        <v>0.125</v>
      </c>
      <c r="T70" s="28">
        <v>0.17847222222222223</v>
      </c>
      <c r="U70" s="18"/>
      <c r="V70" s="204">
        <f t="shared" ref="V70:V76" si="30">(T70-S70)*24*60</f>
        <v>77</v>
      </c>
      <c r="W70" s="16">
        <f>T70</f>
        <v>0.17847222222222223</v>
      </c>
      <c r="X70" s="16">
        <f>S71</f>
        <v>0.19791666666666666</v>
      </c>
      <c r="Y70" s="443"/>
      <c r="Z70" s="443"/>
      <c r="AA70" s="12">
        <f t="shared" si="23"/>
        <v>-130.12987012987014</v>
      </c>
      <c r="AB70" s="196">
        <f t="shared" si="24"/>
        <v>0.94577922077922072</v>
      </c>
      <c r="AC70" s="442">
        <f>AB77</f>
        <v>0.94794339508920344</v>
      </c>
    </row>
    <row r="71" spans="1:29" ht="15.75" customHeight="1">
      <c r="A71" s="439" t="s">
        <v>624</v>
      </c>
      <c r="B71" s="207" t="s">
        <v>67</v>
      </c>
      <c r="C71" s="441" t="s">
        <v>100</v>
      </c>
      <c r="D71" s="441"/>
      <c r="E71" s="31">
        <v>19.02</v>
      </c>
      <c r="F71" s="207">
        <v>6500</v>
      </c>
      <c r="G71" s="197">
        <f t="shared" si="28"/>
        <v>123630</v>
      </c>
      <c r="H71" s="206">
        <v>2</v>
      </c>
      <c r="I71" s="205">
        <v>15</v>
      </c>
      <c r="J71" s="26">
        <v>2400</v>
      </c>
      <c r="K71" s="10">
        <f t="shared" si="15"/>
        <v>160</v>
      </c>
      <c r="L71" s="19">
        <v>15</v>
      </c>
      <c r="M71" s="11">
        <f t="shared" si="29"/>
        <v>2267.4418604651164</v>
      </c>
      <c r="N71" s="10">
        <f t="shared" si="16"/>
        <v>151.16279069767444</v>
      </c>
      <c r="O71" s="12">
        <f t="shared" si="17"/>
        <v>0</v>
      </c>
      <c r="P71" s="13">
        <f t="shared" si="18"/>
        <v>-8.8372093023255616</v>
      </c>
      <c r="Q71" s="196">
        <f t="shared" si="19"/>
        <v>0.94476744186046524</v>
      </c>
      <c r="R71" s="442"/>
      <c r="S71" s="28">
        <v>0.19791666666666666</v>
      </c>
      <c r="T71" s="28">
        <v>0.31736111111111109</v>
      </c>
      <c r="U71" s="197">
        <f t="shared" ref="U71:U76" si="31">(S71-T70)*24*60</f>
        <v>27.999999999999979</v>
      </c>
      <c r="V71" s="204">
        <f t="shared" si="30"/>
        <v>171.99999999999997</v>
      </c>
      <c r="W71" s="16"/>
      <c r="X71" s="16"/>
      <c r="Y71" s="443"/>
      <c r="Z71" s="443"/>
      <c r="AA71" s="12">
        <f t="shared" si="23"/>
        <v>-132.55813953488359</v>
      </c>
      <c r="AB71" s="196">
        <f t="shared" si="24"/>
        <v>0.94476744186046513</v>
      </c>
      <c r="AC71" s="442"/>
    </row>
    <row r="72" spans="1:29" ht="15.75" customHeight="1">
      <c r="A72" s="439" t="s">
        <v>704</v>
      </c>
      <c r="B72" s="207" t="s">
        <v>67</v>
      </c>
      <c r="C72" s="441" t="s">
        <v>101</v>
      </c>
      <c r="D72" s="441"/>
      <c r="E72" s="31">
        <v>25</v>
      </c>
      <c r="F72" s="207">
        <v>4554</v>
      </c>
      <c r="G72" s="197">
        <f t="shared" si="28"/>
        <v>113850</v>
      </c>
      <c r="H72" s="206" t="s">
        <v>103</v>
      </c>
      <c r="I72" s="205">
        <v>15</v>
      </c>
      <c r="J72" s="26">
        <v>2400</v>
      </c>
      <c r="K72" s="10">
        <f t="shared" si="15"/>
        <v>160</v>
      </c>
      <c r="L72" s="19">
        <v>15</v>
      </c>
      <c r="M72" s="11">
        <f t="shared" si="29"/>
        <v>2277.0000000000005</v>
      </c>
      <c r="N72" s="10">
        <f t="shared" si="16"/>
        <v>151.80000000000004</v>
      </c>
      <c r="O72" s="12">
        <f t="shared" si="17"/>
        <v>0</v>
      </c>
      <c r="P72" s="13">
        <f t="shared" si="18"/>
        <v>-8.1999999999999602</v>
      </c>
      <c r="Q72" s="196">
        <f t="shared" si="19"/>
        <v>0.9487500000000002</v>
      </c>
      <c r="R72" s="442"/>
      <c r="S72" s="28">
        <v>0.32222222222222219</v>
      </c>
      <c r="T72" s="28">
        <v>0.4055555555555555</v>
      </c>
      <c r="U72" s="197">
        <f t="shared" si="31"/>
        <v>6.9999999999999751</v>
      </c>
      <c r="V72" s="204">
        <f t="shared" si="30"/>
        <v>119.99999999999997</v>
      </c>
      <c r="W72" s="16"/>
      <c r="X72" s="16"/>
      <c r="Y72" s="443"/>
      <c r="Z72" s="443"/>
      <c r="AA72" s="12">
        <f t="shared" si="23"/>
        <v>-122.99999999999955</v>
      </c>
      <c r="AB72" s="196">
        <f t="shared" si="24"/>
        <v>0.9487500000000002</v>
      </c>
      <c r="AC72" s="442"/>
    </row>
    <row r="73" spans="1:29" ht="15.75" customHeight="1">
      <c r="A73" s="439" t="s">
        <v>704</v>
      </c>
      <c r="B73" s="207" t="s">
        <v>67</v>
      </c>
      <c r="C73" s="441" t="s">
        <v>102</v>
      </c>
      <c r="D73" s="441"/>
      <c r="E73" s="31">
        <v>20.52</v>
      </c>
      <c r="F73" s="207">
        <v>2850</v>
      </c>
      <c r="G73" s="197">
        <f t="shared" si="28"/>
        <v>58482</v>
      </c>
      <c r="H73" s="206">
        <v>2</v>
      </c>
      <c r="I73" s="205">
        <v>18</v>
      </c>
      <c r="J73" s="26">
        <v>2400</v>
      </c>
      <c r="K73" s="10">
        <f t="shared" si="15"/>
        <v>133.33333333333334</v>
      </c>
      <c r="L73" s="19">
        <v>18</v>
      </c>
      <c r="M73" s="11">
        <f t="shared" si="29"/>
        <v>2280.0000000000009</v>
      </c>
      <c r="N73" s="10">
        <f t="shared" si="16"/>
        <v>126.66666666666671</v>
      </c>
      <c r="O73" s="12">
        <f t="shared" si="17"/>
        <v>0</v>
      </c>
      <c r="P73" s="13">
        <f t="shared" si="18"/>
        <v>-6.6666666666666288</v>
      </c>
      <c r="Q73" s="196">
        <f t="shared" si="19"/>
        <v>0.95000000000000029</v>
      </c>
      <c r="R73" s="442"/>
      <c r="S73" s="28">
        <v>0.41111111111111104</v>
      </c>
      <c r="T73" s="28">
        <v>0.46319444444444435</v>
      </c>
      <c r="U73" s="197">
        <f t="shared" si="31"/>
        <v>7.9999999999999716</v>
      </c>
      <c r="V73" s="204">
        <f t="shared" si="30"/>
        <v>74.999999999999972</v>
      </c>
      <c r="W73" s="16"/>
      <c r="X73" s="16"/>
      <c r="Y73" s="443"/>
      <c r="Z73" s="443"/>
      <c r="AA73" s="12">
        <f t="shared" si="23"/>
        <v>-119.99999999999909</v>
      </c>
      <c r="AB73" s="196">
        <f t="shared" si="24"/>
        <v>0.9500000000000004</v>
      </c>
      <c r="AC73" s="442"/>
    </row>
    <row r="74" spans="1:29" ht="15.75" customHeight="1">
      <c r="A74" s="439" t="s">
        <v>704</v>
      </c>
      <c r="B74" s="207" t="s">
        <v>67</v>
      </c>
      <c r="C74" s="441" t="s">
        <v>71</v>
      </c>
      <c r="D74" s="441"/>
      <c r="E74" s="31">
        <v>22.35</v>
      </c>
      <c r="F74" s="207">
        <v>2167</v>
      </c>
      <c r="G74" s="197">
        <f t="shared" si="28"/>
        <v>48432.450000000004</v>
      </c>
      <c r="H74" s="206" t="s">
        <v>103</v>
      </c>
      <c r="I74" s="205">
        <v>16</v>
      </c>
      <c r="J74" s="26">
        <v>2400</v>
      </c>
      <c r="K74" s="10">
        <f t="shared" si="15"/>
        <v>150</v>
      </c>
      <c r="L74" s="19">
        <v>16</v>
      </c>
      <c r="M74" s="11">
        <f t="shared" si="29"/>
        <v>2281.0526315789493</v>
      </c>
      <c r="N74" s="10">
        <f t="shared" si="16"/>
        <v>142.56578947368433</v>
      </c>
      <c r="O74" s="12">
        <f t="shared" si="17"/>
        <v>0</v>
      </c>
      <c r="P74" s="13">
        <f t="shared" si="18"/>
        <v>-7.4342105263156668</v>
      </c>
      <c r="Q74" s="196">
        <f t="shared" si="19"/>
        <v>0.95043859649122886</v>
      </c>
      <c r="R74" s="442"/>
      <c r="S74" s="28">
        <v>0.46736111111111101</v>
      </c>
      <c r="T74" s="28">
        <v>0.50694444444444431</v>
      </c>
      <c r="U74" s="197">
        <f t="shared" si="31"/>
        <v>5.9999999999999787</v>
      </c>
      <c r="V74" s="204">
        <f t="shared" si="30"/>
        <v>56.999999999999957</v>
      </c>
      <c r="W74" s="16">
        <f>T74</f>
        <v>0.50694444444444431</v>
      </c>
      <c r="X74" s="16">
        <f>S75</f>
        <v>0.54652777777777761</v>
      </c>
      <c r="Y74" s="443"/>
      <c r="Z74" s="443"/>
      <c r="AA74" s="12">
        <f t="shared" si="23"/>
        <v>-118.94736842105067</v>
      </c>
      <c r="AB74" s="196">
        <f t="shared" si="24"/>
        <v>0.95043859649122886</v>
      </c>
      <c r="AC74" s="442"/>
    </row>
    <row r="75" spans="1:29" ht="15.75" customHeight="1">
      <c r="A75" s="439" t="s">
        <v>704</v>
      </c>
      <c r="B75" s="207" t="s">
        <v>67</v>
      </c>
      <c r="C75" s="441" t="s">
        <v>100</v>
      </c>
      <c r="D75" s="441"/>
      <c r="E75" s="31">
        <v>19.02</v>
      </c>
      <c r="F75" s="207">
        <v>6228</v>
      </c>
      <c r="G75" s="197">
        <f t="shared" si="28"/>
        <v>118456.56</v>
      </c>
      <c r="H75" s="206" t="s">
        <v>103</v>
      </c>
      <c r="I75" s="205">
        <v>15</v>
      </c>
      <c r="J75" s="26">
        <v>2400</v>
      </c>
      <c r="K75" s="10">
        <f t="shared" si="15"/>
        <v>160</v>
      </c>
      <c r="L75" s="19">
        <v>15</v>
      </c>
      <c r="M75" s="11">
        <f t="shared" si="29"/>
        <v>2264.7272727272721</v>
      </c>
      <c r="N75" s="10">
        <f t="shared" si="16"/>
        <v>150.98181818181814</v>
      </c>
      <c r="O75" s="12">
        <f t="shared" si="17"/>
        <v>0</v>
      </c>
      <c r="P75" s="13">
        <f t="shared" si="18"/>
        <v>-9.0181818181818585</v>
      </c>
      <c r="Q75" s="196">
        <f t="shared" si="19"/>
        <v>0.94363636363636338</v>
      </c>
      <c r="R75" s="442"/>
      <c r="S75" s="28">
        <v>0.54652777777777761</v>
      </c>
      <c r="T75" s="28">
        <v>0.66111111111111098</v>
      </c>
      <c r="U75" s="197">
        <f t="shared" si="31"/>
        <v>56.999999999999957</v>
      </c>
      <c r="V75" s="204">
        <f t="shared" si="30"/>
        <v>165.00000000000006</v>
      </c>
      <c r="W75" s="16"/>
      <c r="X75" s="16"/>
      <c r="Y75" s="443"/>
      <c r="Z75" s="443"/>
      <c r="AA75" s="12">
        <f t="shared" si="23"/>
        <v>-135.27272727272793</v>
      </c>
      <c r="AB75" s="196">
        <f t="shared" si="24"/>
        <v>0.94363636363636338</v>
      </c>
      <c r="AC75" s="442"/>
    </row>
    <row r="76" spans="1:29" ht="15.75" customHeight="1">
      <c r="A76" s="439" t="s">
        <v>704</v>
      </c>
      <c r="B76" s="207" t="s">
        <v>67</v>
      </c>
      <c r="C76" s="444" t="s">
        <v>102</v>
      </c>
      <c r="D76" s="445"/>
      <c r="E76" s="31">
        <v>20.52</v>
      </c>
      <c r="F76" s="207">
        <v>2133</v>
      </c>
      <c r="G76" s="197">
        <f t="shared" si="28"/>
        <v>43769.159999999996</v>
      </c>
      <c r="H76" s="206" t="s">
        <v>103</v>
      </c>
      <c r="I76" s="205">
        <v>18</v>
      </c>
      <c r="J76" s="26">
        <v>2400</v>
      </c>
      <c r="K76" s="10">
        <f t="shared" si="15"/>
        <v>133.33333333333334</v>
      </c>
      <c r="L76" s="19">
        <v>18</v>
      </c>
      <c r="M76" s="11">
        <f t="shared" si="29"/>
        <v>2285.3571428571445</v>
      </c>
      <c r="N76" s="10">
        <f t="shared" si="16"/>
        <v>126.96428571428581</v>
      </c>
      <c r="O76" s="12">
        <f t="shared" si="17"/>
        <v>0</v>
      </c>
      <c r="P76" s="13">
        <f t="shared" si="18"/>
        <v>-6.3690476190475351</v>
      </c>
      <c r="Q76" s="196">
        <f t="shared" si="19"/>
        <v>0.95223214285714353</v>
      </c>
      <c r="R76" s="442"/>
      <c r="S76" s="28">
        <v>0.66666666666666652</v>
      </c>
      <c r="T76" s="28">
        <v>0.70555555555555538</v>
      </c>
      <c r="U76" s="197">
        <f t="shared" si="31"/>
        <v>7.9999999999999716</v>
      </c>
      <c r="V76" s="204">
        <f t="shared" si="30"/>
        <v>55.999999999999957</v>
      </c>
      <c r="W76" s="16"/>
      <c r="X76" s="16"/>
      <c r="Y76" s="447"/>
      <c r="Z76" s="448"/>
      <c r="AA76" s="12">
        <f t="shared" si="23"/>
        <v>-114.64285714285552</v>
      </c>
      <c r="AB76" s="196">
        <f t="shared" si="24"/>
        <v>0.95223214285714353</v>
      </c>
      <c r="AC76" s="442"/>
    </row>
    <row r="77" spans="1:29" ht="16.5" customHeight="1">
      <c r="A77" s="440" t="s">
        <v>704</v>
      </c>
      <c r="B77" s="31" t="s">
        <v>39</v>
      </c>
      <c r="C77" s="446"/>
      <c r="D77" s="446"/>
      <c r="E77" s="200"/>
      <c r="F77" s="33"/>
      <c r="G77" s="10"/>
      <c r="H77" s="207"/>
      <c r="I77" s="19">
        <v>16.571428571428573</v>
      </c>
      <c r="J77" s="26">
        <v>2400</v>
      </c>
      <c r="K77" s="10">
        <f t="shared" si="15"/>
        <v>144.82758620689654</v>
      </c>
      <c r="L77" s="19">
        <v>16.571428571428573</v>
      </c>
      <c r="M77" s="11">
        <f>AVERAGE(M70:M76)</f>
        <v>2275.0641482140882</v>
      </c>
      <c r="N77" s="10">
        <f t="shared" si="16"/>
        <v>137.28835377153979</v>
      </c>
      <c r="O77" s="12">
        <f t="shared" si="17"/>
        <v>0</v>
      </c>
      <c r="P77" s="13">
        <f t="shared" si="18"/>
        <v>-7.5392324353567517</v>
      </c>
      <c r="Q77" s="196">
        <f t="shared" si="19"/>
        <v>0.94794339508920333</v>
      </c>
      <c r="R77" s="442"/>
      <c r="S77" s="28"/>
      <c r="T77" s="28"/>
      <c r="U77" s="10"/>
      <c r="V77" s="204"/>
      <c r="W77" s="10"/>
      <c r="X77" s="10"/>
      <c r="Y77" s="443"/>
      <c r="Z77" s="443"/>
      <c r="AA77" s="12">
        <f t="shared" si="23"/>
        <v>-124.93585178591184</v>
      </c>
      <c r="AB77" s="196">
        <f t="shared" si="24"/>
        <v>0.94794339508920344</v>
      </c>
      <c r="AC77" s="442"/>
    </row>
    <row r="78" spans="1:29">
      <c r="D78" s="22"/>
      <c r="E78" s="22"/>
    </row>
  </sheetData>
  <mergeCells count="202">
    <mergeCell ref="AC70:AC77"/>
    <mergeCell ref="C71:D71"/>
    <mergeCell ref="Y71:Z71"/>
    <mergeCell ref="C72:D72"/>
    <mergeCell ref="Y72:Z72"/>
    <mergeCell ref="C73:D73"/>
    <mergeCell ref="Y73:Z73"/>
    <mergeCell ref="C74:D74"/>
    <mergeCell ref="Y74:Z74"/>
    <mergeCell ref="C75:D75"/>
    <mergeCell ref="A70:A77"/>
    <mergeCell ref="C70:D70"/>
    <mergeCell ref="R70:R77"/>
    <mergeCell ref="Y70:Z70"/>
    <mergeCell ref="Y75:Z75"/>
    <mergeCell ref="C76:D76"/>
    <mergeCell ref="Y76:Z76"/>
    <mergeCell ref="C77:D77"/>
    <mergeCell ref="Y77:Z77"/>
    <mergeCell ref="AC56:AC62"/>
    <mergeCell ref="C57:D57"/>
    <mergeCell ref="Y57:Z57"/>
    <mergeCell ref="C58:D58"/>
    <mergeCell ref="C61:D61"/>
    <mergeCell ref="Y61:Z61"/>
    <mergeCell ref="C66:D66"/>
    <mergeCell ref="C62:D62"/>
    <mergeCell ref="Y62:Z62"/>
    <mergeCell ref="AC63:AC69"/>
    <mergeCell ref="C67:D67"/>
    <mergeCell ref="Y67:Z67"/>
    <mergeCell ref="C68:D68"/>
    <mergeCell ref="Y68:Z68"/>
    <mergeCell ref="C63:D63"/>
    <mergeCell ref="R63:R69"/>
    <mergeCell ref="Y63:Z63"/>
    <mergeCell ref="C69:D69"/>
    <mergeCell ref="Y69:Z69"/>
    <mergeCell ref="A34:A44"/>
    <mergeCell ref="C34:D34"/>
    <mergeCell ref="A45:A55"/>
    <mergeCell ref="A56:A62"/>
    <mergeCell ref="C56:D56"/>
    <mergeCell ref="R56:R62"/>
    <mergeCell ref="Y56:Z56"/>
    <mergeCell ref="Y66:Z66"/>
    <mergeCell ref="C53:D53"/>
    <mergeCell ref="C54:D54"/>
    <mergeCell ref="Y52:Z52"/>
    <mergeCell ref="Y53:Z53"/>
    <mergeCell ref="Y54:Z54"/>
    <mergeCell ref="C64:D64"/>
    <mergeCell ref="Y64:Z64"/>
    <mergeCell ref="C65:D65"/>
    <mergeCell ref="Y65:Z65"/>
    <mergeCell ref="C55:D55"/>
    <mergeCell ref="Y55:Z55"/>
    <mergeCell ref="A63:A69"/>
    <mergeCell ref="C36:D36"/>
    <mergeCell ref="Y36:Z36"/>
    <mergeCell ref="C37:D37"/>
    <mergeCell ref="C39:D39"/>
    <mergeCell ref="AC45:AC55"/>
    <mergeCell ref="C46:D46"/>
    <mergeCell ref="Y46:Z46"/>
    <mergeCell ref="C47:D47"/>
    <mergeCell ref="Y47:Z47"/>
    <mergeCell ref="R34:R44"/>
    <mergeCell ref="Y34:Z34"/>
    <mergeCell ref="C44:D44"/>
    <mergeCell ref="Y44:Z44"/>
    <mergeCell ref="C45:D45"/>
    <mergeCell ref="R45:R55"/>
    <mergeCell ref="Y45:Z45"/>
    <mergeCell ref="Y50:Z50"/>
    <mergeCell ref="C51:D51"/>
    <mergeCell ref="AC34:AC44"/>
    <mergeCell ref="C48:D48"/>
    <mergeCell ref="Y48:Z48"/>
    <mergeCell ref="C49:D49"/>
    <mergeCell ref="Y49:Z49"/>
    <mergeCell ref="C50:D50"/>
    <mergeCell ref="C52:D52"/>
    <mergeCell ref="Y51:Z51"/>
    <mergeCell ref="C35:D35"/>
    <mergeCell ref="Y35:Z35"/>
    <mergeCell ref="Y39:Z39"/>
    <mergeCell ref="C40:D40"/>
    <mergeCell ref="Y40:Z40"/>
    <mergeCell ref="C41:D41"/>
    <mergeCell ref="Y41:Z41"/>
    <mergeCell ref="C42:D42"/>
    <mergeCell ref="Y42:Z42"/>
    <mergeCell ref="C43:D43"/>
    <mergeCell ref="Y43:Z43"/>
    <mergeCell ref="Y37:Z37"/>
    <mergeCell ref="C38:D38"/>
    <mergeCell ref="Y38:Z38"/>
    <mergeCell ref="AC25:AC33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Y32:Z32"/>
    <mergeCell ref="A25:A33"/>
    <mergeCell ref="C25:D25"/>
    <mergeCell ref="R25:R33"/>
    <mergeCell ref="Y25:Z25"/>
    <mergeCell ref="Y30:Z30"/>
    <mergeCell ref="C31:D31"/>
    <mergeCell ref="Y31:Z31"/>
    <mergeCell ref="C33:D33"/>
    <mergeCell ref="Y33:Z33"/>
    <mergeCell ref="C32:D32"/>
    <mergeCell ref="AC19:AC24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C14:AC18"/>
    <mergeCell ref="C15:D15"/>
    <mergeCell ref="Y15:Z15"/>
    <mergeCell ref="C16:D16"/>
    <mergeCell ref="Y16:Z16"/>
    <mergeCell ref="C17:D17"/>
    <mergeCell ref="Y17:Z17"/>
    <mergeCell ref="C18:D18"/>
    <mergeCell ref="Y18:Z18"/>
    <mergeCell ref="A19:A24"/>
    <mergeCell ref="C19:D19"/>
    <mergeCell ref="R19:R24"/>
    <mergeCell ref="Y19:Z19"/>
    <mergeCell ref="Y24:Z24"/>
    <mergeCell ref="A14:A18"/>
    <mergeCell ref="C14:D14"/>
    <mergeCell ref="R14:R18"/>
    <mergeCell ref="Y14:Z14"/>
    <mergeCell ref="AC5:AC8"/>
    <mergeCell ref="C6:D6"/>
    <mergeCell ref="Y6:Z6"/>
    <mergeCell ref="C7:D7"/>
    <mergeCell ref="Y7:Z7"/>
    <mergeCell ref="C8:D8"/>
    <mergeCell ref="Y8:Z8"/>
    <mergeCell ref="AC9:AC13"/>
    <mergeCell ref="C10:D10"/>
    <mergeCell ref="Y10:Z10"/>
    <mergeCell ref="C11:D11"/>
    <mergeCell ref="Y11:Z11"/>
    <mergeCell ref="C12:D12"/>
    <mergeCell ref="A9:A13"/>
    <mergeCell ref="C9:D9"/>
    <mergeCell ref="R9:R13"/>
    <mergeCell ref="Y9:Z9"/>
    <mergeCell ref="C13:D13"/>
    <mergeCell ref="Y13:Z13"/>
    <mergeCell ref="Y12:Z12"/>
    <mergeCell ref="H3:H4"/>
    <mergeCell ref="I3:I4"/>
    <mergeCell ref="J3:J4"/>
    <mergeCell ref="K3:K4"/>
    <mergeCell ref="L3:L4"/>
    <mergeCell ref="M3:M4"/>
    <mergeCell ref="A5:A8"/>
    <mergeCell ref="C5:D5"/>
    <mergeCell ref="R5:R8"/>
    <mergeCell ref="Y5:Z5"/>
    <mergeCell ref="U3:U4"/>
    <mergeCell ref="V3:V4"/>
    <mergeCell ref="W3:X3"/>
    <mergeCell ref="Y3:Z4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AA3:AA4"/>
    <mergeCell ref="AB3:AB4"/>
    <mergeCell ref="AC3:AC4"/>
  </mergeCells>
  <phoneticPr fontId="3" type="noConversion"/>
  <conditionalFormatting sqref="O66:O75 O77 O5:O9 O13:O15 O18:O44 O55:O63">
    <cfRule type="cellIs" dxfId="473" priority="73" operator="greaterThan">
      <formula>0</formula>
    </cfRule>
  </conditionalFormatting>
  <conditionalFormatting sqref="P5:P7 P66:P68 AA66:AA68 P70:P75 P25:P32 P63 P9 P13:P15 P19:P23 P56:P61 AA70:AA77 AA5:AA44 P34:P44 AA56:AA63">
    <cfRule type="cellIs" dxfId="472" priority="77" operator="lessThan">
      <formula>0</formula>
    </cfRule>
  </conditionalFormatting>
  <conditionalFormatting sqref="AB66:AB68 Q66:Q75 Q77 Q5:Q9 Q13:Q15 AB70:AB77 AB5:AB44 Q18:Q44 Q55:Q63 AB56:AB63">
    <cfRule type="cellIs" dxfId="471" priority="74" operator="greaterThan">
      <formula>1</formula>
    </cfRule>
    <cfRule type="cellIs" dxfId="470" priority="75" operator="lessThan">
      <formula>0.8</formula>
    </cfRule>
  </conditionalFormatting>
  <conditionalFormatting sqref="AC14:AC15 R14:R15 AC66 R66:R75 R18:R41 AC18:AC41 R77 AC5:AC9 R5:R9 R44:R63 AC44 AC56:AC63">
    <cfRule type="cellIs" dxfId="469" priority="79" operator="lessThan">
      <formula>0.8</formula>
    </cfRule>
  </conditionalFormatting>
  <conditionalFormatting sqref="AC19:AC23">
    <cfRule type="cellIs" dxfId="468" priority="78" operator="lessThan">
      <formula>0.8</formula>
    </cfRule>
  </conditionalFormatting>
  <conditionalFormatting sqref="AC25">
    <cfRule type="cellIs" dxfId="467" priority="80" operator="lessThan">
      <formula>0.8</formula>
    </cfRule>
  </conditionalFormatting>
  <conditionalFormatting sqref="AC34:AC41">
    <cfRule type="cellIs" dxfId="466" priority="76" operator="lessThan">
      <formula>0.8</formula>
    </cfRule>
  </conditionalFormatting>
  <conditionalFormatting sqref="AA69">
    <cfRule type="cellIs" dxfId="465" priority="72" operator="lessThan">
      <formula>0</formula>
    </cfRule>
  </conditionalFormatting>
  <conditionalFormatting sqref="AB69">
    <cfRule type="cellIs" dxfId="464" priority="70" operator="greaterThan">
      <formula>1</formula>
    </cfRule>
    <cfRule type="cellIs" dxfId="463" priority="71" operator="lessThan">
      <formula>0.8</formula>
    </cfRule>
  </conditionalFormatting>
  <conditionalFormatting sqref="O16:O17">
    <cfRule type="cellIs" dxfId="462" priority="65" operator="greaterThan">
      <formula>0</formula>
    </cfRule>
  </conditionalFormatting>
  <conditionalFormatting sqref="P16:P17">
    <cfRule type="cellIs" dxfId="461" priority="68" operator="lessThan">
      <formula>0</formula>
    </cfRule>
  </conditionalFormatting>
  <conditionalFormatting sqref="Q16:Q17">
    <cfRule type="cellIs" dxfId="460" priority="66" operator="greaterThan">
      <formula>1</formula>
    </cfRule>
    <cfRule type="cellIs" dxfId="459" priority="67" operator="lessThan">
      <formula>0.8</formula>
    </cfRule>
  </conditionalFormatting>
  <conditionalFormatting sqref="R16:R17 AC16:AC17">
    <cfRule type="cellIs" dxfId="458" priority="69" operator="lessThan">
      <formula>0.8</formula>
    </cfRule>
  </conditionalFormatting>
  <conditionalFormatting sqref="O10:O12">
    <cfRule type="cellIs" dxfId="457" priority="61" operator="greaterThan">
      <formula>0</formula>
    </cfRule>
  </conditionalFormatting>
  <conditionalFormatting sqref="P10:P12">
    <cfRule type="cellIs" dxfId="456" priority="64" operator="lessThan">
      <formula>0</formula>
    </cfRule>
  </conditionalFormatting>
  <conditionalFormatting sqref="Q10:Q12">
    <cfRule type="cellIs" dxfId="455" priority="62" operator="greaterThan">
      <formula>1</formula>
    </cfRule>
    <cfRule type="cellIs" dxfId="454" priority="63" operator="lessThan">
      <formula>0.8</formula>
    </cfRule>
  </conditionalFormatting>
  <conditionalFormatting sqref="R42 AC42">
    <cfRule type="cellIs" dxfId="453" priority="60" operator="lessThan">
      <formula>0.8</formula>
    </cfRule>
  </conditionalFormatting>
  <conditionalFormatting sqref="AC42">
    <cfRule type="cellIs" dxfId="452" priority="59" operator="lessThan">
      <formula>0.8</formula>
    </cfRule>
  </conditionalFormatting>
  <conditionalFormatting sqref="O65">
    <cfRule type="cellIs" dxfId="451" priority="54" operator="greaterThan">
      <formula>0</formula>
    </cfRule>
  </conditionalFormatting>
  <conditionalFormatting sqref="P65 AA65">
    <cfRule type="cellIs" dxfId="450" priority="57" operator="lessThan">
      <formula>0</formula>
    </cfRule>
  </conditionalFormatting>
  <conditionalFormatting sqref="Q65 AB65">
    <cfRule type="cellIs" dxfId="449" priority="55" operator="greaterThan">
      <formula>1</formula>
    </cfRule>
    <cfRule type="cellIs" dxfId="448" priority="56" operator="lessThan">
      <formula>0.8</formula>
    </cfRule>
  </conditionalFormatting>
  <conditionalFormatting sqref="R65 AC65">
    <cfRule type="cellIs" dxfId="447" priority="58" operator="lessThan">
      <formula>0.8</formula>
    </cfRule>
  </conditionalFormatting>
  <conditionalFormatting sqref="O76">
    <cfRule type="cellIs" dxfId="446" priority="49" operator="greaterThan">
      <formula>0</formula>
    </cfRule>
  </conditionalFormatting>
  <conditionalFormatting sqref="P76">
    <cfRule type="cellIs" dxfId="445" priority="52" operator="lessThan">
      <formula>0</formula>
    </cfRule>
  </conditionalFormatting>
  <conditionalFormatting sqref="Q76">
    <cfRule type="cellIs" dxfId="444" priority="50" operator="greaterThan">
      <formula>1</formula>
    </cfRule>
    <cfRule type="cellIs" dxfId="443" priority="51" operator="lessThan">
      <formula>0.8</formula>
    </cfRule>
  </conditionalFormatting>
  <conditionalFormatting sqref="R76">
    <cfRule type="cellIs" dxfId="442" priority="53" operator="lessThan">
      <formula>0.8</formula>
    </cfRule>
  </conditionalFormatting>
  <conditionalFormatting sqref="O64">
    <cfRule type="cellIs" dxfId="441" priority="44" operator="greaterThan">
      <formula>0</formula>
    </cfRule>
  </conditionalFormatting>
  <conditionalFormatting sqref="P64 AA64">
    <cfRule type="cellIs" dxfId="440" priority="47" operator="lessThan">
      <formula>0</formula>
    </cfRule>
  </conditionalFormatting>
  <conditionalFormatting sqref="Q64 AB64">
    <cfRule type="cellIs" dxfId="439" priority="45" operator="greaterThan">
      <formula>1</formula>
    </cfRule>
    <cfRule type="cellIs" dxfId="438" priority="46" operator="lessThan">
      <formula>0.8</formula>
    </cfRule>
  </conditionalFormatting>
  <conditionalFormatting sqref="R64 AC64">
    <cfRule type="cellIs" dxfId="437" priority="48" operator="lessThan">
      <formula>0.8</formula>
    </cfRule>
  </conditionalFormatting>
  <conditionalFormatting sqref="P8">
    <cfRule type="cellIs" dxfId="436" priority="43" operator="lessThan">
      <formula>0</formula>
    </cfRule>
  </conditionalFormatting>
  <conditionalFormatting sqref="P18">
    <cfRule type="cellIs" dxfId="435" priority="42" operator="lessThan">
      <formula>0</formula>
    </cfRule>
  </conditionalFormatting>
  <conditionalFormatting sqref="P24">
    <cfRule type="cellIs" dxfId="434" priority="41" operator="lessThan">
      <formula>0</formula>
    </cfRule>
  </conditionalFormatting>
  <conditionalFormatting sqref="P33">
    <cfRule type="cellIs" dxfId="433" priority="40" operator="lessThan">
      <formula>0</formula>
    </cfRule>
  </conditionalFormatting>
  <conditionalFormatting sqref="P55">
    <cfRule type="cellIs" dxfId="432" priority="39" operator="lessThan">
      <formula>0</formula>
    </cfRule>
  </conditionalFormatting>
  <conditionalFormatting sqref="P62">
    <cfRule type="cellIs" dxfId="431" priority="38" operator="lessThan">
      <formula>0</formula>
    </cfRule>
  </conditionalFormatting>
  <conditionalFormatting sqref="P69">
    <cfRule type="cellIs" dxfId="430" priority="37" operator="lessThan">
      <formula>0</formula>
    </cfRule>
  </conditionalFormatting>
  <conditionalFormatting sqref="P77">
    <cfRule type="cellIs" dxfId="429" priority="36" operator="lessThan">
      <formula>0</formula>
    </cfRule>
  </conditionalFormatting>
  <conditionalFormatting sqref="R43 AC43">
    <cfRule type="cellIs" dxfId="428" priority="35" operator="lessThan">
      <formula>0.8</formula>
    </cfRule>
  </conditionalFormatting>
  <conditionalFormatting sqref="AC43">
    <cfRule type="cellIs" dxfId="427" priority="34" operator="lessThan">
      <formula>0.8</formula>
    </cfRule>
  </conditionalFormatting>
  <conditionalFormatting sqref="O45:O50">
    <cfRule type="cellIs" dxfId="426" priority="30" operator="greaterThan">
      <formula>0</formula>
    </cfRule>
  </conditionalFormatting>
  <conditionalFormatting sqref="P45:P50">
    <cfRule type="cellIs" dxfId="425" priority="33" operator="lessThan">
      <formula>0</formula>
    </cfRule>
  </conditionalFormatting>
  <conditionalFormatting sqref="Q45:Q50">
    <cfRule type="cellIs" dxfId="424" priority="31" operator="greaterThan">
      <formula>1</formula>
    </cfRule>
    <cfRule type="cellIs" dxfId="423" priority="32" operator="lessThan">
      <formula>0.8</formula>
    </cfRule>
  </conditionalFormatting>
  <conditionalFormatting sqref="O51">
    <cfRule type="cellIs" dxfId="422" priority="26" operator="greaterThan">
      <formula>0</formula>
    </cfRule>
  </conditionalFormatting>
  <conditionalFormatting sqref="P51">
    <cfRule type="cellIs" dxfId="421" priority="29" operator="lessThan">
      <formula>0</formula>
    </cfRule>
  </conditionalFormatting>
  <conditionalFormatting sqref="Q51">
    <cfRule type="cellIs" dxfId="420" priority="27" operator="greaterThan">
      <formula>1</formula>
    </cfRule>
    <cfRule type="cellIs" dxfId="419" priority="28" operator="lessThan">
      <formula>0.8</formula>
    </cfRule>
  </conditionalFormatting>
  <conditionalFormatting sqref="O52">
    <cfRule type="cellIs" dxfId="418" priority="22" operator="greaterThan">
      <formula>0</formula>
    </cfRule>
  </conditionalFormatting>
  <conditionalFormatting sqref="P52">
    <cfRule type="cellIs" dxfId="417" priority="25" operator="lessThan">
      <formula>0</formula>
    </cfRule>
  </conditionalFormatting>
  <conditionalFormatting sqref="Q52">
    <cfRule type="cellIs" dxfId="416" priority="23" operator="greaterThan">
      <formula>1</formula>
    </cfRule>
    <cfRule type="cellIs" dxfId="415" priority="24" operator="lessThan">
      <formula>0.8</formula>
    </cfRule>
  </conditionalFormatting>
  <conditionalFormatting sqref="O53">
    <cfRule type="cellIs" dxfId="414" priority="18" operator="greaterThan">
      <formula>0</formula>
    </cfRule>
  </conditionalFormatting>
  <conditionalFormatting sqref="P53">
    <cfRule type="cellIs" dxfId="413" priority="21" operator="lessThan">
      <formula>0</formula>
    </cfRule>
  </conditionalFormatting>
  <conditionalFormatting sqref="Q53">
    <cfRule type="cellIs" dxfId="412" priority="19" operator="greaterThan">
      <formula>1</formula>
    </cfRule>
    <cfRule type="cellIs" dxfId="411" priority="20" operator="lessThan">
      <formula>0.8</formula>
    </cfRule>
  </conditionalFormatting>
  <conditionalFormatting sqref="O54">
    <cfRule type="cellIs" dxfId="410" priority="14" operator="greaterThan">
      <formula>0</formula>
    </cfRule>
  </conditionalFormatting>
  <conditionalFormatting sqref="P54">
    <cfRule type="cellIs" dxfId="409" priority="17" operator="lessThan">
      <formula>0</formula>
    </cfRule>
  </conditionalFormatting>
  <conditionalFormatting sqref="Q54">
    <cfRule type="cellIs" dxfId="408" priority="15" operator="greaterThan">
      <formula>1</formula>
    </cfRule>
    <cfRule type="cellIs" dxfId="407" priority="16" operator="lessThan">
      <formula>0.8</formula>
    </cfRule>
  </conditionalFormatting>
  <conditionalFormatting sqref="AA45:AA55">
    <cfRule type="cellIs" dxfId="406" priority="11" operator="lessThan">
      <formula>0</formula>
    </cfRule>
  </conditionalFormatting>
  <conditionalFormatting sqref="AB45:AB55">
    <cfRule type="cellIs" dxfId="405" priority="9" operator="greaterThan">
      <formula>1</formula>
    </cfRule>
    <cfRule type="cellIs" dxfId="404" priority="10" operator="lessThan">
      <formula>0.8</formula>
    </cfRule>
  </conditionalFormatting>
  <conditionalFormatting sqref="AC45:AC50 AC55">
    <cfRule type="cellIs" dxfId="403" priority="12" operator="lessThan">
      <formula>0.8</formula>
    </cfRule>
  </conditionalFormatting>
  <conditionalFormatting sqref="AC45">
    <cfRule type="cellIs" dxfId="402" priority="13" operator="lessThan">
      <formula>0.8</formula>
    </cfRule>
  </conditionalFormatting>
  <conditionalFormatting sqref="AC51">
    <cfRule type="cellIs" dxfId="401" priority="8" operator="lessThan">
      <formula>0.8</formula>
    </cfRule>
  </conditionalFormatting>
  <conditionalFormatting sqref="AC51">
    <cfRule type="cellIs" dxfId="400" priority="7" operator="lessThan">
      <formula>0.8</formula>
    </cfRule>
  </conditionalFormatting>
  <conditionalFormatting sqref="AC52">
    <cfRule type="cellIs" dxfId="399" priority="6" operator="lessThan">
      <formula>0.8</formula>
    </cfRule>
  </conditionalFormatting>
  <conditionalFormatting sqref="AC52">
    <cfRule type="cellIs" dxfId="398" priority="5" operator="lessThan">
      <formula>0.8</formula>
    </cfRule>
  </conditionalFormatting>
  <conditionalFormatting sqref="AC53">
    <cfRule type="cellIs" dxfId="397" priority="4" operator="lessThan">
      <formula>0.8</formula>
    </cfRule>
  </conditionalFormatting>
  <conditionalFormatting sqref="AC53">
    <cfRule type="cellIs" dxfId="396" priority="3" operator="lessThan">
      <formula>0.8</formula>
    </cfRule>
  </conditionalFormatting>
  <conditionalFormatting sqref="AC54">
    <cfRule type="cellIs" dxfId="395" priority="2" operator="lessThan">
      <formula>0.8</formula>
    </cfRule>
  </conditionalFormatting>
  <conditionalFormatting sqref="AC54">
    <cfRule type="cellIs" dxfId="394" priority="1" operator="lessThan">
      <formula>0.8</formula>
    </cfRule>
  </conditionalFormatting>
  <dataValidations count="1">
    <dataValidation type="list" allowBlank="1" showInputMessage="1" showErrorMessage="1" sqref="Z8 Z67:Z68 Y5:Z7 Y69:Z77 Y8:Y68 Z10:Z6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B1:Q28"/>
  <sheetViews>
    <sheetView zoomScale="70" zoomScaleNormal="70" workbookViewId="0">
      <selection activeCell="W62" sqref="W62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622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81" t="s">
        <v>621</v>
      </c>
      <c r="C3" s="493" t="str">
        <f>TEXT('0908 4度C'!A2,"yyyy.mm.ddaaaa")</f>
        <v>2025.09.08星期一</v>
      </c>
      <c r="D3" s="493"/>
      <c r="E3" s="181" t="s">
        <v>620</v>
      </c>
      <c r="F3" s="494">
        <f>'0908 4度C'!D1</f>
        <v>183915</v>
      </c>
      <c r="G3" s="494"/>
      <c r="H3" s="181" t="s">
        <v>619</v>
      </c>
      <c r="I3" s="495">
        <f>'0908 4度C'!F1</f>
        <v>6172069.0000000019</v>
      </c>
      <c r="J3" s="495"/>
      <c r="K3" s="45"/>
      <c r="L3" s="46"/>
      <c r="M3" s="47"/>
      <c r="N3" s="47"/>
    </row>
    <row r="4" spans="2:17" ht="28.5" customHeight="1">
      <c r="B4" s="496" t="s">
        <v>618</v>
      </c>
      <c r="C4" s="496" t="s">
        <v>617</v>
      </c>
      <c r="D4" s="496"/>
      <c r="E4" s="497" t="s">
        <v>176</v>
      </c>
      <c r="F4" s="497"/>
      <c r="G4" s="497" t="s">
        <v>616</v>
      </c>
      <c r="H4" s="497"/>
      <c r="I4" s="497" t="s">
        <v>615</v>
      </c>
      <c r="J4" s="497"/>
      <c r="L4" s="47"/>
      <c r="M4" s="47"/>
      <c r="N4" s="47"/>
    </row>
    <row r="5" spans="2:17" ht="28.5" customHeight="1">
      <c r="B5" s="496"/>
      <c r="C5" s="496" t="s">
        <v>614</v>
      </c>
      <c r="D5" s="496"/>
      <c r="E5" s="496" t="s">
        <v>613</v>
      </c>
      <c r="F5" s="496"/>
      <c r="G5" s="498" t="s">
        <v>119</v>
      </c>
      <c r="H5" s="498"/>
      <c r="I5" s="499" t="s">
        <v>612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145.36545806201269</v>
      </c>
      <c r="F6" s="496">
        <f>AVERAGE(D27:O27,D13:J13)</f>
        <v>148.77238774297598</v>
      </c>
      <c r="G6" s="501">
        <f>AVERAGE(D13:J13)</f>
        <v>148.77238774297598</v>
      </c>
      <c r="H6" s="501"/>
      <c r="I6" s="501">
        <f>AVERAGE(K13:M13)</f>
        <v>137.41595547309834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137.31872401313223</v>
      </c>
      <c r="F7" s="506">
        <f>AVERAGE(D28:O28,D14:J14)</f>
        <v>140.77513524914119</v>
      </c>
      <c r="G7" s="507">
        <f>AVERAGE(D14:J14)</f>
        <v>140.77513524914119</v>
      </c>
      <c r="H7" s="507"/>
      <c r="I7" s="507">
        <f>AVERAGE(K14:M14)</f>
        <v>129.25376446244459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0.94410741027343437</v>
      </c>
      <c r="F8" s="504">
        <f>AVERAGE(D15:J15,D29:O29)</f>
        <v>0.94560784905723205</v>
      </c>
      <c r="G8" s="509">
        <f>AVERAGE(D15:J15)</f>
        <v>0.94560784905723205</v>
      </c>
      <c r="H8" s="509"/>
      <c r="I8" s="509">
        <f>AVERAGE(K15:M15)</f>
        <v>0.94060638644457295</v>
      </c>
      <c r="J8" s="509"/>
      <c r="K8" s="48" t="s">
        <v>611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610</v>
      </c>
      <c r="C10" s="414"/>
      <c r="D10" s="415" t="s">
        <v>609</v>
      </c>
      <c r="E10" s="416"/>
      <c r="F10" s="416"/>
      <c r="G10" s="416"/>
      <c r="H10" s="416"/>
      <c r="I10" s="416"/>
      <c r="J10" s="417"/>
      <c r="K10" s="389" t="s">
        <v>608</v>
      </c>
      <c r="L10" s="390"/>
      <c r="M10" s="391"/>
      <c r="P10" s="51"/>
      <c r="Q10" s="51"/>
    </row>
    <row r="11" spans="2:17" ht="17.25" customHeight="1">
      <c r="B11" s="503" t="s">
        <v>607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606</v>
      </c>
      <c r="C13" s="58" t="s">
        <v>605</v>
      </c>
      <c r="D13" s="59">
        <f>SUMIFS('0908 4度C'!$K:$K,'0908 4度C'!$A:$A,"新豐6線",'0908 4度C'!$B:$B,"平均")</f>
        <v>117.64705882352941</v>
      </c>
      <c r="E13" s="60">
        <f>SUMIFS('0908 4度C'!$K:$K,'0908 4度C'!$A:$A,"新豐2線",'0908 4度C'!$B:$B,"平均")</f>
        <v>83.333333333333329</v>
      </c>
      <c r="F13" s="61">
        <f>SUMIFS('0908 4度C'!$K:$K,'0908 4度C'!$A:$A,"新豐5線",'0908 4度C'!$B:$B,"平均")</f>
        <v>87.5</v>
      </c>
      <c r="G13" s="61">
        <f>SUMIFS('0908 4度C'!$K:$K,'0908 4度C'!$A:$A,"新豐7線",'0908 4度C'!$B:$B,"平均")</f>
        <v>117.64705882352941</v>
      </c>
      <c r="H13" s="61">
        <f>SUMIFS('0908 4度C'!$K:$K,'0908 4度C'!$A:$A,"新豐3線",'0908 4度C'!$B:$B,"平均")</f>
        <v>300</v>
      </c>
      <c r="I13" s="61">
        <f>SUMIFS('0908 4度C'!$K:$K,'0908 4度C'!$A:$A,"新豐1線",'0908 4度C'!$B:$B,"平均")</f>
        <v>116.16161616161617</v>
      </c>
      <c r="J13" s="62">
        <f>SUMIFS('0908 4度C'!$K:$K,'0908 4度C'!$A:$A,"新豐10線",'0908 4度C'!$B:$B,"平均")</f>
        <v>219.11764705882354</v>
      </c>
      <c r="K13" s="63">
        <f>SUMIFS('0908 4度C'!$K:$K,'0908 4度C'!$A:$A,"新豐8線",'0908 4度C'!$B:$B,"平均")</f>
        <v>134.4</v>
      </c>
      <c r="L13" s="64">
        <f>SUMIFS('0908 4度C'!$K:$K,'0908 4度C'!$A:$A,"新豐9線",'0908 4度C'!$B:$B,"平均")</f>
        <v>130.90909090909091</v>
      </c>
      <c r="M13" s="62">
        <f>SUMIFS('0908 4度C'!$K:$K,'0908 4度C'!$A:$A,"新豐4線",'0908 4度C'!$B:$B,"平均")</f>
        <v>146.9387755102041</v>
      </c>
    </row>
    <row r="14" spans="2:17" ht="39.6" customHeight="1">
      <c r="B14" s="515"/>
      <c r="C14" s="65" t="s">
        <v>604</v>
      </c>
      <c r="D14" s="66">
        <f>SUMIFS('0908 4度C'!$N:$N,'0908 4度C'!$A:$A,"新豐6線",'0908 4度C'!$B:$B,"平均")</f>
        <v>111.15752044060865</v>
      </c>
      <c r="E14" s="67">
        <f>SUMIFS('0908 4度C'!$N:$N,'0908 4度C'!$A:$A,"新豐2線",'0908 4度C'!$B:$B,"平均")</f>
        <v>78.235729447497746</v>
      </c>
      <c r="F14" s="67">
        <f>SUMIFS('0908 4度C'!$N:$N,'0908 4度C'!$A:$A,"新豐5線",'0908 4度C'!$B:$B,"平均")</f>
        <v>82.099807923169294</v>
      </c>
      <c r="G14" s="67">
        <f>SUMIFS('0908 4度C'!$N:$N,'0908 4度C'!$A:$A,"新豐7線",'0908 4度C'!$B:$B,"平均")</f>
        <v>112.14815926370555</v>
      </c>
      <c r="H14" s="67">
        <f>SUMIFS('0908 4度C'!$N:$N,'0908 4度C'!$A:$A,"新豐3線",'0908 4度C'!$B:$B,"平均")</f>
        <v>283.77023849784297</v>
      </c>
      <c r="I14" s="67">
        <f>SUMIFS('0908 4度C'!$N:$N,'0908 4度C'!$A:$A,"新豐1線",'0908 4度C'!$B:$B,"平均")</f>
        <v>110.45963568748978</v>
      </c>
      <c r="J14" s="68">
        <f>SUMIFS('0908 4度C'!$N:$N,'0908 4度C'!$A:$A,"新豐10線",'0908 4度C'!$B:$B,"平均")</f>
        <v>207.55485548367426</v>
      </c>
      <c r="K14" s="69">
        <f>SUMIFS('0908 4度C'!$N:$N,'0908 4度C'!$A:$A,"新豐8線",'0908 4度C'!$B:$B,"平均")</f>
        <v>126.3046466506611</v>
      </c>
      <c r="L14" s="70">
        <f>SUMIFS('0908 4度C'!$N:$N,'0908 4度C'!$A:$A,"新豐9線",'0908 4度C'!$B:$B,"平均")</f>
        <v>123.23365013673251</v>
      </c>
      <c r="M14" s="68">
        <f>SUMIFS('0908 4度C'!$N:$N,'0908 4度C'!$A:$A,"新豐4線",'0908 4度C'!$B:$B,"平均")</f>
        <v>138.22299659994022</v>
      </c>
    </row>
    <row r="15" spans="2:17" ht="40.15" customHeight="1">
      <c r="B15" s="515"/>
      <c r="C15" s="71" t="s">
        <v>603</v>
      </c>
      <c r="D15" s="72">
        <f t="shared" ref="D15:M15" si="0">D14/D13</f>
        <v>0.94483892374517353</v>
      </c>
      <c r="E15" s="73">
        <f t="shared" si="0"/>
        <v>0.93882875336997296</v>
      </c>
      <c r="F15" s="73">
        <f t="shared" si="0"/>
        <v>0.93828351912193475</v>
      </c>
      <c r="G15" s="73">
        <f t="shared" si="0"/>
        <v>0.95325935374149728</v>
      </c>
      <c r="H15" s="73">
        <f t="shared" si="0"/>
        <v>0.94590079499280988</v>
      </c>
      <c r="I15" s="73">
        <f t="shared" si="0"/>
        <v>0.9509133854836076</v>
      </c>
      <c r="J15" s="74">
        <f t="shared" si="0"/>
        <v>0.94723021294562748</v>
      </c>
      <c r="K15" s="72">
        <f t="shared" si="0"/>
        <v>0.93976671615075213</v>
      </c>
      <c r="L15" s="73">
        <f t="shared" si="0"/>
        <v>0.94136816076670671</v>
      </c>
      <c r="M15" s="74">
        <f t="shared" si="0"/>
        <v>0.94068428241625968</v>
      </c>
    </row>
    <row r="16" spans="2:17" ht="17.25" customHeight="1">
      <c r="B16" s="502" t="s">
        <v>602</v>
      </c>
      <c r="C16" s="180" t="s">
        <v>601</v>
      </c>
      <c r="D16" s="76">
        <f>VLOOKUP("新豐6線",'0908 4度C'!$A:$T,19,0)</f>
        <v>0.70833333333333337</v>
      </c>
      <c r="E16" s="28">
        <f>VLOOKUP("新豐2線",'0908 4度C'!$A:$T,19,0)</f>
        <v>8.3333333333333329E-2</v>
      </c>
      <c r="F16" s="28">
        <f>VLOOKUP("新豐5線",'0908 4度C'!$A:$T,19,0)</f>
        <v>0.20833333333333334</v>
      </c>
      <c r="G16" s="28">
        <f>VLOOKUP("新豐7線",'0908 4度C'!$A:$T,19,0)</f>
        <v>0.20833333333333334</v>
      </c>
      <c r="H16" s="28">
        <f>VLOOKUP("新豐3線",'0908 4度C'!$A:$T,19,0)</f>
        <v>8.3333333333333329E-2</v>
      </c>
      <c r="I16" s="28">
        <f>VLOOKUP("新豐1線",'0908 4度C'!$A:$T,19,0)</f>
        <v>0.25</v>
      </c>
      <c r="J16" s="77">
        <f>VLOOKUP("新豐10線",'0908 4度C'!$A:$T,19,0)</f>
        <v>0.125</v>
      </c>
      <c r="K16" s="78">
        <f>VLOOKUP("新豐8線",'0908 4度C'!$A:$T,19,0)</f>
        <v>8.3333333333333329E-2</v>
      </c>
      <c r="L16" s="79">
        <f>VLOOKUP("新豐9線",'0908 4度C'!$A:$T,19,0)</f>
        <v>8.3333333333333329E-2</v>
      </c>
      <c r="M16" s="80">
        <f>VLOOKUP("新豐4線",'0908 4度C'!$A:$T,19,0)</f>
        <v>8.3333333333333329E-2</v>
      </c>
    </row>
    <row r="17" spans="2:13" ht="17.25" customHeight="1">
      <c r="B17" s="503"/>
      <c r="C17" s="180" t="s">
        <v>600</v>
      </c>
      <c r="D17" s="78">
        <f>LOOKUP(2,1/(('0908 4度C'!$A:$A="新豐6線")*('0908 4度C'!$T:$T&lt;&gt;"")),'0908 4度C'!$T:$T)</f>
        <v>0.83819444444444446</v>
      </c>
      <c r="E17" s="28">
        <f>LOOKUP(2,1/(('0908 4度C'!$A:$A="新豐2線")*('0908 4度C'!$T:$T&lt;&gt;"")),'0908 4度C'!$T:$T)</f>
        <v>0.62013888888888891</v>
      </c>
      <c r="F17" s="28">
        <f>LOOKUP(2,1/(('0908 4度C'!$A:$A="新豐5線")*('0908 4度C'!$T:$T&lt;&gt;"")),'0908 4度C'!$T:$T)</f>
        <v>0.8569444444444444</v>
      </c>
      <c r="G17" s="28">
        <f>LOOKUP(2,1/(('0908 4度C'!$A:$A="新豐7線")*('0908 4度C'!$T:$T&lt;&gt;"")),'0908 4度C'!$T:$T)</f>
        <v>0.8041666666666667</v>
      </c>
      <c r="H17" s="28">
        <f>LOOKUP(2,1/(('0908 4度C'!$A:$A="新豐3線")*('0908 4度C'!$T:$T&lt;&gt;"")),'0908 4度C'!$T:$T)</f>
        <v>0.50763888888888875</v>
      </c>
      <c r="I17" s="28">
        <f>LOOKUP(2,1/(('0908 4度C'!$A:$A="新豐1線")*('0908 4度C'!$T:$T&lt;&gt;"")),'0908 4度C'!$T:$T)</f>
        <v>0.8520833333333333</v>
      </c>
      <c r="J17" s="77">
        <f>LOOKUP(2,1/(('0908 4度C'!$A:$A="新豐10線")*('0908 4度C'!$T:$T&lt;&gt;"")),'0908 4度C'!$T:$T)</f>
        <v>0.43611111111111112</v>
      </c>
      <c r="K17" s="76">
        <f>LOOKUP(2,1/(('0908 4度C'!$A:$A="新豐8線")*('0908 4度C'!$T:$T&lt;&gt;"")),'0908 4度C'!$T:$T)</f>
        <v>0.68888888888888877</v>
      </c>
      <c r="L17" s="28">
        <f>LOOKUP(2,1/(('0908 4度C'!$A:$A="新豐9線")*('0908 4度C'!$T:$T&lt;&gt;"")),'0908 4度C'!$T:$T)</f>
        <v>0.72013888888888877</v>
      </c>
      <c r="M17" s="77">
        <f>LOOKUP(2,1/(('0908 4度C'!$A:$A="新豐4線")*('0908 4度C'!$T:$T&lt;&gt;"")),'0908 4度C'!$T:$T)</f>
        <v>0.64930555555555547</v>
      </c>
    </row>
    <row r="18" spans="2:13" ht="17.25" customHeight="1">
      <c r="B18" s="503" t="s">
        <v>599</v>
      </c>
      <c r="C18" s="514"/>
      <c r="D18" s="81">
        <f>SUMIFS('0908 4度C'!$I:$I,'0908 4度C'!$A:$A,"新豐6線",'0908 4度C'!$B:$B,"平均")</f>
        <v>17</v>
      </c>
      <c r="E18" s="82">
        <f>SUMIFS('0908 4度C'!$I:$I,'0908 4度C'!$A:$A,"新豐2線",'0908 4度C'!$B:$B,"平均")</f>
        <v>18</v>
      </c>
      <c r="F18" s="82">
        <f>SUMIFS('0908 4度C'!$I:$I,'0908 4度C'!$A:$A,"新豐5線",'0908 4度C'!$B:$B,"平均")</f>
        <v>20</v>
      </c>
      <c r="G18" s="82">
        <f>SUMIFS('0908 4度C'!$I:$I,'0908 4度C'!$A:$A,"新豐7線",'0908 4度C'!$B:$B,"平均")</f>
        <v>17</v>
      </c>
      <c r="H18" s="82">
        <f>SUMIFS('0908 4度C'!$I:$I,'0908 4度C'!$A:$A,"新豐3線",'0908 4度C'!$B:$B,"平均")</f>
        <v>10</v>
      </c>
      <c r="I18" s="82">
        <f>SUMIFS('0908 4度C'!$I:$I,'0908 4度C'!$A:$A,"新豐1線",'0908 4度C'!$B:$B,"平均")</f>
        <v>16.5</v>
      </c>
      <c r="J18" s="83">
        <f>SUMIFS('0908 4度C'!$I:$I,'0908 4度C'!$A:$A,"新豐10線",'0908 4度C'!$B:$B,"平均")</f>
        <v>11.333333333333334</v>
      </c>
      <c r="K18" s="81">
        <f>SUMIFS('0908 4度C'!$I:$I,'0908 4度C'!$A:$A,"新豐8線",'0908 4度C'!$B:$B,"平均")</f>
        <v>17.857142857142858</v>
      </c>
      <c r="L18" s="82">
        <f>SUMIFS('0908 4度C'!$I:$I,'0908 4度C'!$A:$A,"新豐9線",'0908 4度C'!$B:$B,"平均")</f>
        <v>18.333333333333332</v>
      </c>
      <c r="M18" s="83">
        <f>SUMIFS('0908 4度C'!$I:$I,'0908 4度C'!$A:$A,"新豐4線",'0908 4度C'!$B:$B,"平均")</f>
        <v>16.333333333333332</v>
      </c>
    </row>
    <row r="19" spans="2:13" ht="17.25" customHeight="1">
      <c r="B19" s="510" t="s">
        <v>598</v>
      </c>
      <c r="C19" s="511"/>
      <c r="D19" s="84" t="s">
        <v>148</v>
      </c>
      <c r="E19" s="85" t="s">
        <v>149</v>
      </c>
      <c r="F19" s="85" t="s">
        <v>597</v>
      </c>
      <c r="G19" s="85" t="s">
        <v>597</v>
      </c>
      <c r="H19" s="85" t="s">
        <v>151</v>
      </c>
      <c r="I19" s="85" t="s">
        <v>148</v>
      </c>
      <c r="J19" s="86" t="s">
        <v>151</v>
      </c>
      <c r="K19" s="84" t="s">
        <v>596</v>
      </c>
      <c r="L19" s="85" t="s">
        <v>595</v>
      </c>
      <c r="M19" s="86" t="s">
        <v>152</v>
      </c>
    </row>
    <row r="20" spans="2:13" ht="17.25" customHeight="1">
      <c r="B20" s="510" t="s">
        <v>594</v>
      </c>
      <c r="C20" s="511"/>
      <c r="D20" s="84"/>
      <c r="E20" s="85"/>
      <c r="F20" s="85" t="s">
        <v>593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592</v>
      </c>
      <c r="C21" s="513"/>
      <c r="D21" s="87"/>
      <c r="E21" s="88" t="s">
        <v>591</v>
      </c>
      <c r="F21" s="387" t="s">
        <v>590</v>
      </c>
      <c r="G21" s="388"/>
      <c r="H21" s="88" t="s">
        <v>588</v>
      </c>
      <c r="I21" s="88" t="s">
        <v>589</v>
      </c>
      <c r="J21" s="89" t="s">
        <v>588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1:C21"/>
    <mergeCell ref="F21:G21"/>
    <mergeCell ref="D10:J10"/>
    <mergeCell ref="K10:M10"/>
    <mergeCell ref="B11:C12"/>
    <mergeCell ref="B13:B15"/>
    <mergeCell ref="B18:C18"/>
    <mergeCell ref="B19:C19"/>
    <mergeCell ref="B16:B17"/>
    <mergeCell ref="B10:C10"/>
    <mergeCell ref="C6:D6"/>
    <mergeCell ref="E6:F6"/>
    <mergeCell ref="G6:H6"/>
    <mergeCell ref="I6:J6"/>
    <mergeCell ref="B20:C20"/>
    <mergeCell ref="G8:H8"/>
    <mergeCell ref="I8:J8"/>
    <mergeCell ref="I7:J7"/>
    <mergeCell ref="C8:D8"/>
    <mergeCell ref="E8:F8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C7:D7"/>
    <mergeCell ref="E7:F7"/>
    <mergeCell ref="G7:H7"/>
  </mergeCells>
  <phoneticPr fontId="3" type="noConversion"/>
  <conditionalFormatting sqref="D15:M15">
    <cfRule type="cellIs" dxfId="39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pageSetUpPr fitToPage="1"/>
  </sheetPr>
  <dimension ref="A1:AC72"/>
  <sheetViews>
    <sheetView zoomScale="80" zoomScaleNormal="80" workbookViewId="0">
      <pane ySplit="4" topLeftCell="A53" activePane="bottomLeft" state="frozen"/>
      <selection activeCell="AO33" activeCellId="2" sqref="AO26 AO28:AO31 AO33:AO35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667</v>
      </c>
      <c r="B1" s="1"/>
      <c r="C1" s="2" t="s">
        <v>666</v>
      </c>
      <c r="D1" s="3">
        <f>SUM(F5:F71)</f>
        <v>183915</v>
      </c>
      <c r="E1" s="183" t="s">
        <v>665</v>
      </c>
      <c r="F1" s="1">
        <f>SUM(G5:G71)</f>
        <v>6172069.0000000019</v>
      </c>
      <c r="G1" s="1" t="s">
        <v>664</v>
      </c>
      <c r="H1" s="106">
        <f>L8+L13+L50+L57+L18+L64+L32+L42+L24+L71</f>
        <v>162.35714285714286</v>
      </c>
      <c r="I1" s="482" t="s">
        <v>663</v>
      </c>
      <c r="J1" s="482"/>
      <c r="K1" s="482"/>
      <c r="L1" s="482" t="s">
        <v>662</v>
      </c>
      <c r="M1" s="482"/>
      <c r="N1" s="482"/>
      <c r="O1" s="482" t="s">
        <v>661</v>
      </c>
      <c r="P1" s="482"/>
      <c r="Q1" s="482"/>
      <c r="R1" s="482"/>
      <c r="S1" s="482" t="s">
        <v>660</v>
      </c>
      <c r="T1" s="482"/>
      <c r="U1" s="482"/>
      <c r="V1" s="482"/>
      <c r="W1" s="482"/>
      <c r="X1" s="482"/>
      <c r="Y1" s="482" t="s">
        <v>659</v>
      </c>
      <c r="Z1" s="482"/>
      <c r="AA1" s="482" t="s">
        <v>658</v>
      </c>
      <c r="AB1" s="483"/>
      <c r="AC1" s="483"/>
    </row>
    <row r="2" spans="1:29" ht="26.25" customHeight="1">
      <c r="A2" s="24">
        <v>45908</v>
      </c>
      <c r="B2" s="25" t="s">
        <v>52</v>
      </c>
      <c r="C2" s="2" t="s">
        <v>648</v>
      </c>
      <c r="D2" s="6">
        <f>AVERAGE(N8,N13,N50,N57,N18,N64,N24,N32,N42,N71)</f>
        <v>137.3187240131322</v>
      </c>
      <c r="E2" s="7" t="s">
        <v>11</v>
      </c>
      <c r="F2" s="8">
        <f>F1/D1</f>
        <v>33.559356224342778</v>
      </c>
      <c r="G2" s="1" t="s">
        <v>657</v>
      </c>
      <c r="H2" s="344">
        <f>COUNT(H5:H77)</f>
        <v>7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656</v>
      </c>
      <c r="B3" s="443" t="s">
        <v>655</v>
      </c>
      <c r="C3" s="443" t="s">
        <v>654</v>
      </c>
      <c r="D3" s="443"/>
      <c r="E3" s="484" t="s">
        <v>653</v>
      </c>
      <c r="F3" s="443" t="s">
        <v>652</v>
      </c>
      <c r="G3" s="484" t="s">
        <v>651</v>
      </c>
      <c r="H3" s="487" t="s">
        <v>650</v>
      </c>
      <c r="I3" s="474" t="s">
        <v>649</v>
      </c>
      <c r="J3" s="479" t="s">
        <v>640</v>
      </c>
      <c r="K3" s="481" t="s">
        <v>648</v>
      </c>
      <c r="L3" s="474" t="s">
        <v>647</v>
      </c>
      <c r="M3" s="479" t="s">
        <v>640</v>
      </c>
      <c r="N3" s="481" t="s">
        <v>646</v>
      </c>
      <c r="O3" s="474" t="s">
        <v>647</v>
      </c>
      <c r="P3" s="481" t="s">
        <v>646</v>
      </c>
      <c r="Q3" s="480" t="s">
        <v>645</v>
      </c>
      <c r="R3" s="451" t="s">
        <v>644</v>
      </c>
      <c r="S3" s="486" t="s">
        <v>25</v>
      </c>
      <c r="T3" s="486"/>
      <c r="U3" s="476" t="s">
        <v>26</v>
      </c>
      <c r="V3" s="476" t="s">
        <v>643</v>
      </c>
      <c r="W3" s="443" t="s">
        <v>642</v>
      </c>
      <c r="X3" s="443"/>
      <c r="Y3" s="477" t="s">
        <v>641</v>
      </c>
      <c r="Z3" s="478"/>
      <c r="AA3" s="479" t="s">
        <v>640</v>
      </c>
      <c r="AB3" s="480" t="s">
        <v>639</v>
      </c>
      <c r="AC3" s="451" t="s">
        <v>638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192" t="s">
        <v>31</v>
      </c>
      <c r="T4" s="192" t="s">
        <v>32</v>
      </c>
      <c r="U4" s="476"/>
      <c r="V4" s="476"/>
      <c r="W4" s="183" t="s">
        <v>637</v>
      </c>
      <c r="X4" s="183" t="s">
        <v>636</v>
      </c>
      <c r="Y4" s="478"/>
      <c r="Z4" s="478"/>
      <c r="AA4" s="479"/>
      <c r="AB4" s="480"/>
      <c r="AC4" s="451"/>
    </row>
    <row r="5" spans="1:29">
      <c r="A5" s="473" t="s">
        <v>634</v>
      </c>
      <c r="B5" s="31" t="s">
        <v>58</v>
      </c>
      <c r="C5" s="475" t="s">
        <v>104</v>
      </c>
      <c r="D5" s="475"/>
      <c r="E5" s="31">
        <v>46.93</v>
      </c>
      <c r="F5" s="192">
        <v>1100</v>
      </c>
      <c r="G5" s="183">
        <f>E5*F5</f>
        <v>51623</v>
      </c>
      <c r="H5" s="193" t="s">
        <v>103</v>
      </c>
      <c r="I5" s="190">
        <v>17</v>
      </c>
      <c r="J5" s="26">
        <v>2000</v>
      </c>
      <c r="K5" s="10">
        <f t="shared" ref="K5:K36" si="0">J5/I5</f>
        <v>117.64705882352941</v>
      </c>
      <c r="L5" s="190">
        <v>17</v>
      </c>
      <c r="M5" s="11">
        <f>F5/V5*60</f>
        <v>1885.7142857142837</v>
      </c>
      <c r="N5" s="10">
        <f t="shared" ref="N5:N36" si="1">M5/L5</f>
        <v>110.92436974789905</v>
      </c>
      <c r="O5" s="12">
        <f t="shared" ref="O5:O36" si="2">L5-I5</f>
        <v>0</v>
      </c>
      <c r="P5" s="13">
        <f t="shared" ref="P5:P36" si="3">N5-K5</f>
        <v>-6.7226890756303561</v>
      </c>
      <c r="Q5" s="182">
        <f t="shared" ref="Q5:Q36" si="4">N5/K5</f>
        <v>0.94285714285714195</v>
      </c>
      <c r="R5" s="442">
        <f>Q8</f>
        <v>0.94483892374517353</v>
      </c>
      <c r="S5" s="28">
        <v>0.70833333333333337</v>
      </c>
      <c r="T5" s="28">
        <v>0.73263888888888895</v>
      </c>
      <c r="U5" s="183"/>
      <c r="V5" s="191">
        <f>(T5-S5)*24*60</f>
        <v>35.000000000000036</v>
      </c>
      <c r="W5" s="16"/>
      <c r="X5" s="17"/>
      <c r="Y5" s="443"/>
      <c r="Z5" s="443"/>
      <c r="AA5" s="12">
        <f t="shared" ref="AA5:AA36" si="5">M5-J5</f>
        <v>-114.28571428571627</v>
      </c>
      <c r="AB5" s="182">
        <f t="shared" ref="AB5:AB36" si="6">M5/J5</f>
        <v>0.94285714285714184</v>
      </c>
      <c r="AC5" s="442">
        <f>AB8</f>
        <v>0.94483892374517342</v>
      </c>
    </row>
    <row r="6" spans="1:29">
      <c r="A6" s="474" t="s">
        <v>634</v>
      </c>
      <c r="B6" s="31" t="s">
        <v>58</v>
      </c>
      <c r="C6" s="475" t="s">
        <v>105</v>
      </c>
      <c r="D6" s="475"/>
      <c r="E6" s="31">
        <v>50.49</v>
      </c>
      <c r="F6" s="192">
        <v>2327</v>
      </c>
      <c r="G6" s="183">
        <f>E6*F6</f>
        <v>117490.23000000001</v>
      </c>
      <c r="H6" s="193" t="s">
        <v>103</v>
      </c>
      <c r="I6" s="190">
        <v>16</v>
      </c>
      <c r="J6" s="26">
        <v>2000</v>
      </c>
      <c r="K6" s="10">
        <f t="shared" si="0"/>
        <v>125</v>
      </c>
      <c r="L6" s="190">
        <v>16</v>
      </c>
      <c r="M6" s="11">
        <f>F6/V6*60</f>
        <v>1886.7567567567553</v>
      </c>
      <c r="N6" s="10">
        <f t="shared" si="1"/>
        <v>117.92229729729721</v>
      </c>
      <c r="O6" s="12">
        <f t="shared" si="2"/>
        <v>0</v>
      </c>
      <c r="P6" s="13">
        <f t="shared" si="3"/>
        <v>-7.0777027027027941</v>
      </c>
      <c r="Q6" s="182">
        <f t="shared" si="4"/>
        <v>0.94337837837837768</v>
      </c>
      <c r="R6" s="442"/>
      <c r="S6" s="28">
        <v>0.7368055555555556</v>
      </c>
      <c r="T6" s="28">
        <v>0.78819444444444453</v>
      </c>
      <c r="U6" s="183">
        <f>(S6-T5)*24*60</f>
        <v>5.9999999999999787</v>
      </c>
      <c r="V6" s="191">
        <f>(T6-S6)*24*60</f>
        <v>74.000000000000057</v>
      </c>
      <c r="W6" s="16"/>
      <c r="X6" s="16"/>
      <c r="Y6" s="443"/>
      <c r="Z6" s="443"/>
      <c r="AA6" s="12">
        <f t="shared" si="5"/>
        <v>-113.24324324324471</v>
      </c>
      <c r="AB6" s="182">
        <f t="shared" si="6"/>
        <v>0.94337837837837768</v>
      </c>
      <c r="AC6" s="442"/>
    </row>
    <row r="7" spans="1:29">
      <c r="A7" s="474" t="s">
        <v>635</v>
      </c>
      <c r="B7" s="31" t="s">
        <v>58</v>
      </c>
      <c r="C7" s="471" t="s">
        <v>106</v>
      </c>
      <c r="D7" s="472"/>
      <c r="E7" s="31">
        <v>50.67</v>
      </c>
      <c r="F7" s="192">
        <v>2023</v>
      </c>
      <c r="G7" s="183">
        <f>E7*F7</f>
        <v>102505.41</v>
      </c>
      <c r="H7" s="193" t="s">
        <v>103</v>
      </c>
      <c r="I7" s="190">
        <v>18</v>
      </c>
      <c r="J7" s="26">
        <v>2000</v>
      </c>
      <c r="K7" s="10">
        <f t="shared" si="0"/>
        <v>111.11111111111111</v>
      </c>
      <c r="L7" s="190">
        <v>18</v>
      </c>
      <c r="M7" s="11">
        <f>F7/V7*60</f>
        <v>1896.562500000002</v>
      </c>
      <c r="N7" s="10">
        <f t="shared" si="1"/>
        <v>105.36458333333344</v>
      </c>
      <c r="O7" s="12">
        <f t="shared" si="2"/>
        <v>0</v>
      </c>
      <c r="P7" s="13">
        <f t="shared" si="3"/>
        <v>-5.746527777777672</v>
      </c>
      <c r="Q7" s="182">
        <f t="shared" si="4"/>
        <v>0.94828125000000096</v>
      </c>
      <c r="R7" s="442"/>
      <c r="S7" s="28">
        <v>0.79375000000000007</v>
      </c>
      <c r="T7" s="28">
        <v>0.83819444444444446</v>
      </c>
      <c r="U7" s="183">
        <f>(S7-T6)*24*60</f>
        <v>7.9999999999999716</v>
      </c>
      <c r="V7" s="191">
        <f>(T7-S7)*24*60</f>
        <v>63.999999999999929</v>
      </c>
      <c r="W7" s="16"/>
      <c r="X7" s="16"/>
      <c r="Y7" s="447"/>
      <c r="Z7" s="448"/>
      <c r="AA7" s="12">
        <f t="shared" si="5"/>
        <v>-103.43749999999795</v>
      </c>
      <c r="AB7" s="182">
        <f t="shared" si="6"/>
        <v>0.94828125000000107</v>
      </c>
      <c r="AC7" s="442"/>
    </row>
    <row r="8" spans="1:29">
      <c r="A8" s="474" t="s">
        <v>634</v>
      </c>
      <c r="B8" s="31" t="s">
        <v>623</v>
      </c>
      <c r="C8" s="446"/>
      <c r="D8" s="446"/>
      <c r="E8" s="188"/>
      <c r="F8" s="33"/>
      <c r="G8" s="10"/>
      <c r="H8" s="192"/>
      <c r="I8" s="19">
        <v>17</v>
      </c>
      <c r="J8" s="26">
        <v>2000</v>
      </c>
      <c r="K8" s="10">
        <f t="shared" si="0"/>
        <v>117.64705882352941</v>
      </c>
      <c r="L8" s="19">
        <v>17</v>
      </c>
      <c r="M8" s="11">
        <f>AVERAGE(M5:M7)</f>
        <v>1889.6778474903469</v>
      </c>
      <c r="N8" s="10">
        <f t="shared" si="1"/>
        <v>111.15752044060865</v>
      </c>
      <c r="O8" s="12">
        <f t="shared" si="2"/>
        <v>0</v>
      </c>
      <c r="P8" s="13">
        <f t="shared" si="3"/>
        <v>-6.489538382920756</v>
      </c>
      <c r="Q8" s="182">
        <f t="shared" si="4"/>
        <v>0.94483892374517353</v>
      </c>
      <c r="R8" s="442"/>
      <c r="S8" s="28"/>
      <c r="T8" s="28"/>
      <c r="U8" s="183"/>
      <c r="V8" s="191"/>
      <c r="W8" s="10"/>
      <c r="X8" s="10"/>
      <c r="Y8" s="443"/>
      <c r="Z8" s="443"/>
      <c r="AA8" s="12">
        <f t="shared" si="5"/>
        <v>-110.32215250965305</v>
      </c>
      <c r="AB8" s="182">
        <f t="shared" si="6"/>
        <v>0.94483892374517342</v>
      </c>
      <c r="AC8" s="442"/>
    </row>
    <row r="9" spans="1:29" ht="15.75" customHeight="1">
      <c r="A9" s="439" t="s">
        <v>633</v>
      </c>
      <c r="B9" s="31" t="s">
        <v>53</v>
      </c>
      <c r="C9" s="471" t="s">
        <v>107</v>
      </c>
      <c r="D9" s="472"/>
      <c r="E9" s="31">
        <v>39.619999999999997</v>
      </c>
      <c r="F9" s="192">
        <v>5044</v>
      </c>
      <c r="G9" s="183">
        <f>E9*F9</f>
        <v>199843.28</v>
      </c>
      <c r="H9" s="193" t="s">
        <v>103</v>
      </c>
      <c r="I9" s="190">
        <v>19</v>
      </c>
      <c r="J9" s="26">
        <v>1500</v>
      </c>
      <c r="K9" s="10">
        <f t="shared" si="0"/>
        <v>78.94736842105263</v>
      </c>
      <c r="L9" s="190">
        <v>19</v>
      </c>
      <c r="M9" s="11">
        <f>F9/V9*60</f>
        <v>1407.627906976744</v>
      </c>
      <c r="N9" s="10">
        <f t="shared" si="1"/>
        <v>74.085679314565482</v>
      </c>
      <c r="O9" s="12">
        <f t="shared" si="2"/>
        <v>0</v>
      </c>
      <c r="P9" s="13">
        <f t="shared" si="3"/>
        <v>-4.8616891064871481</v>
      </c>
      <c r="Q9" s="182">
        <f t="shared" si="4"/>
        <v>0.93841860465116278</v>
      </c>
      <c r="R9" s="442">
        <f>Q13</f>
        <v>0.93882875336997296</v>
      </c>
      <c r="S9" s="28">
        <v>8.3333333333333329E-2</v>
      </c>
      <c r="T9" s="28">
        <v>0.2326388888888889</v>
      </c>
      <c r="U9" s="183"/>
      <c r="V9" s="191">
        <f>(T9-S9)*24*60</f>
        <v>215.00000000000003</v>
      </c>
      <c r="W9" s="16">
        <f>T9</f>
        <v>0.2326388888888889</v>
      </c>
      <c r="X9" s="16">
        <f>S10</f>
        <v>0.25069444444444444</v>
      </c>
      <c r="Y9" s="443"/>
      <c r="Z9" s="443"/>
      <c r="AA9" s="12">
        <f t="shared" si="5"/>
        <v>-92.372093023255957</v>
      </c>
      <c r="AB9" s="182">
        <f t="shared" si="6"/>
        <v>0.93841860465116267</v>
      </c>
      <c r="AC9" s="442">
        <f>AB13</f>
        <v>0.93882875336997296</v>
      </c>
    </row>
    <row r="10" spans="1:29" ht="15.75" customHeight="1">
      <c r="A10" s="439" t="s">
        <v>633</v>
      </c>
      <c r="B10" s="31" t="s">
        <v>53</v>
      </c>
      <c r="C10" s="471" t="s">
        <v>54</v>
      </c>
      <c r="D10" s="472"/>
      <c r="E10" s="31">
        <v>39.799999999999997</v>
      </c>
      <c r="F10" s="192">
        <v>4000</v>
      </c>
      <c r="G10" s="183">
        <f>E10*F10</f>
        <v>159200</v>
      </c>
      <c r="H10" s="193">
        <v>2</v>
      </c>
      <c r="I10" s="190">
        <v>17</v>
      </c>
      <c r="J10" s="26">
        <v>1500</v>
      </c>
      <c r="K10" s="10">
        <f t="shared" si="0"/>
        <v>88.235294117647058</v>
      </c>
      <c r="L10" s="190">
        <v>17</v>
      </c>
      <c r="M10" s="11">
        <f>F10/V10*60</f>
        <v>1403.5087719298244</v>
      </c>
      <c r="N10" s="10">
        <f t="shared" si="1"/>
        <v>82.559339525283789</v>
      </c>
      <c r="O10" s="12">
        <f t="shared" si="2"/>
        <v>0</v>
      </c>
      <c r="P10" s="13">
        <f t="shared" si="3"/>
        <v>-5.6759545923632686</v>
      </c>
      <c r="Q10" s="182">
        <f t="shared" si="4"/>
        <v>0.93567251461988299</v>
      </c>
      <c r="R10" s="442"/>
      <c r="S10" s="28">
        <v>0.25069444444444444</v>
      </c>
      <c r="T10" s="28">
        <v>0.36944444444444446</v>
      </c>
      <c r="U10" s="183">
        <f>(S10-T9)*24*60</f>
        <v>25.999999999999986</v>
      </c>
      <c r="V10" s="191">
        <f>(T10-S10)*24*60</f>
        <v>171.00000000000003</v>
      </c>
      <c r="W10" s="16"/>
      <c r="X10" s="16"/>
      <c r="Y10" s="443"/>
      <c r="Z10" s="443"/>
      <c r="AA10" s="12">
        <f t="shared" si="5"/>
        <v>-96.491228070175566</v>
      </c>
      <c r="AB10" s="182">
        <f t="shared" si="6"/>
        <v>0.93567251461988299</v>
      </c>
      <c r="AC10" s="442"/>
    </row>
    <row r="11" spans="1:29" ht="15.75" customHeight="1">
      <c r="A11" s="439" t="s">
        <v>633</v>
      </c>
      <c r="B11" s="31" t="s">
        <v>53</v>
      </c>
      <c r="C11" s="471" t="s">
        <v>55</v>
      </c>
      <c r="D11" s="472"/>
      <c r="E11" s="31">
        <v>39.29</v>
      </c>
      <c r="F11" s="192">
        <v>3989</v>
      </c>
      <c r="G11" s="183">
        <f>E11*F11</f>
        <v>156727.81</v>
      </c>
      <c r="H11" s="193" t="s">
        <v>103</v>
      </c>
      <c r="I11" s="190">
        <v>19</v>
      </c>
      <c r="J11" s="26">
        <v>1500</v>
      </c>
      <c r="K11" s="10">
        <f t="shared" si="0"/>
        <v>78.94736842105263</v>
      </c>
      <c r="L11" s="190">
        <v>19</v>
      </c>
      <c r="M11" s="11">
        <f>F11/V11*60</f>
        <v>1407.8823529411764</v>
      </c>
      <c r="N11" s="10">
        <f t="shared" si="1"/>
        <v>74.099071207430327</v>
      </c>
      <c r="O11" s="12">
        <f t="shared" si="2"/>
        <v>0</v>
      </c>
      <c r="P11" s="13">
        <f t="shared" si="3"/>
        <v>-4.8482972136223026</v>
      </c>
      <c r="Q11" s="182">
        <f t="shared" si="4"/>
        <v>0.9385882352941175</v>
      </c>
      <c r="R11" s="442"/>
      <c r="S11" s="28">
        <v>0.37291666666666667</v>
      </c>
      <c r="T11" s="28">
        <v>0.49097222222222225</v>
      </c>
      <c r="U11" s="183">
        <f>(S11-T10)*24*60</f>
        <v>4.9999999999999822</v>
      </c>
      <c r="V11" s="191">
        <f>(T11-S11)*24*60</f>
        <v>170.00000000000003</v>
      </c>
      <c r="W11" s="16">
        <f>T11</f>
        <v>0.49097222222222225</v>
      </c>
      <c r="X11" s="16">
        <f>S12</f>
        <v>0.53055555555555556</v>
      </c>
      <c r="Y11" s="443"/>
      <c r="Z11" s="443"/>
      <c r="AA11" s="12">
        <f t="shared" si="5"/>
        <v>-92.11764705882365</v>
      </c>
      <c r="AB11" s="182">
        <f t="shared" si="6"/>
        <v>0.93858823529411761</v>
      </c>
      <c r="AC11" s="442"/>
    </row>
    <row r="12" spans="1:29" ht="15.75" customHeight="1">
      <c r="A12" s="439" t="s">
        <v>633</v>
      </c>
      <c r="B12" s="31" t="s">
        <v>53</v>
      </c>
      <c r="C12" s="471" t="s">
        <v>54</v>
      </c>
      <c r="D12" s="472"/>
      <c r="E12" s="31">
        <v>39.799999999999997</v>
      </c>
      <c r="F12" s="192">
        <v>3040</v>
      </c>
      <c r="G12" s="183">
        <f>E12*F12</f>
        <v>120991.99999999999</v>
      </c>
      <c r="H12" s="193" t="s">
        <v>103</v>
      </c>
      <c r="I12" s="190">
        <v>17</v>
      </c>
      <c r="J12" s="26">
        <v>1500</v>
      </c>
      <c r="K12" s="10">
        <f t="shared" si="0"/>
        <v>88.235294117647058</v>
      </c>
      <c r="L12" s="190">
        <v>17</v>
      </c>
      <c r="M12" s="11">
        <f>F12/V12*60</f>
        <v>1413.9534883720928</v>
      </c>
      <c r="N12" s="10">
        <f t="shared" si="1"/>
        <v>83.173734610123105</v>
      </c>
      <c r="O12" s="12">
        <f t="shared" si="2"/>
        <v>0</v>
      </c>
      <c r="P12" s="13">
        <f t="shared" si="3"/>
        <v>-5.0615595075239526</v>
      </c>
      <c r="Q12" s="182">
        <f t="shared" si="4"/>
        <v>0.94263565891472856</v>
      </c>
      <c r="R12" s="442"/>
      <c r="S12" s="28">
        <v>0.53055555555555556</v>
      </c>
      <c r="T12" s="28">
        <v>0.62013888888888891</v>
      </c>
      <c r="U12" s="183">
        <f>(S12-T11)*24*60</f>
        <v>56.999999999999957</v>
      </c>
      <c r="V12" s="191">
        <f>(T12-S12)*24*60</f>
        <v>129.00000000000003</v>
      </c>
      <c r="W12" s="16"/>
      <c r="X12" s="16"/>
      <c r="Y12" s="443"/>
      <c r="Z12" s="443"/>
      <c r="AA12" s="12">
        <f t="shared" si="5"/>
        <v>-86.046511627907194</v>
      </c>
      <c r="AB12" s="182">
        <f t="shared" si="6"/>
        <v>0.94263565891472856</v>
      </c>
      <c r="AC12" s="442"/>
    </row>
    <row r="13" spans="1:29" ht="16.5" customHeight="1">
      <c r="A13" s="439" t="s">
        <v>633</v>
      </c>
      <c r="B13" s="31" t="s">
        <v>623</v>
      </c>
      <c r="C13" s="446"/>
      <c r="D13" s="446"/>
      <c r="E13" s="188"/>
      <c r="F13" s="26"/>
      <c r="G13" s="11"/>
      <c r="H13" s="192"/>
      <c r="I13" s="19">
        <v>18</v>
      </c>
      <c r="J13" s="26">
        <v>1500</v>
      </c>
      <c r="K13" s="10">
        <f t="shared" si="0"/>
        <v>83.333333333333329</v>
      </c>
      <c r="L13" s="19">
        <v>18</v>
      </c>
      <c r="M13" s="11">
        <f>AVERAGE(M9:M12)</f>
        <v>1408.2431300549595</v>
      </c>
      <c r="N13" s="10">
        <f t="shared" si="1"/>
        <v>78.235729447497746</v>
      </c>
      <c r="O13" s="12">
        <f t="shared" si="2"/>
        <v>0</v>
      </c>
      <c r="P13" s="13">
        <f t="shared" si="3"/>
        <v>-5.0976038858355821</v>
      </c>
      <c r="Q13" s="182">
        <f t="shared" si="4"/>
        <v>0.93882875336997296</v>
      </c>
      <c r="R13" s="442"/>
      <c r="S13" s="28"/>
      <c r="T13" s="28"/>
      <c r="U13" s="10"/>
      <c r="V13" s="191"/>
      <c r="W13" s="10"/>
      <c r="X13" s="10"/>
      <c r="Y13" s="443"/>
      <c r="Z13" s="443"/>
      <c r="AA13" s="12">
        <f t="shared" si="5"/>
        <v>-91.756869945040535</v>
      </c>
      <c r="AB13" s="182">
        <f t="shared" si="6"/>
        <v>0.93882875336997296</v>
      </c>
      <c r="AC13" s="442"/>
    </row>
    <row r="14" spans="1:29" ht="16.5" customHeight="1">
      <c r="A14" s="469" t="s">
        <v>632</v>
      </c>
      <c r="B14" s="192" t="s">
        <v>56</v>
      </c>
      <c r="C14" s="464" t="s">
        <v>57</v>
      </c>
      <c r="D14" s="464"/>
      <c r="E14" s="31">
        <v>41</v>
      </c>
      <c r="F14" s="192">
        <v>2002</v>
      </c>
      <c r="G14" s="183">
        <f>E14*F14</f>
        <v>82082</v>
      </c>
      <c r="H14" s="193" t="s">
        <v>103</v>
      </c>
      <c r="I14" s="190">
        <v>26</v>
      </c>
      <c r="J14" s="26">
        <v>1500</v>
      </c>
      <c r="K14" s="10">
        <f t="shared" si="0"/>
        <v>57.692307692307693</v>
      </c>
      <c r="L14" s="190">
        <v>26</v>
      </c>
      <c r="M14" s="11">
        <f>F14/V14*60</f>
        <v>1413.1764705882358</v>
      </c>
      <c r="N14" s="10">
        <f t="shared" si="1"/>
        <v>54.352941176470608</v>
      </c>
      <c r="O14" s="12">
        <f t="shared" si="2"/>
        <v>0</v>
      </c>
      <c r="P14" s="13">
        <f t="shared" si="3"/>
        <v>-3.3393665158370851</v>
      </c>
      <c r="Q14" s="182">
        <f t="shared" si="4"/>
        <v>0.94211764705882384</v>
      </c>
      <c r="R14" s="442">
        <f>Q18</f>
        <v>0.93828351912193475</v>
      </c>
      <c r="S14" s="28">
        <v>0.20833333333333334</v>
      </c>
      <c r="T14" s="28">
        <v>0.2673611111111111</v>
      </c>
      <c r="U14" s="183"/>
      <c r="V14" s="191">
        <f>(T14-S14)*24*60</f>
        <v>84.999999999999972</v>
      </c>
      <c r="W14" s="18"/>
      <c r="X14" s="18"/>
      <c r="Y14" s="443"/>
      <c r="Z14" s="443"/>
      <c r="AA14" s="12">
        <f t="shared" si="5"/>
        <v>-86.823529411764184</v>
      </c>
      <c r="AB14" s="182">
        <f t="shared" si="6"/>
        <v>0.94211764705882384</v>
      </c>
      <c r="AC14" s="442">
        <f>AB18</f>
        <v>0.93828351912193475</v>
      </c>
    </row>
    <row r="15" spans="1:29" ht="16.5" customHeight="1">
      <c r="A15" s="470" t="s">
        <v>632</v>
      </c>
      <c r="B15" s="192" t="s">
        <v>53</v>
      </c>
      <c r="C15" s="464" t="s">
        <v>163</v>
      </c>
      <c r="D15" s="464"/>
      <c r="E15" s="31">
        <v>39.36</v>
      </c>
      <c r="F15" s="192">
        <v>4698</v>
      </c>
      <c r="G15" s="183">
        <f>E15*F15</f>
        <v>184913.28</v>
      </c>
      <c r="H15" s="193" t="s">
        <v>103</v>
      </c>
      <c r="I15" s="190">
        <v>21</v>
      </c>
      <c r="J15" s="26">
        <v>1500</v>
      </c>
      <c r="K15" s="10">
        <f t="shared" si="0"/>
        <v>71.428571428571431</v>
      </c>
      <c r="L15" s="190">
        <v>21</v>
      </c>
      <c r="M15" s="11">
        <f>F15/V15*60</f>
        <v>1409.3999999999999</v>
      </c>
      <c r="N15" s="10">
        <f t="shared" si="1"/>
        <v>67.114285714285714</v>
      </c>
      <c r="O15" s="12">
        <f t="shared" si="2"/>
        <v>0</v>
      </c>
      <c r="P15" s="13">
        <f t="shared" si="3"/>
        <v>-4.3142857142857167</v>
      </c>
      <c r="Q15" s="182">
        <f t="shared" si="4"/>
        <v>0.93959999999999999</v>
      </c>
      <c r="R15" s="442"/>
      <c r="S15" s="28">
        <v>0.27083333333333331</v>
      </c>
      <c r="T15" s="28">
        <v>0.40972222222222221</v>
      </c>
      <c r="U15" s="183">
        <f>IF(S15=TIME(17,0,0),"",(S15-T14)*24*60)</f>
        <v>4.9999999999999822</v>
      </c>
      <c r="V15" s="191">
        <f>(T15-S15)*24*60</f>
        <v>200</v>
      </c>
      <c r="W15" s="16"/>
      <c r="X15" s="16"/>
      <c r="Y15" s="443"/>
      <c r="Z15" s="443"/>
      <c r="AA15" s="12">
        <f t="shared" si="5"/>
        <v>-90.600000000000136</v>
      </c>
      <c r="AB15" s="182">
        <f t="shared" si="6"/>
        <v>0.93959999999999988</v>
      </c>
      <c r="AC15" s="442"/>
    </row>
    <row r="16" spans="1:29" ht="16.5" customHeight="1">
      <c r="A16" s="470" t="s">
        <v>632</v>
      </c>
      <c r="B16" s="192" t="s">
        <v>58</v>
      </c>
      <c r="C16" s="464" t="s">
        <v>59</v>
      </c>
      <c r="D16" s="464"/>
      <c r="E16" s="31">
        <v>50.98</v>
      </c>
      <c r="F16" s="192">
        <v>3055</v>
      </c>
      <c r="G16" s="183">
        <f>E16*F16</f>
        <v>155743.9</v>
      </c>
      <c r="H16" s="193" t="s">
        <v>103</v>
      </c>
      <c r="I16" s="190">
        <v>17</v>
      </c>
      <c r="J16" s="26">
        <v>2000</v>
      </c>
      <c r="K16" s="10">
        <f t="shared" si="0"/>
        <v>117.64705882352941</v>
      </c>
      <c r="L16" s="190">
        <v>17</v>
      </c>
      <c r="M16" s="11">
        <f>F16/V16*60</f>
        <v>1870.4081632653067</v>
      </c>
      <c r="N16" s="10">
        <f t="shared" si="1"/>
        <v>110.02400960384158</v>
      </c>
      <c r="O16" s="12">
        <f t="shared" si="2"/>
        <v>0</v>
      </c>
      <c r="P16" s="13">
        <f t="shared" si="3"/>
        <v>-7.6230492196878288</v>
      </c>
      <c r="Q16" s="182">
        <f t="shared" si="4"/>
        <v>0.93520408163265345</v>
      </c>
      <c r="R16" s="442"/>
      <c r="S16" s="28">
        <v>0.70833333333333337</v>
      </c>
      <c r="T16" s="28">
        <v>0.77638888888888891</v>
      </c>
      <c r="U16" s="183" t="str">
        <f>IF(S16=TIME(17,0,0),"",(S16-T15)*24*60)</f>
        <v/>
      </c>
      <c r="V16" s="191">
        <f>(T16-S16)*24*60</f>
        <v>97.999999999999972</v>
      </c>
      <c r="W16" s="16"/>
      <c r="X16" s="16"/>
      <c r="Y16" s="443"/>
      <c r="Z16" s="443"/>
      <c r="AA16" s="12">
        <f t="shared" si="5"/>
        <v>-129.59183673469329</v>
      </c>
      <c r="AB16" s="182">
        <f t="shared" si="6"/>
        <v>0.93520408163265334</v>
      </c>
      <c r="AC16" s="442"/>
    </row>
    <row r="17" spans="1:29" ht="16.5" customHeight="1">
      <c r="A17" s="470" t="s">
        <v>632</v>
      </c>
      <c r="B17" s="192" t="s">
        <v>58</v>
      </c>
      <c r="C17" s="464" t="s">
        <v>60</v>
      </c>
      <c r="D17" s="464"/>
      <c r="E17" s="31">
        <v>50.92</v>
      </c>
      <c r="F17" s="192">
        <v>3375</v>
      </c>
      <c r="G17" s="183">
        <f>E17*F17</f>
        <v>171855</v>
      </c>
      <c r="H17" s="193" t="s">
        <v>103</v>
      </c>
      <c r="I17" s="190">
        <v>16</v>
      </c>
      <c r="J17" s="26">
        <v>2000</v>
      </c>
      <c r="K17" s="10">
        <f t="shared" si="0"/>
        <v>125</v>
      </c>
      <c r="L17" s="190">
        <v>16</v>
      </c>
      <c r="M17" s="11">
        <f>F17/V17*60</f>
        <v>1875.0000000000011</v>
      </c>
      <c r="N17" s="10">
        <f t="shared" si="1"/>
        <v>117.18750000000007</v>
      </c>
      <c r="O17" s="12">
        <f t="shared" si="2"/>
        <v>0</v>
      </c>
      <c r="P17" s="13">
        <f t="shared" si="3"/>
        <v>-7.8124999999999289</v>
      </c>
      <c r="Q17" s="182">
        <f t="shared" si="4"/>
        <v>0.93750000000000056</v>
      </c>
      <c r="R17" s="442"/>
      <c r="S17" s="28">
        <v>0.78194444444444444</v>
      </c>
      <c r="T17" s="28">
        <v>0.8569444444444444</v>
      </c>
      <c r="U17" s="183">
        <f>IF(S17=TIME(17,0,0),"",(S17-T16)*24*60)</f>
        <v>7.9999999999999716</v>
      </c>
      <c r="V17" s="191">
        <f>(T17-S17)*24*60</f>
        <v>107.99999999999994</v>
      </c>
      <c r="W17" s="16"/>
      <c r="X17" s="16"/>
      <c r="Y17" s="443"/>
      <c r="Z17" s="443"/>
      <c r="AA17" s="12">
        <f t="shared" si="5"/>
        <v>-124.99999999999886</v>
      </c>
      <c r="AB17" s="182">
        <f t="shared" si="6"/>
        <v>0.93750000000000056</v>
      </c>
      <c r="AC17" s="442"/>
    </row>
    <row r="18" spans="1:29" ht="16.5" customHeight="1">
      <c r="A18" s="470" t="s">
        <v>632</v>
      </c>
      <c r="B18" s="31" t="s">
        <v>623</v>
      </c>
      <c r="C18" s="446"/>
      <c r="D18" s="446"/>
      <c r="E18" s="188"/>
      <c r="F18" s="33"/>
      <c r="G18" s="10"/>
      <c r="H18" s="192"/>
      <c r="I18" s="19">
        <v>20</v>
      </c>
      <c r="J18" s="26">
        <v>1750</v>
      </c>
      <c r="K18" s="10">
        <f t="shared" si="0"/>
        <v>87.5</v>
      </c>
      <c r="L18" s="19">
        <v>20</v>
      </c>
      <c r="M18" s="11">
        <f>AVERAGE(M14:M17)</f>
        <v>1641.9961584633859</v>
      </c>
      <c r="N18" s="10">
        <f t="shared" si="1"/>
        <v>82.099807923169294</v>
      </c>
      <c r="O18" s="12">
        <f t="shared" si="2"/>
        <v>0</v>
      </c>
      <c r="P18" s="13">
        <f t="shared" si="3"/>
        <v>-5.4001920768307059</v>
      </c>
      <c r="Q18" s="182">
        <f t="shared" si="4"/>
        <v>0.93828351912193475</v>
      </c>
      <c r="R18" s="442"/>
      <c r="S18" s="28"/>
      <c r="T18" s="28"/>
      <c r="U18" s="183"/>
      <c r="V18" s="191"/>
      <c r="W18" s="10"/>
      <c r="X18" s="10"/>
      <c r="Y18" s="443"/>
      <c r="Z18" s="443"/>
      <c r="AA18" s="12">
        <f t="shared" si="5"/>
        <v>-108.00384153661412</v>
      </c>
      <c r="AB18" s="182">
        <f t="shared" si="6"/>
        <v>0.93828351912193475</v>
      </c>
      <c r="AC18" s="442"/>
    </row>
    <row r="19" spans="1:29" ht="15.75" customHeight="1">
      <c r="A19" s="467" t="s">
        <v>631</v>
      </c>
      <c r="B19" s="31" t="s">
        <v>56</v>
      </c>
      <c r="C19" s="464" t="s">
        <v>61</v>
      </c>
      <c r="D19" s="464"/>
      <c r="E19" s="31">
        <v>43.14</v>
      </c>
      <c r="F19" s="192">
        <v>1527</v>
      </c>
      <c r="G19" s="183">
        <f>E19*F19</f>
        <v>65874.78</v>
      </c>
      <c r="H19" s="193" t="s">
        <v>103</v>
      </c>
      <c r="I19" s="190">
        <v>17</v>
      </c>
      <c r="J19" s="26">
        <v>2000</v>
      </c>
      <c r="K19" s="10">
        <f t="shared" si="0"/>
        <v>117.64705882352941</v>
      </c>
      <c r="L19" s="190">
        <v>17</v>
      </c>
      <c r="M19" s="11">
        <f>F19/V19*60</f>
        <v>1908.7500000000007</v>
      </c>
      <c r="N19" s="10">
        <f t="shared" si="1"/>
        <v>112.27941176470593</v>
      </c>
      <c r="O19" s="12">
        <f t="shared" si="2"/>
        <v>0</v>
      </c>
      <c r="P19" s="13">
        <f t="shared" si="3"/>
        <v>-5.3676470588234793</v>
      </c>
      <c r="Q19" s="182">
        <f t="shared" si="4"/>
        <v>0.95437500000000042</v>
      </c>
      <c r="R19" s="442">
        <f>Q24</f>
        <v>0.95325935374149728</v>
      </c>
      <c r="S19" s="28">
        <v>0.20833333333333334</v>
      </c>
      <c r="T19" s="28">
        <v>0.24166666666666667</v>
      </c>
      <c r="U19" s="183"/>
      <c r="V19" s="191">
        <f>(T19-S19)*24*60</f>
        <v>47.999999999999986</v>
      </c>
      <c r="W19" s="18"/>
      <c r="X19" s="18"/>
      <c r="Y19" s="443"/>
      <c r="Z19" s="443"/>
      <c r="AA19" s="12">
        <f t="shared" si="5"/>
        <v>-91.249999999999318</v>
      </c>
      <c r="AB19" s="182">
        <f t="shared" si="6"/>
        <v>0.95437500000000031</v>
      </c>
      <c r="AC19" s="442">
        <f>AB24</f>
        <v>0.95325935374149717</v>
      </c>
    </row>
    <row r="20" spans="1:29" ht="15.75" customHeight="1">
      <c r="A20" s="468" t="s">
        <v>631</v>
      </c>
      <c r="B20" s="31" t="s">
        <v>58</v>
      </c>
      <c r="C20" s="464" t="s">
        <v>62</v>
      </c>
      <c r="D20" s="464"/>
      <c r="E20" s="31">
        <v>57.73</v>
      </c>
      <c r="F20" s="192">
        <v>3068</v>
      </c>
      <c r="G20" s="183">
        <f>E20*F20</f>
        <v>177115.63999999998</v>
      </c>
      <c r="H20" s="193" t="s">
        <v>103</v>
      </c>
      <c r="I20" s="190">
        <v>16</v>
      </c>
      <c r="J20" s="26">
        <v>2000</v>
      </c>
      <c r="K20" s="10">
        <f t="shared" si="0"/>
        <v>125</v>
      </c>
      <c r="L20" s="190">
        <v>16</v>
      </c>
      <c r="M20" s="11">
        <f>F20/V20*60</f>
        <v>1878.3673469387761</v>
      </c>
      <c r="N20" s="10">
        <f t="shared" si="1"/>
        <v>117.39795918367351</v>
      </c>
      <c r="O20" s="12">
        <f t="shared" si="2"/>
        <v>0</v>
      </c>
      <c r="P20" s="13">
        <f t="shared" si="3"/>
        <v>-7.6020408163264932</v>
      </c>
      <c r="Q20" s="182">
        <f t="shared" si="4"/>
        <v>0.93918367346938803</v>
      </c>
      <c r="R20" s="442"/>
      <c r="S20" s="28">
        <v>0.24652777777777779</v>
      </c>
      <c r="T20" s="28">
        <v>0.31458333333333333</v>
      </c>
      <c r="U20" s="183">
        <f>IF(S20=TIME(17,0,0),"",(S20-T19)*24*60)</f>
        <v>7.0000000000000151</v>
      </c>
      <c r="V20" s="191">
        <f>(T20-S20)*24*60</f>
        <v>97.999999999999972</v>
      </c>
      <c r="W20" s="16"/>
      <c r="X20" s="183"/>
      <c r="Y20" s="443"/>
      <c r="Z20" s="443"/>
      <c r="AA20" s="12">
        <f t="shared" si="5"/>
        <v>-121.63265306122389</v>
      </c>
      <c r="AB20" s="182">
        <f t="shared" si="6"/>
        <v>0.93918367346938803</v>
      </c>
      <c r="AC20" s="442"/>
    </row>
    <row r="21" spans="1:29" ht="15.75" customHeight="1">
      <c r="A21" s="468" t="s">
        <v>631</v>
      </c>
      <c r="B21" s="31" t="s">
        <v>58</v>
      </c>
      <c r="C21" s="464" t="s">
        <v>63</v>
      </c>
      <c r="D21" s="464"/>
      <c r="E21" s="31">
        <v>53.68</v>
      </c>
      <c r="F21" s="192">
        <v>1992</v>
      </c>
      <c r="G21" s="183">
        <f>E21*F21</f>
        <v>106930.56</v>
      </c>
      <c r="H21" s="193" t="s">
        <v>103</v>
      </c>
      <c r="I21" s="190">
        <v>17</v>
      </c>
      <c r="J21" s="26">
        <v>2000</v>
      </c>
      <c r="K21" s="10">
        <f t="shared" si="0"/>
        <v>117.64705882352941</v>
      </c>
      <c r="L21" s="190">
        <v>17</v>
      </c>
      <c r="M21" s="11">
        <f>F21/V21*60</f>
        <v>1897.1428571428569</v>
      </c>
      <c r="N21" s="10">
        <f t="shared" si="1"/>
        <v>111.59663865546217</v>
      </c>
      <c r="O21" s="12">
        <f t="shared" si="2"/>
        <v>0</v>
      </c>
      <c r="P21" s="13">
        <f t="shared" si="3"/>
        <v>-6.0504201680672338</v>
      </c>
      <c r="Q21" s="182">
        <f t="shared" si="4"/>
        <v>0.94857142857142851</v>
      </c>
      <c r="R21" s="442"/>
      <c r="S21" s="28">
        <v>0.32013888888888886</v>
      </c>
      <c r="T21" s="28">
        <v>0.36388888888888887</v>
      </c>
      <c r="U21" s="183">
        <f>IF(S21=TIME(17,0,0),"",(S21-T20)*24*60)</f>
        <v>7.9999999999999716</v>
      </c>
      <c r="V21" s="191">
        <f>(T21-S21)*24*60</f>
        <v>63.000000000000014</v>
      </c>
      <c r="W21" s="16"/>
      <c r="X21" s="183"/>
      <c r="Y21" s="443"/>
      <c r="Z21" s="443"/>
      <c r="AA21" s="12">
        <f t="shared" si="5"/>
        <v>-102.85714285714312</v>
      </c>
      <c r="AB21" s="182">
        <f t="shared" si="6"/>
        <v>0.9485714285714284</v>
      </c>
      <c r="AC21" s="442"/>
    </row>
    <row r="22" spans="1:29" ht="15.75" customHeight="1">
      <c r="A22" s="468" t="s">
        <v>631</v>
      </c>
      <c r="B22" s="31" t="s">
        <v>58</v>
      </c>
      <c r="C22" s="464" t="s">
        <v>65</v>
      </c>
      <c r="D22" s="464"/>
      <c r="E22" s="31">
        <v>54.09</v>
      </c>
      <c r="F22" s="192">
        <v>3500</v>
      </c>
      <c r="G22" s="183">
        <f>E22*F22</f>
        <v>189315</v>
      </c>
      <c r="H22" s="193" t="s">
        <v>103</v>
      </c>
      <c r="I22" s="190">
        <v>20</v>
      </c>
      <c r="J22" s="26">
        <v>2000</v>
      </c>
      <c r="K22" s="10">
        <f t="shared" si="0"/>
        <v>100</v>
      </c>
      <c r="L22" s="190">
        <v>20</v>
      </c>
      <c r="M22" s="11">
        <f>F22/V22*60</f>
        <v>1874.9999999999984</v>
      </c>
      <c r="N22" s="10">
        <f t="shared" si="1"/>
        <v>93.749999999999915</v>
      </c>
      <c r="O22" s="12">
        <f t="shared" si="2"/>
        <v>0</v>
      </c>
      <c r="P22" s="13">
        <f t="shared" si="3"/>
        <v>-6.2500000000000853</v>
      </c>
      <c r="Q22" s="182">
        <f t="shared" si="4"/>
        <v>0.93749999999999911</v>
      </c>
      <c r="R22" s="442"/>
      <c r="S22" s="28">
        <v>0.70833333333333337</v>
      </c>
      <c r="T22" s="28">
        <v>0.7861111111111112</v>
      </c>
      <c r="U22" s="183" t="str">
        <f>IF(S22=TIME(17,0,0),"",(S22-T21)*24*60)</f>
        <v/>
      </c>
      <c r="V22" s="191">
        <f>(T22-S22)*24*60</f>
        <v>112.00000000000009</v>
      </c>
      <c r="W22" s="16"/>
      <c r="X22" s="183"/>
      <c r="Y22" s="443"/>
      <c r="Z22" s="443"/>
      <c r="AA22" s="12">
        <f t="shared" si="5"/>
        <v>-125.00000000000159</v>
      </c>
      <c r="AB22" s="182">
        <f t="shared" si="6"/>
        <v>0.93749999999999922</v>
      </c>
      <c r="AC22" s="442"/>
    </row>
    <row r="23" spans="1:29" ht="15.75" customHeight="1">
      <c r="A23" s="468" t="s">
        <v>41</v>
      </c>
      <c r="B23" s="31" t="s">
        <v>58</v>
      </c>
      <c r="C23" s="464" t="s">
        <v>66</v>
      </c>
      <c r="D23" s="464"/>
      <c r="E23" s="31">
        <v>53.27</v>
      </c>
      <c r="F23" s="192">
        <v>592</v>
      </c>
      <c r="G23" s="183">
        <f>E23*F23</f>
        <v>31535.84</v>
      </c>
      <c r="H23" s="193" t="s">
        <v>103</v>
      </c>
      <c r="I23" s="190">
        <v>15</v>
      </c>
      <c r="J23" s="26">
        <v>2000</v>
      </c>
      <c r="K23" s="10">
        <f t="shared" si="0"/>
        <v>133.33333333333334</v>
      </c>
      <c r="L23" s="190">
        <v>15</v>
      </c>
      <c r="M23" s="11">
        <f>F23/V23*60</f>
        <v>1973.3333333333403</v>
      </c>
      <c r="N23" s="10">
        <f t="shared" si="1"/>
        <v>131.55555555555603</v>
      </c>
      <c r="O23" s="12">
        <f t="shared" si="2"/>
        <v>0</v>
      </c>
      <c r="P23" s="13">
        <f t="shared" si="3"/>
        <v>-1.7777777777773167</v>
      </c>
      <c r="Q23" s="182">
        <f t="shared" si="4"/>
        <v>0.98666666666667013</v>
      </c>
      <c r="R23" s="442"/>
      <c r="S23" s="28">
        <v>0.79166666666666674</v>
      </c>
      <c r="T23" s="28">
        <v>0.8041666666666667</v>
      </c>
      <c r="U23" s="183">
        <f>IF(S23=TIME(17,0,0),"",(S23-T22)*24*60)</f>
        <v>7.9999999999999716</v>
      </c>
      <c r="V23" s="191">
        <f>(T23-S23)*24*60</f>
        <v>17.999999999999936</v>
      </c>
      <c r="W23" s="16"/>
      <c r="X23" s="183"/>
      <c r="Y23" s="443"/>
      <c r="Z23" s="443"/>
      <c r="AA23" s="12">
        <f t="shared" si="5"/>
        <v>-26.666666666659694</v>
      </c>
      <c r="AB23" s="182">
        <f t="shared" si="6"/>
        <v>0.98666666666667013</v>
      </c>
      <c r="AC23" s="442"/>
    </row>
    <row r="24" spans="1:29" ht="15.75" customHeight="1">
      <c r="A24" s="468" t="s">
        <v>631</v>
      </c>
      <c r="B24" s="31" t="s">
        <v>623</v>
      </c>
      <c r="C24" s="446"/>
      <c r="D24" s="446"/>
      <c r="E24" s="188"/>
      <c r="F24" s="192"/>
      <c r="G24" s="183"/>
      <c r="H24" s="192"/>
      <c r="I24" s="19">
        <v>17</v>
      </c>
      <c r="J24" s="26">
        <v>2000</v>
      </c>
      <c r="K24" s="10">
        <f t="shared" si="0"/>
        <v>117.64705882352941</v>
      </c>
      <c r="L24" s="19">
        <v>17</v>
      </c>
      <c r="M24" s="11">
        <f>AVERAGE(M19:M23)</f>
        <v>1906.5187074829944</v>
      </c>
      <c r="N24" s="10">
        <f t="shared" si="1"/>
        <v>112.14815926370555</v>
      </c>
      <c r="O24" s="12">
        <f t="shared" si="2"/>
        <v>0</v>
      </c>
      <c r="P24" s="13">
        <f t="shared" si="3"/>
        <v>-5.4988995598238546</v>
      </c>
      <c r="Q24" s="182">
        <f t="shared" si="4"/>
        <v>0.95325935374149728</v>
      </c>
      <c r="R24" s="442"/>
      <c r="S24" s="28"/>
      <c r="T24" s="28"/>
      <c r="U24" s="10"/>
      <c r="V24" s="191"/>
      <c r="W24" s="10"/>
      <c r="X24" s="10"/>
      <c r="Y24" s="443"/>
      <c r="Z24" s="443"/>
      <c r="AA24" s="12">
        <f t="shared" si="5"/>
        <v>-93.481292517005613</v>
      </c>
      <c r="AB24" s="182">
        <f t="shared" si="6"/>
        <v>0.95325935374149717</v>
      </c>
      <c r="AC24" s="442"/>
    </row>
    <row r="25" spans="1:29" ht="15.75" customHeight="1">
      <c r="A25" s="463" t="s">
        <v>630</v>
      </c>
      <c r="B25" s="31" t="s">
        <v>67</v>
      </c>
      <c r="C25" s="464" t="s">
        <v>68</v>
      </c>
      <c r="D25" s="464"/>
      <c r="E25" s="31">
        <v>26.2</v>
      </c>
      <c r="F25" s="192">
        <v>4763</v>
      </c>
      <c r="G25" s="183">
        <f t="shared" ref="G25:G31" si="7">E25*F25</f>
        <v>124790.59999999999</v>
      </c>
      <c r="H25" s="193" t="s">
        <v>103</v>
      </c>
      <c r="I25" s="190">
        <v>20</v>
      </c>
      <c r="J25" s="26">
        <v>2400</v>
      </c>
      <c r="K25" s="10">
        <f t="shared" si="0"/>
        <v>120</v>
      </c>
      <c r="L25" s="190">
        <v>20</v>
      </c>
      <c r="M25" s="11">
        <f t="shared" ref="M25:M31" si="8">F25/V25*60</f>
        <v>2250.2362204724409</v>
      </c>
      <c r="N25" s="10">
        <f t="shared" si="1"/>
        <v>112.51181102362204</v>
      </c>
      <c r="O25" s="12">
        <f t="shared" si="2"/>
        <v>0</v>
      </c>
      <c r="P25" s="13">
        <f t="shared" si="3"/>
        <v>-7.4881889763779554</v>
      </c>
      <c r="Q25" s="182">
        <f t="shared" si="4"/>
        <v>0.93759842519685033</v>
      </c>
      <c r="R25" s="442">
        <f>Q32</f>
        <v>0.93976671615075213</v>
      </c>
      <c r="S25" s="28">
        <v>8.3333333333333329E-2</v>
      </c>
      <c r="T25" s="28">
        <v>0.17152777777777778</v>
      </c>
      <c r="U25" s="183"/>
      <c r="V25" s="191">
        <f t="shared" ref="V25:V31" si="9">(T25-S25)*24*60</f>
        <v>127</v>
      </c>
      <c r="W25" s="16">
        <f>T25</f>
        <v>0.17152777777777778</v>
      </c>
      <c r="X25" s="16">
        <f>S26</f>
        <v>0.19097222222222221</v>
      </c>
      <c r="Y25" s="443"/>
      <c r="Z25" s="443"/>
      <c r="AA25" s="12">
        <f t="shared" si="5"/>
        <v>-149.76377952755911</v>
      </c>
      <c r="AB25" s="182">
        <f t="shared" si="6"/>
        <v>0.93759842519685033</v>
      </c>
      <c r="AC25" s="442">
        <f>AB32</f>
        <v>0.93976671615075225</v>
      </c>
    </row>
    <row r="26" spans="1:29" ht="15.75" customHeight="1">
      <c r="A26" s="463" t="s">
        <v>630</v>
      </c>
      <c r="B26" s="31" t="s">
        <v>67</v>
      </c>
      <c r="C26" s="464" t="s">
        <v>69</v>
      </c>
      <c r="D26" s="464"/>
      <c r="E26" s="31">
        <v>31.29</v>
      </c>
      <c r="F26" s="192">
        <v>5700</v>
      </c>
      <c r="G26" s="183">
        <f t="shared" si="7"/>
        <v>178353</v>
      </c>
      <c r="H26" s="193">
        <v>2</v>
      </c>
      <c r="I26" s="190">
        <v>16</v>
      </c>
      <c r="J26" s="26">
        <v>2400</v>
      </c>
      <c r="K26" s="10">
        <f t="shared" si="0"/>
        <v>150</v>
      </c>
      <c r="L26" s="190">
        <v>16</v>
      </c>
      <c r="M26" s="11">
        <f t="shared" si="8"/>
        <v>2249.9999999999995</v>
      </c>
      <c r="N26" s="10">
        <f t="shared" si="1"/>
        <v>140.62499999999997</v>
      </c>
      <c r="O26" s="12">
        <f t="shared" si="2"/>
        <v>0</v>
      </c>
      <c r="P26" s="13">
        <f t="shared" si="3"/>
        <v>-9.3750000000000284</v>
      </c>
      <c r="Q26" s="182">
        <f t="shared" si="4"/>
        <v>0.93749999999999978</v>
      </c>
      <c r="R26" s="442"/>
      <c r="S26" s="28">
        <v>0.19097222222222221</v>
      </c>
      <c r="T26" s="28">
        <v>0.29652777777777778</v>
      </c>
      <c r="U26" s="183">
        <f t="shared" ref="U26:U31" si="10">(S26-T25)*24*60</f>
        <v>27.999999999999979</v>
      </c>
      <c r="V26" s="191">
        <f t="shared" si="9"/>
        <v>152.00000000000003</v>
      </c>
      <c r="W26" s="16"/>
      <c r="X26" s="16"/>
      <c r="Y26" s="443"/>
      <c r="Z26" s="443"/>
      <c r="AA26" s="12">
        <f t="shared" si="5"/>
        <v>-150.00000000000045</v>
      </c>
      <c r="AB26" s="182">
        <f t="shared" si="6"/>
        <v>0.93749999999999978</v>
      </c>
      <c r="AC26" s="442"/>
    </row>
    <row r="27" spans="1:29" ht="15.75" customHeight="1">
      <c r="A27" s="463" t="s">
        <v>630</v>
      </c>
      <c r="B27" s="31" t="s">
        <v>67</v>
      </c>
      <c r="C27" s="464" t="s">
        <v>70</v>
      </c>
      <c r="D27" s="464"/>
      <c r="E27" s="31">
        <v>24.25</v>
      </c>
      <c r="F27" s="192">
        <v>4429</v>
      </c>
      <c r="G27" s="183">
        <f t="shared" si="7"/>
        <v>107403.25</v>
      </c>
      <c r="H27" s="193" t="s">
        <v>103</v>
      </c>
      <c r="I27" s="190">
        <v>18</v>
      </c>
      <c r="J27" s="26">
        <v>2400</v>
      </c>
      <c r="K27" s="10">
        <f t="shared" si="0"/>
        <v>133.33333333333334</v>
      </c>
      <c r="L27" s="190">
        <v>18</v>
      </c>
      <c r="M27" s="11">
        <f t="shared" si="8"/>
        <v>2252.0338983050847</v>
      </c>
      <c r="N27" s="10">
        <f t="shared" si="1"/>
        <v>125.11299435028248</v>
      </c>
      <c r="O27" s="12">
        <f t="shared" si="2"/>
        <v>0</v>
      </c>
      <c r="P27" s="13">
        <f t="shared" si="3"/>
        <v>-8.2203389830508655</v>
      </c>
      <c r="Q27" s="182">
        <f t="shared" si="4"/>
        <v>0.93834745762711846</v>
      </c>
      <c r="R27" s="442"/>
      <c r="S27" s="28">
        <v>0.3</v>
      </c>
      <c r="T27" s="28">
        <v>0.38194444444444442</v>
      </c>
      <c r="U27" s="183">
        <f t="shared" si="10"/>
        <v>4.9999999999999822</v>
      </c>
      <c r="V27" s="191">
        <f t="shared" si="9"/>
        <v>117.99999999999999</v>
      </c>
      <c r="W27" s="16"/>
      <c r="X27" s="16"/>
      <c r="Y27" s="443"/>
      <c r="Z27" s="443"/>
      <c r="AA27" s="12">
        <f t="shared" si="5"/>
        <v>-147.96610169491532</v>
      </c>
      <c r="AB27" s="182">
        <f t="shared" si="6"/>
        <v>0.93834745762711858</v>
      </c>
      <c r="AC27" s="442"/>
    </row>
    <row r="28" spans="1:29" ht="15.75" customHeight="1">
      <c r="A28" s="463" t="s">
        <v>630</v>
      </c>
      <c r="B28" s="31" t="s">
        <v>67</v>
      </c>
      <c r="C28" s="464" t="s">
        <v>72</v>
      </c>
      <c r="D28" s="464"/>
      <c r="E28" s="31">
        <v>25.98</v>
      </c>
      <c r="F28" s="192">
        <v>4017</v>
      </c>
      <c r="G28" s="183">
        <f t="shared" si="7"/>
        <v>104361.66</v>
      </c>
      <c r="H28" s="193" t="s">
        <v>103</v>
      </c>
      <c r="I28" s="190">
        <v>17</v>
      </c>
      <c r="J28" s="26">
        <v>2400</v>
      </c>
      <c r="K28" s="10">
        <f t="shared" si="0"/>
        <v>141.1764705882353</v>
      </c>
      <c r="L28" s="190">
        <v>17</v>
      </c>
      <c r="M28" s="11">
        <f t="shared" si="8"/>
        <v>2252.5233644859809</v>
      </c>
      <c r="N28" s="10">
        <f t="shared" si="1"/>
        <v>132.50137438152828</v>
      </c>
      <c r="O28" s="12">
        <f t="shared" si="2"/>
        <v>0</v>
      </c>
      <c r="P28" s="13">
        <f t="shared" si="3"/>
        <v>-8.6750962067070247</v>
      </c>
      <c r="Q28" s="182">
        <f t="shared" si="4"/>
        <v>0.93855140186915853</v>
      </c>
      <c r="R28" s="442"/>
      <c r="S28" s="28">
        <v>0.38680555555555551</v>
      </c>
      <c r="T28" s="28">
        <v>0.46111111111111108</v>
      </c>
      <c r="U28" s="183">
        <f t="shared" si="10"/>
        <v>6.9999999999999751</v>
      </c>
      <c r="V28" s="191">
        <f t="shared" si="9"/>
        <v>107.00000000000001</v>
      </c>
      <c r="W28" s="16"/>
      <c r="X28" s="16"/>
      <c r="Y28" s="443"/>
      <c r="Z28" s="443"/>
      <c r="AA28" s="12">
        <f t="shared" si="5"/>
        <v>-147.47663551401911</v>
      </c>
      <c r="AB28" s="182">
        <f t="shared" si="6"/>
        <v>0.93855140186915875</v>
      </c>
      <c r="AC28" s="442"/>
    </row>
    <row r="29" spans="1:29" ht="15.75" customHeight="1">
      <c r="A29" s="463" t="s">
        <v>630</v>
      </c>
      <c r="B29" s="31" t="s">
        <v>67</v>
      </c>
      <c r="C29" s="464" t="s">
        <v>165</v>
      </c>
      <c r="D29" s="464"/>
      <c r="E29" s="31">
        <v>26.18</v>
      </c>
      <c r="F29" s="192">
        <v>3200</v>
      </c>
      <c r="G29" s="183">
        <f t="shared" si="7"/>
        <v>83776</v>
      </c>
      <c r="H29" s="193">
        <v>2</v>
      </c>
      <c r="I29" s="190">
        <v>19</v>
      </c>
      <c r="J29" s="26">
        <v>2400</v>
      </c>
      <c r="K29" s="10">
        <f t="shared" si="0"/>
        <v>126.31578947368421</v>
      </c>
      <c r="L29" s="190">
        <v>19</v>
      </c>
      <c r="M29" s="11">
        <f t="shared" si="8"/>
        <v>2258.8235294117662</v>
      </c>
      <c r="N29" s="10">
        <f t="shared" si="1"/>
        <v>118.88544891640875</v>
      </c>
      <c r="O29" s="12">
        <f t="shared" si="2"/>
        <v>0</v>
      </c>
      <c r="P29" s="13">
        <f t="shared" si="3"/>
        <v>-7.4303405572754571</v>
      </c>
      <c r="Q29" s="182">
        <f t="shared" si="4"/>
        <v>0.94117647058823595</v>
      </c>
      <c r="R29" s="442"/>
      <c r="S29" s="28">
        <v>0.46458333333333329</v>
      </c>
      <c r="T29" s="28">
        <v>0.52361111111111103</v>
      </c>
      <c r="U29" s="183">
        <f t="shared" si="10"/>
        <v>4.9999999999999822</v>
      </c>
      <c r="V29" s="191">
        <f t="shared" si="9"/>
        <v>84.999999999999943</v>
      </c>
      <c r="W29" s="16">
        <f>T29</f>
        <v>0.52361111111111103</v>
      </c>
      <c r="X29" s="16">
        <f>S30</f>
        <v>0.56458333333333321</v>
      </c>
      <c r="Y29" s="443"/>
      <c r="Z29" s="443"/>
      <c r="AA29" s="12">
        <f t="shared" si="5"/>
        <v>-141.17647058823377</v>
      </c>
      <c r="AB29" s="182">
        <f t="shared" si="6"/>
        <v>0.94117647058823595</v>
      </c>
      <c r="AC29" s="442"/>
    </row>
    <row r="30" spans="1:29" ht="15.75" customHeight="1">
      <c r="A30" s="463" t="s">
        <v>630</v>
      </c>
      <c r="B30" s="31" t="s">
        <v>67</v>
      </c>
      <c r="C30" s="464" t="s">
        <v>69</v>
      </c>
      <c r="D30" s="464"/>
      <c r="E30" s="31">
        <v>31.29</v>
      </c>
      <c r="F30" s="192">
        <v>4163</v>
      </c>
      <c r="G30" s="183">
        <f t="shared" si="7"/>
        <v>130260.26999999999</v>
      </c>
      <c r="H30" s="193" t="s">
        <v>103</v>
      </c>
      <c r="I30" s="190">
        <v>16</v>
      </c>
      <c r="J30" s="26">
        <v>2400</v>
      </c>
      <c r="K30" s="10">
        <f t="shared" si="0"/>
        <v>150</v>
      </c>
      <c r="L30" s="190">
        <v>16</v>
      </c>
      <c r="M30" s="11">
        <f t="shared" si="8"/>
        <v>2250.2702702702686</v>
      </c>
      <c r="N30" s="10">
        <f t="shared" si="1"/>
        <v>140.64189189189179</v>
      </c>
      <c r="O30" s="12">
        <f t="shared" si="2"/>
        <v>0</v>
      </c>
      <c r="P30" s="13">
        <f t="shared" si="3"/>
        <v>-9.3581081081082118</v>
      </c>
      <c r="Q30" s="182">
        <f t="shared" si="4"/>
        <v>0.93761261261261197</v>
      </c>
      <c r="R30" s="442"/>
      <c r="S30" s="28">
        <v>0.56458333333333321</v>
      </c>
      <c r="T30" s="28">
        <v>0.64166666666666661</v>
      </c>
      <c r="U30" s="183">
        <f t="shared" si="10"/>
        <v>58.99999999999995</v>
      </c>
      <c r="V30" s="191">
        <f t="shared" si="9"/>
        <v>111.00000000000009</v>
      </c>
      <c r="W30" s="16"/>
      <c r="X30" s="16"/>
      <c r="Y30" s="443"/>
      <c r="Z30" s="443"/>
      <c r="AA30" s="12">
        <f t="shared" si="5"/>
        <v>-149.72972972973139</v>
      </c>
      <c r="AB30" s="182">
        <f t="shared" si="6"/>
        <v>0.93761261261261197</v>
      </c>
      <c r="AC30" s="442"/>
    </row>
    <row r="31" spans="1:29" ht="15.75" customHeight="1">
      <c r="A31" s="463" t="s">
        <v>630</v>
      </c>
      <c r="B31" s="31" t="s">
        <v>67</v>
      </c>
      <c r="C31" s="464" t="s">
        <v>165</v>
      </c>
      <c r="D31" s="464"/>
      <c r="E31" s="31">
        <v>26.18</v>
      </c>
      <c r="F31" s="192">
        <v>2350</v>
      </c>
      <c r="G31" s="183">
        <f t="shared" si="7"/>
        <v>61523</v>
      </c>
      <c r="H31" s="193" t="s">
        <v>103</v>
      </c>
      <c r="I31" s="190">
        <v>19</v>
      </c>
      <c r="J31" s="26">
        <v>2400</v>
      </c>
      <c r="K31" s="10">
        <f t="shared" si="0"/>
        <v>126.31578947368421</v>
      </c>
      <c r="L31" s="190">
        <v>19</v>
      </c>
      <c r="M31" s="11">
        <f t="shared" si="8"/>
        <v>2274.1935483870989</v>
      </c>
      <c r="N31" s="10">
        <f t="shared" si="1"/>
        <v>119.69439728353152</v>
      </c>
      <c r="O31" s="12">
        <f t="shared" si="2"/>
        <v>0</v>
      </c>
      <c r="P31" s="13">
        <f t="shared" si="3"/>
        <v>-6.6213921901526902</v>
      </c>
      <c r="Q31" s="182">
        <f t="shared" si="4"/>
        <v>0.94758064516129115</v>
      </c>
      <c r="R31" s="442"/>
      <c r="S31" s="28">
        <v>0.64583333333333326</v>
      </c>
      <c r="T31" s="28">
        <v>0.68888888888888877</v>
      </c>
      <c r="U31" s="183">
        <f t="shared" si="10"/>
        <v>5.9999999999999787</v>
      </c>
      <c r="V31" s="191">
        <f t="shared" si="9"/>
        <v>61.999999999999943</v>
      </c>
      <c r="W31" s="16"/>
      <c r="X31" s="16"/>
      <c r="Y31" s="443"/>
      <c r="Z31" s="443"/>
      <c r="AA31" s="12">
        <f t="shared" si="5"/>
        <v>-125.80645161290113</v>
      </c>
      <c r="AB31" s="182">
        <f t="shared" si="6"/>
        <v>0.94758064516129115</v>
      </c>
      <c r="AC31" s="442"/>
    </row>
    <row r="32" spans="1:29" ht="15.75" customHeight="1">
      <c r="A32" s="463" t="s">
        <v>630</v>
      </c>
      <c r="B32" s="31" t="s">
        <v>623</v>
      </c>
      <c r="C32" s="446"/>
      <c r="D32" s="446"/>
      <c r="E32" s="188"/>
      <c r="F32" s="192"/>
      <c r="G32" s="183"/>
      <c r="H32" s="192"/>
      <c r="I32" s="19">
        <v>17.857142857142858</v>
      </c>
      <c r="J32" s="26">
        <v>2400</v>
      </c>
      <c r="K32" s="10">
        <f t="shared" si="0"/>
        <v>134.4</v>
      </c>
      <c r="L32" s="19">
        <v>17.857142857142858</v>
      </c>
      <c r="M32" s="11">
        <f>AVERAGE(M25:M31)</f>
        <v>2255.4401187618055</v>
      </c>
      <c r="N32" s="10">
        <f t="shared" si="1"/>
        <v>126.3046466506611</v>
      </c>
      <c r="O32" s="12">
        <f t="shared" si="2"/>
        <v>0</v>
      </c>
      <c r="P32" s="13">
        <f t="shared" si="3"/>
        <v>-8.0953533493389074</v>
      </c>
      <c r="Q32" s="182">
        <f t="shared" si="4"/>
        <v>0.93976671615075213</v>
      </c>
      <c r="R32" s="442"/>
      <c r="S32" s="28"/>
      <c r="T32" s="28"/>
      <c r="U32" s="183"/>
      <c r="V32" s="191"/>
      <c r="W32" s="183"/>
      <c r="X32" s="183"/>
      <c r="Y32" s="443"/>
      <c r="Z32" s="443"/>
      <c r="AA32" s="12">
        <f t="shared" si="5"/>
        <v>-144.55988123819452</v>
      </c>
      <c r="AB32" s="182">
        <f t="shared" si="6"/>
        <v>0.93976671615075225</v>
      </c>
      <c r="AC32" s="442"/>
    </row>
    <row r="33" spans="1:29" ht="15.75" customHeight="1">
      <c r="A33" s="461" t="s">
        <v>628</v>
      </c>
      <c r="B33" s="31" t="s">
        <v>67</v>
      </c>
      <c r="C33" s="441" t="s">
        <v>73</v>
      </c>
      <c r="D33" s="441"/>
      <c r="E33" s="31">
        <v>26.2</v>
      </c>
      <c r="F33" s="192">
        <v>4250</v>
      </c>
      <c r="G33" s="183">
        <f t="shared" ref="G33:G41" si="11">E33*F33</f>
        <v>111350</v>
      </c>
      <c r="H33" s="193">
        <v>2</v>
      </c>
      <c r="I33" s="190">
        <v>18</v>
      </c>
      <c r="J33" s="26">
        <v>2400</v>
      </c>
      <c r="K33" s="10">
        <f t="shared" si="0"/>
        <v>133.33333333333334</v>
      </c>
      <c r="L33" s="190">
        <v>18</v>
      </c>
      <c r="M33" s="11">
        <f t="shared" ref="M33:M41" si="12">F33/V33*60</f>
        <v>2256.6371681415935</v>
      </c>
      <c r="N33" s="10">
        <f t="shared" si="1"/>
        <v>125.36873156342186</v>
      </c>
      <c r="O33" s="12">
        <f t="shared" si="2"/>
        <v>0</v>
      </c>
      <c r="P33" s="13">
        <f t="shared" si="3"/>
        <v>-7.9646017699114822</v>
      </c>
      <c r="Q33" s="182">
        <f t="shared" si="4"/>
        <v>0.9402654867256639</v>
      </c>
      <c r="R33" s="442">
        <f>Q42</f>
        <v>0.94136816076670671</v>
      </c>
      <c r="S33" s="28">
        <v>8.3333333333333329E-2</v>
      </c>
      <c r="T33" s="28">
        <v>0.16180555555555554</v>
      </c>
      <c r="U33" s="183"/>
      <c r="V33" s="191">
        <f t="shared" ref="V33:V41" si="13">(T33-S33)*24*60</f>
        <v>112.99999999999997</v>
      </c>
      <c r="W33" s="18">
        <f>T33</f>
        <v>0.16180555555555554</v>
      </c>
      <c r="X33" s="18">
        <f>S34</f>
        <v>0.18194444444444444</v>
      </c>
      <c r="Y33" s="443"/>
      <c r="Z33" s="443"/>
      <c r="AA33" s="12">
        <f t="shared" si="5"/>
        <v>-143.36283185840648</v>
      </c>
      <c r="AB33" s="182">
        <f t="shared" si="6"/>
        <v>0.94026548672566401</v>
      </c>
      <c r="AC33" s="442">
        <f>AB42</f>
        <v>0.9413681607667066</v>
      </c>
    </row>
    <row r="34" spans="1:29" ht="15.75" customHeight="1">
      <c r="A34" s="461" t="s">
        <v>628</v>
      </c>
      <c r="B34" s="31" t="s">
        <v>67</v>
      </c>
      <c r="C34" s="441" t="s">
        <v>74</v>
      </c>
      <c r="D34" s="441"/>
      <c r="E34" s="31">
        <v>24.45</v>
      </c>
      <c r="F34" s="192">
        <v>2625</v>
      </c>
      <c r="G34" s="183">
        <f t="shared" si="11"/>
        <v>64181.25</v>
      </c>
      <c r="H34" s="193" t="s">
        <v>103</v>
      </c>
      <c r="I34" s="190">
        <v>20</v>
      </c>
      <c r="J34" s="26">
        <v>2400</v>
      </c>
      <c r="K34" s="10">
        <f t="shared" si="0"/>
        <v>120</v>
      </c>
      <c r="L34" s="190">
        <v>20</v>
      </c>
      <c r="M34" s="11">
        <f t="shared" si="12"/>
        <v>2250.0000000000005</v>
      </c>
      <c r="N34" s="10">
        <f t="shared" si="1"/>
        <v>112.50000000000003</v>
      </c>
      <c r="O34" s="12">
        <f t="shared" si="2"/>
        <v>0</v>
      </c>
      <c r="P34" s="13">
        <f t="shared" si="3"/>
        <v>-7.4999999999999716</v>
      </c>
      <c r="Q34" s="182">
        <f t="shared" si="4"/>
        <v>0.93750000000000022</v>
      </c>
      <c r="R34" s="442"/>
      <c r="S34" s="28">
        <v>0.18194444444444444</v>
      </c>
      <c r="T34" s="28">
        <v>0.23055555555555554</v>
      </c>
      <c r="U34" s="183">
        <f t="shared" ref="U34:U41" si="14">(S34-T33)*24*60</f>
        <v>29.000000000000018</v>
      </c>
      <c r="V34" s="191">
        <f t="shared" si="13"/>
        <v>69.999999999999986</v>
      </c>
      <c r="W34" s="183"/>
      <c r="X34" s="183"/>
      <c r="Y34" s="443"/>
      <c r="Z34" s="443"/>
      <c r="AA34" s="12">
        <f t="shared" si="5"/>
        <v>-149.99999999999955</v>
      </c>
      <c r="AB34" s="182">
        <f t="shared" si="6"/>
        <v>0.93750000000000022</v>
      </c>
      <c r="AC34" s="442"/>
    </row>
    <row r="35" spans="1:29">
      <c r="A35" s="462" t="s">
        <v>628</v>
      </c>
      <c r="B35" s="31" t="s">
        <v>67</v>
      </c>
      <c r="C35" s="441" t="s">
        <v>75</v>
      </c>
      <c r="D35" s="441"/>
      <c r="E35" s="31">
        <v>26.39</v>
      </c>
      <c r="F35" s="192">
        <v>3900</v>
      </c>
      <c r="G35" s="183">
        <f t="shared" si="11"/>
        <v>102921</v>
      </c>
      <c r="H35" s="193">
        <v>2</v>
      </c>
      <c r="I35" s="190">
        <v>19</v>
      </c>
      <c r="J35" s="26">
        <v>2400</v>
      </c>
      <c r="K35" s="10">
        <f t="shared" si="0"/>
        <v>126.31578947368421</v>
      </c>
      <c r="L35" s="190">
        <v>19</v>
      </c>
      <c r="M35" s="11">
        <f t="shared" si="12"/>
        <v>2250.0000000000005</v>
      </c>
      <c r="N35" s="10">
        <f t="shared" si="1"/>
        <v>118.42105263157897</v>
      </c>
      <c r="O35" s="12">
        <f t="shared" si="2"/>
        <v>0</v>
      </c>
      <c r="P35" s="13">
        <f t="shared" si="3"/>
        <v>-7.8947368421052317</v>
      </c>
      <c r="Q35" s="182">
        <f t="shared" si="4"/>
        <v>0.93750000000000022</v>
      </c>
      <c r="R35" s="442"/>
      <c r="S35" s="28">
        <v>0.23402777777777775</v>
      </c>
      <c r="T35" s="28">
        <v>0.30624999999999997</v>
      </c>
      <c r="U35" s="183">
        <f t="shared" si="14"/>
        <v>4.9999999999999822</v>
      </c>
      <c r="V35" s="191">
        <f t="shared" si="13"/>
        <v>103.99999999999999</v>
      </c>
      <c r="W35" s="183"/>
      <c r="X35" s="183"/>
      <c r="Y35" s="443"/>
      <c r="Z35" s="443"/>
      <c r="AA35" s="12">
        <f t="shared" si="5"/>
        <v>-149.99999999999955</v>
      </c>
      <c r="AB35" s="182">
        <f t="shared" si="6"/>
        <v>0.93750000000000022</v>
      </c>
      <c r="AC35" s="442"/>
    </row>
    <row r="36" spans="1:29">
      <c r="A36" s="462" t="s">
        <v>628</v>
      </c>
      <c r="B36" s="31" t="s">
        <v>67</v>
      </c>
      <c r="C36" s="441" t="s">
        <v>76</v>
      </c>
      <c r="D36" s="441"/>
      <c r="E36" s="31">
        <v>20.52</v>
      </c>
      <c r="F36" s="192">
        <v>3925</v>
      </c>
      <c r="G36" s="183">
        <f t="shared" si="11"/>
        <v>80541</v>
      </c>
      <c r="H36" s="193" t="s">
        <v>103</v>
      </c>
      <c r="I36" s="190">
        <v>18</v>
      </c>
      <c r="J36" s="26">
        <v>2400</v>
      </c>
      <c r="K36" s="10">
        <f t="shared" si="0"/>
        <v>133.33333333333334</v>
      </c>
      <c r="L36" s="190">
        <v>18</v>
      </c>
      <c r="M36" s="11">
        <f t="shared" si="12"/>
        <v>2264.4230769230762</v>
      </c>
      <c r="N36" s="10">
        <f t="shared" si="1"/>
        <v>125.80128205128202</v>
      </c>
      <c r="O36" s="12">
        <f t="shared" si="2"/>
        <v>0</v>
      </c>
      <c r="P36" s="13">
        <f t="shared" si="3"/>
        <v>-7.5320512820513272</v>
      </c>
      <c r="Q36" s="182">
        <f t="shared" si="4"/>
        <v>0.94350961538461509</v>
      </c>
      <c r="R36" s="442"/>
      <c r="S36" s="28">
        <v>0.31041666666666662</v>
      </c>
      <c r="T36" s="28">
        <v>0.38263888888888886</v>
      </c>
      <c r="U36" s="183">
        <f t="shared" si="14"/>
        <v>5.9999999999999787</v>
      </c>
      <c r="V36" s="191">
        <f t="shared" si="13"/>
        <v>104.00000000000003</v>
      </c>
      <c r="W36" s="16"/>
      <c r="X36" s="16"/>
      <c r="Y36" s="443"/>
      <c r="Z36" s="443"/>
      <c r="AA36" s="12">
        <f t="shared" si="5"/>
        <v>-135.57692307692378</v>
      </c>
      <c r="AB36" s="182">
        <f t="shared" si="6"/>
        <v>0.94350961538461509</v>
      </c>
      <c r="AC36" s="442"/>
    </row>
    <row r="37" spans="1:29">
      <c r="A37" s="462" t="s">
        <v>629</v>
      </c>
      <c r="B37" s="31" t="s">
        <v>67</v>
      </c>
      <c r="C37" s="441" t="s">
        <v>77</v>
      </c>
      <c r="D37" s="441"/>
      <c r="E37" s="31">
        <v>26.2</v>
      </c>
      <c r="F37" s="192">
        <v>5217</v>
      </c>
      <c r="G37" s="183">
        <f t="shared" si="11"/>
        <v>136685.4</v>
      </c>
      <c r="H37" s="193" t="s">
        <v>103</v>
      </c>
      <c r="I37" s="190">
        <v>19</v>
      </c>
      <c r="J37" s="26">
        <v>2400</v>
      </c>
      <c r="K37" s="10">
        <f t="shared" ref="K37:K68" si="15">J37/I37</f>
        <v>126.31578947368421</v>
      </c>
      <c r="L37" s="190">
        <v>19</v>
      </c>
      <c r="M37" s="11">
        <f t="shared" si="12"/>
        <v>2251.9424460431655</v>
      </c>
      <c r="N37" s="10">
        <f t="shared" ref="N37:N68" si="16">M37/L37</f>
        <v>118.52328663385082</v>
      </c>
      <c r="O37" s="12">
        <f t="shared" ref="O37:O71" si="17">L37-I37</f>
        <v>0</v>
      </c>
      <c r="P37" s="13">
        <f t="shared" ref="P37:P71" si="18">N37-K37</f>
        <v>-7.7925028398333893</v>
      </c>
      <c r="Q37" s="182">
        <f t="shared" ref="Q37:Q71" si="19">N37/K37</f>
        <v>0.93830935251798564</v>
      </c>
      <c r="R37" s="442"/>
      <c r="S37" s="28">
        <v>0.38611111111111107</v>
      </c>
      <c r="T37" s="28">
        <v>0.48263888888888884</v>
      </c>
      <c r="U37" s="183">
        <f t="shared" si="14"/>
        <v>4.9999999999999822</v>
      </c>
      <c r="V37" s="191">
        <f t="shared" si="13"/>
        <v>139</v>
      </c>
      <c r="W37" s="16"/>
      <c r="X37" s="16"/>
      <c r="Y37" s="443"/>
      <c r="Z37" s="443"/>
      <c r="AA37" s="12">
        <f t="shared" ref="AA37:AA71" si="20">M37-J37</f>
        <v>-148.05755395683445</v>
      </c>
      <c r="AB37" s="182">
        <f t="shared" ref="AB37:AB71" si="21">M37/J37</f>
        <v>0.93830935251798564</v>
      </c>
      <c r="AC37" s="442"/>
    </row>
    <row r="38" spans="1:29">
      <c r="A38" s="462" t="s">
        <v>629</v>
      </c>
      <c r="B38" s="31" t="s">
        <v>67</v>
      </c>
      <c r="C38" s="441" t="s">
        <v>78</v>
      </c>
      <c r="D38" s="441"/>
      <c r="E38" s="31">
        <v>25.98</v>
      </c>
      <c r="F38" s="192">
        <v>2200</v>
      </c>
      <c r="G38" s="183">
        <f t="shared" si="11"/>
        <v>57156</v>
      </c>
      <c r="H38" s="193">
        <v>2</v>
      </c>
      <c r="I38" s="190">
        <v>17</v>
      </c>
      <c r="J38" s="26">
        <v>2400</v>
      </c>
      <c r="K38" s="10">
        <f t="shared" si="15"/>
        <v>141.1764705882353</v>
      </c>
      <c r="L38" s="190">
        <v>17</v>
      </c>
      <c r="M38" s="11">
        <f t="shared" si="12"/>
        <v>2275.862068965519</v>
      </c>
      <c r="N38" s="10">
        <f t="shared" si="16"/>
        <v>133.87423935091289</v>
      </c>
      <c r="O38" s="12">
        <f t="shared" si="17"/>
        <v>0</v>
      </c>
      <c r="P38" s="13">
        <f t="shared" si="18"/>
        <v>-7.3022312373224167</v>
      </c>
      <c r="Q38" s="182">
        <f t="shared" si="19"/>
        <v>0.94827586206896619</v>
      </c>
      <c r="R38" s="442"/>
      <c r="S38" s="28">
        <v>0.48680555555555549</v>
      </c>
      <c r="T38" s="28">
        <v>0.52708333333333324</v>
      </c>
      <c r="U38" s="183">
        <f t="shared" si="14"/>
        <v>5.9999999999999787</v>
      </c>
      <c r="V38" s="191">
        <f t="shared" si="13"/>
        <v>57.999999999999957</v>
      </c>
      <c r="W38" s="16">
        <f>T38</f>
        <v>0.52708333333333324</v>
      </c>
      <c r="X38" s="16">
        <f>S39</f>
        <v>0.56666666666666654</v>
      </c>
      <c r="Y38" s="443"/>
      <c r="Z38" s="443"/>
      <c r="AA38" s="12">
        <f t="shared" si="20"/>
        <v>-124.13793103448097</v>
      </c>
      <c r="AB38" s="182">
        <f t="shared" si="21"/>
        <v>0.9482758620689663</v>
      </c>
      <c r="AC38" s="442"/>
    </row>
    <row r="39" spans="1:29">
      <c r="A39" s="462" t="s">
        <v>629</v>
      </c>
      <c r="B39" s="31" t="s">
        <v>67</v>
      </c>
      <c r="C39" s="441" t="s">
        <v>73</v>
      </c>
      <c r="D39" s="441"/>
      <c r="E39" s="31">
        <v>26.2</v>
      </c>
      <c r="F39" s="192">
        <v>3408</v>
      </c>
      <c r="G39" s="183">
        <f t="shared" si="11"/>
        <v>89289.599999999991</v>
      </c>
      <c r="H39" s="193" t="s">
        <v>103</v>
      </c>
      <c r="I39" s="190">
        <v>18</v>
      </c>
      <c r="J39" s="26">
        <v>2400</v>
      </c>
      <c r="K39" s="10">
        <f t="shared" si="15"/>
        <v>133.33333333333334</v>
      </c>
      <c r="L39" s="190">
        <v>18</v>
      </c>
      <c r="M39" s="11">
        <f t="shared" si="12"/>
        <v>2247.032967032967</v>
      </c>
      <c r="N39" s="10">
        <f t="shared" si="16"/>
        <v>124.83516483516483</v>
      </c>
      <c r="O39" s="12">
        <f t="shared" si="17"/>
        <v>0</v>
      </c>
      <c r="P39" s="13">
        <f t="shared" si="18"/>
        <v>-8.4981684981685106</v>
      </c>
      <c r="Q39" s="182">
        <f t="shared" si="19"/>
        <v>0.93626373626373616</v>
      </c>
      <c r="R39" s="442"/>
      <c r="S39" s="28">
        <v>0.56666666666666654</v>
      </c>
      <c r="T39" s="28">
        <v>0.62986111111111098</v>
      </c>
      <c r="U39" s="183">
        <f t="shared" si="14"/>
        <v>56.999999999999957</v>
      </c>
      <c r="V39" s="191">
        <f t="shared" si="13"/>
        <v>91</v>
      </c>
      <c r="W39" s="16"/>
      <c r="X39" s="16"/>
      <c r="Y39" s="447"/>
      <c r="Z39" s="448"/>
      <c r="AA39" s="12">
        <f t="shared" si="20"/>
        <v>-152.96703296703299</v>
      </c>
      <c r="AB39" s="182">
        <f t="shared" si="21"/>
        <v>0.93626373626373627</v>
      </c>
      <c r="AC39" s="442"/>
    </row>
    <row r="40" spans="1:29">
      <c r="A40" s="462" t="s">
        <v>629</v>
      </c>
      <c r="B40" s="31" t="s">
        <v>67</v>
      </c>
      <c r="C40" s="441" t="s">
        <v>75</v>
      </c>
      <c r="D40" s="441"/>
      <c r="E40" s="31">
        <v>26.39</v>
      </c>
      <c r="F40" s="192">
        <v>2834</v>
      </c>
      <c r="G40" s="183">
        <f t="shared" si="11"/>
        <v>74789.259999999995</v>
      </c>
      <c r="H40" s="193" t="s">
        <v>103</v>
      </c>
      <c r="I40" s="190">
        <v>19</v>
      </c>
      <c r="J40" s="26">
        <v>2400</v>
      </c>
      <c r="K40" s="10">
        <f t="shared" si="15"/>
        <v>126.31578947368421</v>
      </c>
      <c r="L40" s="190">
        <v>19</v>
      </c>
      <c r="M40" s="11">
        <f t="shared" si="12"/>
        <v>2267.1999999999985</v>
      </c>
      <c r="N40" s="10">
        <f t="shared" si="16"/>
        <v>119.3263157894736</v>
      </c>
      <c r="O40" s="12">
        <f t="shared" si="17"/>
        <v>0</v>
      </c>
      <c r="P40" s="13">
        <f t="shared" si="18"/>
        <v>-6.9894736842106084</v>
      </c>
      <c r="Q40" s="182">
        <f t="shared" si="19"/>
        <v>0.94466666666666599</v>
      </c>
      <c r="R40" s="442"/>
      <c r="S40" s="28">
        <v>0.63402777777777763</v>
      </c>
      <c r="T40" s="28">
        <v>0.68611111111111101</v>
      </c>
      <c r="U40" s="183">
        <f t="shared" si="14"/>
        <v>5.9999999999999787</v>
      </c>
      <c r="V40" s="191">
        <f t="shared" si="13"/>
        <v>75.000000000000057</v>
      </c>
      <c r="W40" s="16"/>
      <c r="X40" s="16"/>
      <c r="Y40" s="447"/>
      <c r="Z40" s="448"/>
      <c r="AA40" s="12">
        <f t="shared" si="20"/>
        <v>-132.80000000000155</v>
      </c>
      <c r="AB40" s="182">
        <f t="shared" si="21"/>
        <v>0.94466666666666599</v>
      </c>
      <c r="AC40" s="442"/>
    </row>
    <row r="41" spans="1:29">
      <c r="A41" s="462" t="s">
        <v>629</v>
      </c>
      <c r="B41" s="31" t="s">
        <v>67</v>
      </c>
      <c r="C41" s="441" t="s">
        <v>78</v>
      </c>
      <c r="D41" s="441"/>
      <c r="E41" s="31">
        <v>25.98</v>
      </c>
      <c r="F41" s="192">
        <v>1665</v>
      </c>
      <c r="G41" s="183">
        <f t="shared" si="11"/>
        <v>43256.7</v>
      </c>
      <c r="H41" s="193" t="s">
        <v>103</v>
      </c>
      <c r="I41" s="190">
        <v>17</v>
      </c>
      <c r="J41" s="26">
        <v>2400</v>
      </c>
      <c r="K41" s="10">
        <f t="shared" si="15"/>
        <v>141.1764705882353</v>
      </c>
      <c r="L41" s="190">
        <v>17</v>
      </c>
      <c r="M41" s="11">
        <f t="shared" si="12"/>
        <v>2270.4545454545455</v>
      </c>
      <c r="N41" s="10">
        <f t="shared" si="16"/>
        <v>133.55614973262033</v>
      </c>
      <c r="O41" s="12">
        <f t="shared" si="17"/>
        <v>0</v>
      </c>
      <c r="P41" s="13">
        <f t="shared" si="18"/>
        <v>-7.6203208556149775</v>
      </c>
      <c r="Q41" s="182">
        <f t="shared" si="19"/>
        <v>0.94602272727272729</v>
      </c>
      <c r="R41" s="442"/>
      <c r="S41" s="28">
        <v>0.68958333333333321</v>
      </c>
      <c r="T41" s="28">
        <v>0.72013888888888877</v>
      </c>
      <c r="U41" s="183">
        <f t="shared" si="14"/>
        <v>4.9999999999999822</v>
      </c>
      <c r="V41" s="191">
        <f t="shared" si="13"/>
        <v>44</v>
      </c>
      <c r="W41" s="16"/>
      <c r="X41" s="16"/>
      <c r="Y41" s="447"/>
      <c r="Z41" s="448"/>
      <c r="AA41" s="12">
        <f t="shared" si="20"/>
        <v>-129.5454545454545</v>
      </c>
      <c r="AB41" s="182">
        <f t="shared" si="21"/>
        <v>0.94602272727272729</v>
      </c>
      <c r="AC41" s="442"/>
    </row>
    <row r="42" spans="1:29">
      <c r="A42" s="462" t="s">
        <v>628</v>
      </c>
      <c r="B42" s="33" t="s">
        <v>623</v>
      </c>
      <c r="C42" s="446"/>
      <c r="D42" s="446"/>
      <c r="E42" s="188"/>
      <c r="F42" s="33"/>
      <c r="G42" s="10"/>
      <c r="H42" s="192"/>
      <c r="I42" s="19">
        <v>18.333333333333332</v>
      </c>
      <c r="J42" s="26">
        <v>2400</v>
      </c>
      <c r="K42" s="10">
        <f t="shared" si="15"/>
        <v>130.90909090909091</v>
      </c>
      <c r="L42" s="19">
        <v>18.333333333333332</v>
      </c>
      <c r="M42" s="11">
        <f>AVERAGE(M33:M41)</f>
        <v>2259.2835858400958</v>
      </c>
      <c r="N42" s="10">
        <f t="shared" si="16"/>
        <v>123.23365013673251</v>
      </c>
      <c r="O42" s="12">
        <f t="shared" si="17"/>
        <v>0</v>
      </c>
      <c r="P42" s="13">
        <f t="shared" si="18"/>
        <v>-7.6754407723583995</v>
      </c>
      <c r="Q42" s="182">
        <f t="shared" si="19"/>
        <v>0.94136816076670671</v>
      </c>
      <c r="R42" s="442"/>
      <c r="S42" s="28"/>
      <c r="T42" s="28"/>
      <c r="U42" s="10"/>
      <c r="V42" s="191"/>
      <c r="W42" s="10"/>
      <c r="X42" s="10"/>
      <c r="Y42" s="443"/>
      <c r="Z42" s="443"/>
      <c r="AA42" s="12">
        <f t="shared" si="20"/>
        <v>-140.71641415990416</v>
      </c>
      <c r="AB42" s="182">
        <f t="shared" si="21"/>
        <v>0.9413681607667066</v>
      </c>
      <c r="AC42" s="442"/>
    </row>
    <row r="43" spans="1:29" ht="15.75" customHeight="1">
      <c r="A43" s="453" t="s">
        <v>627</v>
      </c>
      <c r="B43" s="31" t="s">
        <v>79</v>
      </c>
      <c r="C43" s="444" t="s">
        <v>80</v>
      </c>
      <c r="D43" s="445"/>
      <c r="E43" s="31">
        <v>21.13</v>
      </c>
      <c r="F43" s="192">
        <v>5284</v>
      </c>
      <c r="G43" s="183">
        <f t="shared" ref="G43:G49" si="22">E43*F43</f>
        <v>111650.92</v>
      </c>
      <c r="H43" s="193" t="s">
        <v>103</v>
      </c>
      <c r="I43" s="190">
        <v>10</v>
      </c>
      <c r="J43" s="26">
        <v>3000</v>
      </c>
      <c r="K43" s="10">
        <f t="shared" si="15"/>
        <v>300</v>
      </c>
      <c r="L43" s="190">
        <v>10</v>
      </c>
      <c r="M43" s="11">
        <f t="shared" ref="M43:M49" si="23">F43/V43*60</f>
        <v>2805.6637168141597</v>
      </c>
      <c r="N43" s="11">
        <f t="shared" si="16"/>
        <v>280.56637168141594</v>
      </c>
      <c r="O43" s="12">
        <f t="shared" si="17"/>
        <v>0</v>
      </c>
      <c r="P43" s="13">
        <f t="shared" si="18"/>
        <v>-19.433628318584056</v>
      </c>
      <c r="Q43" s="182">
        <f t="shared" si="19"/>
        <v>0.9352212389380532</v>
      </c>
      <c r="R43" s="456">
        <f>Q50</f>
        <v>0.94590079499280988</v>
      </c>
      <c r="S43" s="28">
        <v>8.3333333333333329E-2</v>
      </c>
      <c r="T43" s="28">
        <v>0.16180555555555554</v>
      </c>
      <c r="U43" s="18"/>
      <c r="V43" s="191">
        <f t="shared" ref="V43:V49" si="24">(T43-S43)*24*60</f>
        <v>112.99999999999997</v>
      </c>
      <c r="W43" s="16">
        <f>T43</f>
        <v>0.16180555555555554</v>
      </c>
      <c r="X43" s="16">
        <f>S44</f>
        <v>0.18194444444444444</v>
      </c>
      <c r="Y43" s="447"/>
      <c r="Z43" s="448"/>
      <c r="AA43" s="12">
        <f t="shared" si="20"/>
        <v>-194.33628318584033</v>
      </c>
      <c r="AB43" s="182">
        <f t="shared" si="21"/>
        <v>0.9352212389380532</v>
      </c>
      <c r="AC43" s="456">
        <f>AB50</f>
        <v>0.94590079499280988</v>
      </c>
    </row>
    <row r="44" spans="1:29" ht="15.75" customHeight="1">
      <c r="A44" s="454" t="s">
        <v>627</v>
      </c>
      <c r="B44" s="31" t="s">
        <v>79</v>
      </c>
      <c r="C44" s="444" t="s">
        <v>81</v>
      </c>
      <c r="D44" s="445"/>
      <c r="E44" s="31">
        <v>27.17</v>
      </c>
      <c r="F44" s="192">
        <v>6611</v>
      </c>
      <c r="G44" s="183">
        <f t="shared" si="22"/>
        <v>179620.87000000002</v>
      </c>
      <c r="H44" s="193" t="s">
        <v>103</v>
      </c>
      <c r="I44" s="190">
        <v>10</v>
      </c>
      <c r="J44" s="26">
        <v>3000</v>
      </c>
      <c r="K44" s="10">
        <f t="shared" si="15"/>
        <v>300</v>
      </c>
      <c r="L44" s="190">
        <v>10</v>
      </c>
      <c r="M44" s="11">
        <f t="shared" si="23"/>
        <v>2813.1914893617013</v>
      </c>
      <c r="N44" s="11">
        <f t="shared" si="16"/>
        <v>281.31914893617011</v>
      </c>
      <c r="O44" s="12">
        <f t="shared" si="17"/>
        <v>0</v>
      </c>
      <c r="P44" s="13">
        <f t="shared" si="18"/>
        <v>-18.680851063829891</v>
      </c>
      <c r="Q44" s="182">
        <f t="shared" si="19"/>
        <v>0.93773049645390039</v>
      </c>
      <c r="R44" s="457"/>
      <c r="S44" s="28">
        <v>0.18194444444444444</v>
      </c>
      <c r="T44" s="28">
        <v>0.27986111111111112</v>
      </c>
      <c r="U44" s="183">
        <f t="shared" ref="U44:U49" si="25">(S44-T43)*24*60</f>
        <v>29.000000000000018</v>
      </c>
      <c r="V44" s="191">
        <f t="shared" si="24"/>
        <v>141.00000000000003</v>
      </c>
      <c r="W44" s="16"/>
      <c r="X44" s="16"/>
      <c r="Y44" s="447"/>
      <c r="Z44" s="448"/>
      <c r="AA44" s="12">
        <f t="shared" si="20"/>
        <v>-186.80851063829869</v>
      </c>
      <c r="AB44" s="182">
        <f t="shared" si="21"/>
        <v>0.93773049645390039</v>
      </c>
      <c r="AC44" s="457"/>
    </row>
    <row r="45" spans="1:29" ht="15.75" customHeight="1">
      <c r="A45" s="454" t="s">
        <v>627</v>
      </c>
      <c r="B45" s="31" t="s">
        <v>79</v>
      </c>
      <c r="C45" s="444" t="s">
        <v>82</v>
      </c>
      <c r="D45" s="445"/>
      <c r="E45" s="31">
        <v>35.119999999999997</v>
      </c>
      <c r="F45" s="192">
        <v>4868</v>
      </c>
      <c r="G45" s="183">
        <f t="shared" si="22"/>
        <v>170964.15999999997</v>
      </c>
      <c r="H45" s="193" t="s">
        <v>103</v>
      </c>
      <c r="I45" s="190">
        <v>10</v>
      </c>
      <c r="J45" s="26">
        <v>3000</v>
      </c>
      <c r="K45" s="10">
        <f t="shared" si="15"/>
        <v>300</v>
      </c>
      <c r="L45" s="190">
        <v>10</v>
      </c>
      <c r="M45" s="11">
        <f t="shared" si="23"/>
        <v>2835.728155339807</v>
      </c>
      <c r="N45" s="11">
        <f t="shared" si="16"/>
        <v>283.5728155339807</v>
      </c>
      <c r="O45" s="12">
        <f t="shared" si="17"/>
        <v>0</v>
      </c>
      <c r="P45" s="13">
        <f t="shared" si="18"/>
        <v>-16.427184466019298</v>
      </c>
      <c r="Q45" s="182">
        <f t="shared" si="19"/>
        <v>0.94524271844660235</v>
      </c>
      <c r="R45" s="457"/>
      <c r="S45" s="28">
        <v>0.28402777777777777</v>
      </c>
      <c r="T45" s="28">
        <v>0.35555555555555551</v>
      </c>
      <c r="U45" s="183">
        <f t="shared" si="25"/>
        <v>5.9999999999999787</v>
      </c>
      <c r="V45" s="191">
        <f t="shared" si="24"/>
        <v>102.99999999999996</v>
      </c>
      <c r="W45" s="16"/>
      <c r="X45" s="16"/>
      <c r="Y45" s="447"/>
      <c r="Z45" s="448"/>
      <c r="AA45" s="12">
        <f t="shared" si="20"/>
        <v>-164.27184466019298</v>
      </c>
      <c r="AB45" s="182">
        <f t="shared" si="21"/>
        <v>0.94524271844660235</v>
      </c>
      <c r="AC45" s="457"/>
    </row>
    <row r="46" spans="1:29" ht="15.75" customHeight="1">
      <c r="A46" s="454" t="s">
        <v>627</v>
      </c>
      <c r="B46" s="31" t="s">
        <v>79</v>
      </c>
      <c r="C46" s="444" t="s">
        <v>83</v>
      </c>
      <c r="D46" s="445"/>
      <c r="E46" s="31">
        <v>40.18</v>
      </c>
      <c r="F46" s="192">
        <v>1872</v>
      </c>
      <c r="G46" s="183">
        <f t="shared" si="22"/>
        <v>75216.960000000006</v>
      </c>
      <c r="H46" s="193" t="s">
        <v>103</v>
      </c>
      <c r="I46" s="190">
        <v>10</v>
      </c>
      <c r="J46" s="26">
        <v>3000</v>
      </c>
      <c r="K46" s="10">
        <f t="shared" si="15"/>
        <v>300</v>
      </c>
      <c r="L46" s="190">
        <v>10</v>
      </c>
      <c r="M46" s="11">
        <f t="shared" si="23"/>
        <v>2879.9999999999982</v>
      </c>
      <c r="N46" s="11">
        <f t="shared" si="16"/>
        <v>287.99999999999983</v>
      </c>
      <c r="O46" s="12">
        <f t="shared" si="17"/>
        <v>0</v>
      </c>
      <c r="P46" s="13">
        <f t="shared" si="18"/>
        <v>-12.000000000000171</v>
      </c>
      <c r="Q46" s="182">
        <f t="shared" si="19"/>
        <v>0.95999999999999941</v>
      </c>
      <c r="R46" s="457"/>
      <c r="S46" s="28">
        <v>0.35972222222222217</v>
      </c>
      <c r="T46" s="28">
        <v>0.38680555555555551</v>
      </c>
      <c r="U46" s="183">
        <f t="shared" si="25"/>
        <v>5.9999999999999787</v>
      </c>
      <c r="V46" s="191">
        <f t="shared" si="24"/>
        <v>39.000000000000021</v>
      </c>
      <c r="W46" s="16"/>
      <c r="X46" s="16"/>
      <c r="Y46" s="447"/>
      <c r="Z46" s="448"/>
      <c r="AA46" s="12">
        <f t="shared" si="20"/>
        <v>-120.00000000000182</v>
      </c>
      <c r="AB46" s="182">
        <f t="shared" si="21"/>
        <v>0.95999999999999941</v>
      </c>
      <c r="AC46" s="457"/>
    </row>
    <row r="47" spans="1:29" ht="15.75" customHeight="1">
      <c r="A47" s="454" t="s">
        <v>627</v>
      </c>
      <c r="B47" s="31" t="s">
        <v>79</v>
      </c>
      <c r="C47" s="444" t="s">
        <v>84</v>
      </c>
      <c r="D47" s="445"/>
      <c r="E47" s="31">
        <v>28.5</v>
      </c>
      <c r="F47" s="192">
        <v>1008</v>
      </c>
      <c r="G47" s="183">
        <f t="shared" si="22"/>
        <v>28728</v>
      </c>
      <c r="H47" s="193" t="s">
        <v>103</v>
      </c>
      <c r="I47" s="190">
        <v>10</v>
      </c>
      <c r="J47" s="26">
        <v>3000</v>
      </c>
      <c r="K47" s="10">
        <f t="shared" si="15"/>
        <v>300</v>
      </c>
      <c r="L47" s="190">
        <v>10</v>
      </c>
      <c r="M47" s="11">
        <f t="shared" si="23"/>
        <v>2879.9999999999991</v>
      </c>
      <c r="N47" s="11">
        <f t="shared" si="16"/>
        <v>287.99999999999989</v>
      </c>
      <c r="O47" s="12">
        <f t="shared" si="17"/>
        <v>0</v>
      </c>
      <c r="P47" s="13">
        <f t="shared" si="18"/>
        <v>-12.000000000000114</v>
      </c>
      <c r="Q47" s="182">
        <f t="shared" si="19"/>
        <v>0.95999999999999963</v>
      </c>
      <c r="R47" s="457"/>
      <c r="S47" s="28">
        <v>0.39027777777777772</v>
      </c>
      <c r="T47" s="28">
        <v>0.40486111111111106</v>
      </c>
      <c r="U47" s="183">
        <f t="shared" si="25"/>
        <v>4.9999999999999822</v>
      </c>
      <c r="V47" s="191">
        <f t="shared" si="24"/>
        <v>21.000000000000007</v>
      </c>
      <c r="W47" s="16"/>
      <c r="X47" s="16"/>
      <c r="Y47" s="447"/>
      <c r="Z47" s="448"/>
      <c r="AA47" s="12">
        <f t="shared" si="20"/>
        <v>-120.00000000000091</v>
      </c>
      <c r="AB47" s="182">
        <f t="shared" si="21"/>
        <v>0.95999999999999974</v>
      </c>
      <c r="AC47" s="457"/>
    </row>
    <row r="48" spans="1:29" ht="15.75" customHeight="1">
      <c r="A48" s="454" t="s">
        <v>627</v>
      </c>
      <c r="B48" s="31" t="s">
        <v>79</v>
      </c>
      <c r="C48" s="444" t="s">
        <v>85</v>
      </c>
      <c r="D48" s="445"/>
      <c r="E48" s="31">
        <v>35.869999999999997</v>
      </c>
      <c r="F48" s="192">
        <v>3312</v>
      </c>
      <c r="G48" s="183">
        <f t="shared" si="22"/>
        <v>118801.43999999999</v>
      </c>
      <c r="H48" s="193" t="s">
        <v>103</v>
      </c>
      <c r="I48" s="190">
        <v>10</v>
      </c>
      <c r="J48" s="26">
        <v>3000</v>
      </c>
      <c r="K48" s="10">
        <f t="shared" si="15"/>
        <v>300</v>
      </c>
      <c r="L48" s="190">
        <v>10</v>
      </c>
      <c r="M48" s="11">
        <f t="shared" si="23"/>
        <v>2838.8571428571436</v>
      </c>
      <c r="N48" s="11">
        <f t="shared" si="16"/>
        <v>283.88571428571436</v>
      </c>
      <c r="O48" s="12">
        <f t="shared" si="17"/>
        <v>0</v>
      </c>
      <c r="P48" s="13">
        <f t="shared" si="18"/>
        <v>-16.114285714285643</v>
      </c>
      <c r="Q48" s="182">
        <f t="shared" si="19"/>
        <v>0.94628571428571451</v>
      </c>
      <c r="R48" s="457"/>
      <c r="S48" s="28">
        <v>0.4104166666666666</v>
      </c>
      <c r="T48" s="28">
        <v>0.4590277777777777</v>
      </c>
      <c r="U48" s="183">
        <f t="shared" si="25"/>
        <v>7.9999999999999716</v>
      </c>
      <c r="V48" s="191">
        <f t="shared" si="24"/>
        <v>69.999999999999986</v>
      </c>
      <c r="W48" s="16"/>
      <c r="X48" s="16"/>
      <c r="Y48" s="447"/>
      <c r="Z48" s="448"/>
      <c r="AA48" s="12">
        <f t="shared" si="20"/>
        <v>-161.14285714285643</v>
      </c>
      <c r="AB48" s="182">
        <f t="shared" si="21"/>
        <v>0.94628571428571451</v>
      </c>
      <c r="AC48" s="457"/>
    </row>
    <row r="49" spans="1:29" ht="15.75" customHeight="1">
      <c r="A49" s="454" t="s">
        <v>627</v>
      </c>
      <c r="B49" s="31" t="s">
        <v>79</v>
      </c>
      <c r="C49" s="444" t="s">
        <v>86</v>
      </c>
      <c r="D49" s="445"/>
      <c r="E49" s="31">
        <v>36.14</v>
      </c>
      <c r="F49" s="192">
        <v>2951</v>
      </c>
      <c r="G49" s="183">
        <f t="shared" si="22"/>
        <v>106649.14</v>
      </c>
      <c r="H49" s="193" t="s">
        <v>103</v>
      </c>
      <c r="I49" s="190">
        <v>10</v>
      </c>
      <c r="J49" s="26">
        <v>3000</v>
      </c>
      <c r="K49" s="10">
        <f t="shared" si="15"/>
        <v>300</v>
      </c>
      <c r="L49" s="190">
        <v>10</v>
      </c>
      <c r="M49" s="11">
        <f t="shared" si="23"/>
        <v>2810.4761904761936</v>
      </c>
      <c r="N49" s="11">
        <f t="shared" si="16"/>
        <v>281.04761904761938</v>
      </c>
      <c r="O49" s="12">
        <f t="shared" si="17"/>
        <v>0</v>
      </c>
      <c r="P49" s="13">
        <f t="shared" si="18"/>
        <v>-18.952380952380622</v>
      </c>
      <c r="Q49" s="182">
        <f t="shared" si="19"/>
        <v>0.93682539682539789</v>
      </c>
      <c r="R49" s="457"/>
      <c r="S49" s="28">
        <v>0.4638888888888888</v>
      </c>
      <c r="T49" s="28">
        <v>0.50763888888888875</v>
      </c>
      <c r="U49" s="183">
        <f t="shared" si="25"/>
        <v>6.9999999999999751</v>
      </c>
      <c r="V49" s="191">
        <f t="shared" si="24"/>
        <v>62.999999999999936</v>
      </c>
      <c r="W49" s="16"/>
      <c r="X49" s="16"/>
      <c r="Y49" s="447"/>
      <c r="Z49" s="448"/>
      <c r="AA49" s="12">
        <f t="shared" si="20"/>
        <v>-189.52380952380645</v>
      </c>
      <c r="AB49" s="182">
        <f t="shared" si="21"/>
        <v>0.93682539682539789</v>
      </c>
      <c r="AC49" s="457"/>
    </row>
    <row r="50" spans="1:29" ht="15.75" customHeight="1">
      <c r="A50" s="455" t="s">
        <v>627</v>
      </c>
      <c r="B50" s="31" t="s">
        <v>623</v>
      </c>
      <c r="C50" s="459"/>
      <c r="D50" s="460"/>
      <c r="E50" s="189"/>
      <c r="F50" s="192"/>
      <c r="G50" s="183"/>
      <c r="H50" s="192"/>
      <c r="I50" s="19">
        <v>10</v>
      </c>
      <c r="J50" s="26">
        <v>3000</v>
      </c>
      <c r="K50" s="10">
        <f t="shared" si="15"/>
        <v>300</v>
      </c>
      <c r="L50" s="19">
        <v>10</v>
      </c>
      <c r="M50" s="11">
        <f>AVERAGE(M43:M49)</f>
        <v>2837.7023849784296</v>
      </c>
      <c r="N50" s="10">
        <f t="shared" si="16"/>
        <v>283.77023849784297</v>
      </c>
      <c r="O50" s="12">
        <f t="shared" si="17"/>
        <v>0</v>
      </c>
      <c r="P50" s="13">
        <f t="shared" si="18"/>
        <v>-16.229761502157032</v>
      </c>
      <c r="Q50" s="182">
        <f t="shared" si="19"/>
        <v>0.94590079499280988</v>
      </c>
      <c r="R50" s="458"/>
      <c r="S50" s="28"/>
      <c r="T50" s="28"/>
      <c r="U50" s="183"/>
      <c r="V50" s="191"/>
      <c r="W50" s="16"/>
      <c r="X50" s="16"/>
      <c r="Y50" s="447"/>
      <c r="Z50" s="448"/>
      <c r="AA50" s="12">
        <f t="shared" si="20"/>
        <v>-162.29761502157044</v>
      </c>
      <c r="AB50" s="182">
        <f t="shared" si="21"/>
        <v>0.94590079499280988</v>
      </c>
      <c r="AC50" s="458"/>
    </row>
    <row r="51" spans="1:29" ht="15.75" customHeight="1">
      <c r="A51" s="451" t="s">
        <v>626</v>
      </c>
      <c r="B51" s="31" t="s">
        <v>53</v>
      </c>
      <c r="C51" s="441" t="s">
        <v>87</v>
      </c>
      <c r="D51" s="441"/>
      <c r="E51" s="31">
        <v>46</v>
      </c>
      <c r="F51" s="35">
        <v>3499</v>
      </c>
      <c r="G51" s="183">
        <f t="shared" ref="G51:G56" si="26">E51*F51</f>
        <v>160954</v>
      </c>
      <c r="H51" s="193" t="s">
        <v>103</v>
      </c>
      <c r="I51" s="190">
        <v>17</v>
      </c>
      <c r="J51" s="26">
        <v>2000</v>
      </c>
      <c r="K51" s="10">
        <f t="shared" si="15"/>
        <v>117.64705882352941</v>
      </c>
      <c r="L51" s="190">
        <v>17</v>
      </c>
      <c r="M51" s="11">
        <f t="shared" ref="M51:M56" si="27">F51/V51*60</f>
        <v>1891.3513513513512</v>
      </c>
      <c r="N51" s="11">
        <f t="shared" si="16"/>
        <v>111.25596184419713</v>
      </c>
      <c r="O51" s="12">
        <f t="shared" si="17"/>
        <v>0</v>
      </c>
      <c r="P51" s="13">
        <f t="shared" si="18"/>
        <v>-6.3910969793322749</v>
      </c>
      <c r="Q51" s="182">
        <f t="shared" si="19"/>
        <v>0.94567567567567568</v>
      </c>
      <c r="R51" s="442">
        <f>Q57</f>
        <v>0.9509133854836076</v>
      </c>
      <c r="S51" s="28">
        <v>0.25</v>
      </c>
      <c r="T51" s="28">
        <v>0.32708333333333334</v>
      </c>
      <c r="U51" s="18"/>
      <c r="V51" s="191">
        <f t="shared" ref="V51:V56" si="28">(T51-S51)*24*60</f>
        <v>111</v>
      </c>
      <c r="W51" s="18"/>
      <c r="X51" s="18"/>
      <c r="Y51" s="443"/>
      <c r="Z51" s="443"/>
      <c r="AA51" s="12">
        <f t="shared" si="20"/>
        <v>-108.64864864864876</v>
      </c>
      <c r="AB51" s="182">
        <f t="shared" si="21"/>
        <v>0.94567567567567568</v>
      </c>
      <c r="AC51" s="442">
        <f>AB57</f>
        <v>0.95091338548360771</v>
      </c>
    </row>
    <row r="52" spans="1:29" ht="15.75" customHeight="1">
      <c r="A52" s="451" t="s">
        <v>626</v>
      </c>
      <c r="B52" s="31" t="s">
        <v>53</v>
      </c>
      <c r="C52" s="441" t="s">
        <v>88</v>
      </c>
      <c r="D52" s="441"/>
      <c r="E52" s="31">
        <v>46</v>
      </c>
      <c r="F52" s="35">
        <v>3554</v>
      </c>
      <c r="G52" s="183">
        <f t="shared" si="26"/>
        <v>163484</v>
      </c>
      <c r="H52" s="193" t="s">
        <v>103</v>
      </c>
      <c r="I52" s="190">
        <v>18</v>
      </c>
      <c r="J52" s="26">
        <v>2000</v>
      </c>
      <c r="K52" s="10">
        <f t="shared" si="15"/>
        <v>111.11111111111111</v>
      </c>
      <c r="L52" s="190">
        <v>18</v>
      </c>
      <c r="M52" s="11">
        <f t="shared" si="27"/>
        <v>1887.0796460176991</v>
      </c>
      <c r="N52" s="11">
        <f t="shared" si="16"/>
        <v>104.83775811209439</v>
      </c>
      <c r="O52" s="12">
        <f t="shared" si="17"/>
        <v>0</v>
      </c>
      <c r="P52" s="13">
        <f t="shared" si="18"/>
        <v>-6.2733529990167227</v>
      </c>
      <c r="Q52" s="182">
        <f t="shared" si="19"/>
        <v>0.94353982300884953</v>
      </c>
      <c r="R52" s="442"/>
      <c r="S52" s="28">
        <v>0.33263888888888887</v>
      </c>
      <c r="T52" s="28">
        <v>0.41111111111111109</v>
      </c>
      <c r="U52" s="183">
        <f>IF(S52=TIME(17,0,0),"",(S52-T51)*24*60)</f>
        <v>7.9999999999999716</v>
      </c>
      <c r="V52" s="191">
        <f t="shared" si="28"/>
        <v>113</v>
      </c>
      <c r="W52" s="16"/>
      <c r="X52" s="16"/>
      <c r="Y52" s="443"/>
      <c r="Z52" s="443"/>
      <c r="AA52" s="12">
        <f t="shared" si="20"/>
        <v>-112.92035398230087</v>
      </c>
      <c r="AB52" s="182">
        <f t="shared" si="21"/>
        <v>0.94353982300884953</v>
      </c>
      <c r="AC52" s="442"/>
    </row>
    <row r="53" spans="1:29" ht="15.75" customHeight="1">
      <c r="A53" s="451" t="s">
        <v>626</v>
      </c>
      <c r="B53" s="31" t="s">
        <v>58</v>
      </c>
      <c r="C53" s="444" t="s">
        <v>168</v>
      </c>
      <c r="D53" s="445"/>
      <c r="E53" s="31">
        <v>54.09</v>
      </c>
      <c r="F53" s="35">
        <v>718</v>
      </c>
      <c r="G53" s="183">
        <f t="shared" si="26"/>
        <v>38836.620000000003</v>
      </c>
      <c r="H53" s="193" t="s">
        <v>103</v>
      </c>
      <c r="I53" s="190">
        <v>16</v>
      </c>
      <c r="J53" s="26">
        <v>2000</v>
      </c>
      <c r="K53" s="10">
        <f t="shared" si="15"/>
        <v>125</v>
      </c>
      <c r="L53" s="190">
        <v>16</v>
      </c>
      <c r="M53" s="11">
        <f t="shared" si="27"/>
        <v>1958.181818181818</v>
      </c>
      <c r="N53" s="11">
        <f t="shared" si="16"/>
        <v>122.38636363636363</v>
      </c>
      <c r="O53" s="12">
        <f t="shared" si="17"/>
        <v>0</v>
      </c>
      <c r="P53" s="13">
        <f t="shared" si="18"/>
        <v>-2.613636363636374</v>
      </c>
      <c r="Q53" s="182">
        <f t="shared" si="19"/>
        <v>0.97909090909090901</v>
      </c>
      <c r="R53" s="442"/>
      <c r="S53" s="28">
        <v>0.41666666666666663</v>
      </c>
      <c r="T53" s="28">
        <v>0.43194444444444441</v>
      </c>
      <c r="U53" s="183">
        <f>IF(S53=TIME(17,0,0),"",(S53-T52)*24*60)</f>
        <v>7.9999999999999716</v>
      </c>
      <c r="V53" s="191">
        <f t="shared" si="28"/>
        <v>22</v>
      </c>
      <c r="W53" s="16"/>
      <c r="X53" s="16"/>
      <c r="Y53" s="186"/>
      <c r="Z53" s="187"/>
      <c r="AA53" s="12">
        <f t="shared" si="20"/>
        <v>-41.818181818181984</v>
      </c>
      <c r="AB53" s="182">
        <f t="shared" si="21"/>
        <v>0.97909090909090901</v>
      </c>
      <c r="AC53" s="442"/>
    </row>
    <row r="54" spans="1:29" ht="15.75" customHeight="1">
      <c r="A54" s="451" t="s">
        <v>626</v>
      </c>
      <c r="B54" s="31" t="s">
        <v>58</v>
      </c>
      <c r="C54" s="184" t="s">
        <v>89</v>
      </c>
      <c r="D54" s="185"/>
      <c r="E54" s="31">
        <v>55.56</v>
      </c>
      <c r="F54" s="35">
        <v>2411</v>
      </c>
      <c r="G54" s="183">
        <f t="shared" si="26"/>
        <v>133955.16</v>
      </c>
      <c r="H54" s="193" t="s">
        <v>103</v>
      </c>
      <c r="I54" s="190">
        <v>17</v>
      </c>
      <c r="J54" s="26">
        <v>2000</v>
      </c>
      <c r="K54" s="10">
        <f t="shared" si="15"/>
        <v>117.64705882352941</v>
      </c>
      <c r="L54" s="190">
        <v>17</v>
      </c>
      <c r="M54" s="11">
        <f t="shared" si="27"/>
        <v>1878.7012987012977</v>
      </c>
      <c r="N54" s="11">
        <f t="shared" si="16"/>
        <v>110.51184110007634</v>
      </c>
      <c r="O54" s="12">
        <f t="shared" si="17"/>
        <v>0</v>
      </c>
      <c r="P54" s="13">
        <f t="shared" si="18"/>
        <v>-7.1352177234530672</v>
      </c>
      <c r="Q54" s="182">
        <f t="shared" si="19"/>
        <v>0.93935064935064894</v>
      </c>
      <c r="R54" s="442"/>
      <c r="S54" s="28">
        <v>0.70833333333333337</v>
      </c>
      <c r="T54" s="28">
        <v>0.76180555555555562</v>
      </c>
      <c r="U54" s="183" t="str">
        <f>IF(S54=TIME(17,0,0),"",(S54-T53)*24*60)</f>
        <v/>
      </c>
      <c r="V54" s="191">
        <f t="shared" si="28"/>
        <v>77.000000000000043</v>
      </c>
      <c r="W54" s="16"/>
      <c r="X54" s="16"/>
      <c r="Y54" s="186"/>
      <c r="Z54" s="187"/>
      <c r="AA54" s="12">
        <f t="shared" si="20"/>
        <v>-121.29870129870233</v>
      </c>
      <c r="AB54" s="182">
        <f t="shared" si="21"/>
        <v>0.93935064935064883</v>
      </c>
      <c r="AC54" s="442"/>
    </row>
    <row r="55" spans="1:29" ht="15.75" customHeight="1">
      <c r="A55" s="451" t="s">
        <v>626</v>
      </c>
      <c r="B55" s="31" t="s">
        <v>58</v>
      </c>
      <c r="C55" s="184" t="s">
        <v>90</v>
      </c>
      <c r="D55" s="185"/>
      <c r="E55" s="31">
        <v>55.32</v>
      </c>
      <c r="F55" s="35">
        <v>1803</v>
      </c>
      <c r="G55" s="183">
        <f t="shared" si="26"/>
        <v>99741.96</v>
      </c>
      <c r="H55" s="193" t="s">
        <v>103</v>
      </c>
      <c r="I55" s="190">
        <v>15</v>
      </c>
      <c r="J55" s="26">
        <v>2000</v>
      </c>
      <c r="K55" s="10">
        <f t="shared" si="15"/>
        <v>133.33333333333334</v>
      </c>
      <c r="L55" s="190">
        <v>15</v>
      </c>
      <c r="M55" s="11">
        <f t="shared" si="27"/>
        <v>1897.8947368421068</v>
      </c>
      <c r="N55" s="11">
        <f t="shared" si="16"/>
        <v>126.52631578947378</v>
      </c>
      <c r="O55" s="12">
        <f t="shared" si="17"/>
        <v>0</v>
      </c>
      <c r="P55" s="13">
        <f t="shared" si="18"/>
        <v>-6.8070175438595584</v>
      </c>
      <c r="Q55" s="182">
        <f t="shared" si="19"/>
        <v>0.94894736842105332</v>
      </c>
      <c r="R55" s="442"/>
      <c r="S55" s="28">
        <v>0.76597222222222228</v>
      </c>
      <c r="T55" s="28">
        <v>0.80555555555555558</v>
      </c>
      <c r="U55" s="183">
        <f>IF(S55=TIME(17,0,0),"",(S55-T54)*24*60)</f>
        <v>5.9999999999999787</v>
      </c>
      <c r="V55" s="191">
        <f t="shared" si="28"/>
        <v>56.999999999999957</v>
      </c>
      <c r="W55" s="16"/>
      <c r="X55" s="16"/>
      <c r="Y55" s="186"/>
      <c r="Z55" s="187"/>
      <c r="AA55" s="12">
        <f t="shared" si="20"/>
        <v>-102.10526315789321</v>
      </c>
      <c r="AB55" s="182">
        <f t="shared" si="21"/>
        <v>0.94894736842105343</v>
      </c>
      <c r="AC55" s="442"/>
    </row>
    <row r="56" spans="1:29" ht="15.75" customHeight="1">
      <c r="A56" s="451" t="s">
        <v>626</v>
      </c>
      <c r="B56" s="31" t="s">
        <v>58</v>
      </c>
      <c r="C56" s="444" t="s">
        <v>91</v>
      </c>
      <c r="D56" s="445"/>
      <c r="E56" s="31">
        <v>57.73</v>
      </c>
      <c r="F56" s="35">
        <v>1446</v>
      </c>
      <c r="G56" s="183">
        <f t="shared" si="26"/>
        <v>83477.58</v>
      </c>
      <c r="H56" s="193" t="s">
        <v>103</v>
      </c>
      <c r="I56" s="190">
        <v>16</v>
      </c>
      <c r="J56" s="26">
        <v>1500</v>
      </c>
      <c r="K56" s="10">
        <f t="shared" si="15"/>
        <v>93.75</v>
      </c>
      <c r="L56" s="190">
        <v>16</v>
      </c>
      <c r="M56" s="11">
        <f t="shared" si="27"/>
        <v>1422.2950819672144</v>
      </c>
      <c r="N56" s="11">
        <f t="shared" si="16"/>
        <v>88.8934426229509</v>
      </c>
      <c r="O56" s="12">
        <f t="shared" si="17"/>
        <v>0</v>
      </c>
      <c r="P56" s="13">
        <f t="shared" si="18"/>
        <v>-4.8565573770491</v>
      </c>
      <c r="Q56" s="182">
        <f t="shared" si="19"/>
        <v>0.94819672131147625</v>
      </c>
      <c r="R56" s="442"/>
      <c r="S56" s="28">
        <v>0.80972222222222223</v>
      </c>
      <c r="T56" s="28">
        <v>0.8520833333333333</v>
      </c>
      <c r="U56" s="183">
        <f>IF(S56=TIME(17,0,0),"",(S56-T55)*24*60)</f>
        <v>5.9999999999999787</v>
      </c>
      <c r="V56" s="191">
        <f t="shared" si="28"/>
        <v>60.999999999999943</v>
      </c>
      <c r="W56" s="16"/>
      <c r="X56" s="16"/>
      <c r="Y56" s="447"/>
      <c r="Z56" s="448"/>
      <c r="AA56" s="12">
        <f t="shared" si="20"/>
        <v>-77.704918032785599</v>
      </c>
      <c r="AB56" s="182">
        <f t="shared" si="21"/>
        <v>0.94819672131147625</v>
      </c>
      <c r="AC56" s="442"/>
    </row>
    <row r="57" spans="1:29">
      <c r="A57" s="452" t="s">
        <v>626</v>
      </c>
      <c r="B57" s="31" t="s">
        <v>623</v>
      </c>
      <c r="C57" s="446"/>
      <c r="D57" s="446"/>
      <c r="E57" s="188"/>
      <c r="F57" s="33"/>
      <c r="G57" s="10"/>
      <c r="H57" s="192"/>
      <c r="I57" s="19">
        <v>16.5</v>
      </c>
      <c r="J57" s="26">
        <v>1916.6666666666667</v>
      </c>
      <c r="K57" s="10">
        <f t="shared" si="15"/>
        <v>116.16161616161617</v>
      </c>
      <c r="L57" s="19">
        <v>16.5</v>
      </c>
      <c r="M57" s="11">
        <f>AVERAGE(M51:M56)</f>
        <v>1822.5839888435814</v>
      </c>
      <c r="N57" s="10">
        <f t="shared" si="16"/>
        <v>110.45963568748978</v>
      </c>
      <c r="O57" s="12">
        <f t="shared" si="17"/>
        <v>0</v>
      </c>
      <c r="P57" s="13">
        <f t="shared" si="18"/>
        <v>-5.7019804741263869</v>
      </c>
      <c r="Q57" s="182">
        <f t="shared" si="19"/>
        <v>0.9509133854836076</v>
      </c>
      <c r="R57" s="442"/>
      <c r="S57" s="29"/>
      <c r="T57" s="28"/>
      <c r="U57" s="10"/>
      <c r="V57" s="191"/>
      <c r="W57" s="10"/>
      <c r="X57" s="10"/>
      <c r="Y57" s="443"/>
      <c r="Z57" s="443"/>
      <c r="AA57" s="12">
        <f t="shared" si="20"/>
        <v>-94.082677823085305</v>
      </c>
      <c r="AB57" s="182">
        <f t="shared" si="21"/>
        <v>0.95091338548360771</v>
      </c>
      <c r="AC57" s="442"/>
    </row>
    <row r="58" spans="1:29" ht="15.75" customHeight="1">
      <c r="A58" s="449" t="s">
        <v>625</v>
      </c>
      <c r="B58" s="192" t="s">
        <v>92</v>
      </c>
      <c r="C58" s="441" t="s">
        <v>93</v>
      </c>
      <c r="D58" s="441"/>
      <c r="E58" s="31">
        <v>84.51</v>
      </c>
      <c r="F58" s="35">
        <v>1699</v>
      </c>
      <c r="G58" s="183">
        <f t="shared" ref="G58:G63" si="29">E58*F58</f>
        <v>143582.49000000002</v>
      </c>
      <c r="H58" s="193" t="s">
        <v>103</v>
      </c>
      <c r="I58" s="190">
        <v>17</v>
      </c>
      <c r="J58" s="26">
        <v>2400</v>
      </c>
      <c r="K58" s="10">
        <f t="shared" si="15"/>
        <v>141.1764705882353</v>
      </c>
      <c r="L58" s="19">
        <v>17</v>
      </c>
      <c r="M58" s="11">
        <f t="shared" ref="M58:M63" si="30">F58/V58*60</f>
        <v>2265.333333333333</v>
      </c>
      <c r="N58" s="10">
        <f t="shared" si="16"/>
        <v>133.25490196078431</v>
      </c>
      <c r="O58" s="12">
        <f t="shared" si="17"/>
        <v>0</v>
      </c>
      <c r="P58" s="13">
        <f t="shared" si="18"/>
        <v>-7.9215686274509949</v>
      </c>
      <c r="Q58" s="182">
        <f t="shared" si="19"/>
        <v>0.94388888888888878</v>
      </c>
      <c r="R58" s="442">
        <f>Q64</f>
        <v>0.94723021294562748</v>
      </c>
      <c r="S58" s="28">
        <v>0.125</v>
      </c>
      <c r="T58" s="28">
        <v>0.15625</v>
      </c>
      <c r="U58" s="183"/>
      <c r="V58" s="191">
        <f t="shared" ref="V58:V63" si="31">(T58-S58)*24*60</f>
        <v>45</v>
      </c>
      <c r="W58" s="18"/>
      <c r="X58" s="18"/>
      <c r="Y58" s="443"/>
      <c r="Z58" s="443"/>
      <c r="AA58" s="12">
        <f t="shared" si="20"/>
        <v>-134.66666666666697</v>
      </c>
      <c r="AB58" s="182">
        <f t="shared" si="21"/>
        <v>0.94388888888888878</v>
      </c>
      <c r="AC58" s="442">
        <f>AB64</f>
        <v>0.94723021294562748</v>
      </c>
    </row>
    <row r="59" spans="1:29" ht="15.75" customHeight="1">
      <c r="A59" s="449" t="s">
        <v>625</v>
      </c>
      <c r="B59" s="192" t="s">
        <v>79</v>
      </c>
      <c r="C59" s="441" t="s">
        <v>94</v>
      </c>
      <c r="D59" s="441"/>
      <c r="E59" s="31">
        <v>26.78</v>
      </c>
      <c r="F59" s="35">
        <v>2780</v>
      </c>
      <c r="G59" s="183">
        <f t="shared" si="29"/>
        <v>74448.400000000009</v>
      </c>
      <c r="H59" s="193" t="s">
        <v>103</v>
      </c>
      <c r="I59" s="190">
        <v>10</v>
      </c>
      <c r="J59" s="26">
        <v>3000</v>
      </c>
      <c r="K59" s="10">
        <f t="shared" si="15"/>
        <v>300</v>
      </c>
      <c r="L59" s="19">
        <v>10</v>
      </c>
      <c r="M59" s="11">
        <f t="shared" si="30"/>
        <v>2827.118644067797</v>
      </c>
      <c r="N59" s="10">
        <f t="shared" si="16"/>
        <v>282.71186440677968</v>
      </c>
      <c r="O59" s="12">
        <f t="shared" si="17"/>
        <v>0</v>
      </c>
      <c r="P59" s="13">
        <f t="shared" si="18"/>
        <v>-17.288135593220318</v>
      </c>
      <c r="Q59" s="182">
        <f t="shared" si="19"/>
        <v>0.94237288135593222</v>
      </c>
      <c r="R59" s="442"/>
      <c r="S59" s="28">
        <v>0.16180555555555556</v>
      </c>
      <c r="T59" s="28">
        <v>0.20277777777777778</v>
      </c>
      <c r="U59" s="183">
        <f>(S59-T58)*24*60</f>
        <v>8.0000000000000107</v>
      </c>
      <c r="V59" s="191">
        <f t="shared" si="31"/>
        <v>58.999999999999993</v>
      </c>
      <c r="W59" s="16">
        <f>T59</f>
        <v>0.20277777777777778</v>
      </c>
      <c r="X59" s="16">
        <f>S60</f>
        <v>0.22222222222222224</v>
      </c>
      <c r="Y59" s="443"/>
      <c r="Z59" s="443"/>
      <c r="AA59" s="12">
        <f t="shared" si="20"/>
        <v>-172.88135593220295</v>
      </c>
      <c r="AB59" s="182">
        <f t="shared" si="21"/>
        <v>0.94237288135593233</v>
      </c>
      <c r="AC59" s="442"/>
    </row>
    <row r="60" spans="1:29" ht="15.75" customHeight="1">
      <c r="A60" s="449" t="s">
        <v>625</v>
      </c>
      <c r="B60" s="192" t="s">
        <v>79</v>
      </c>
      <c r="C60" s="441" t="s">
        <v>95</v>
      </c>
      <c r="D60" s="441"/>
      <c r="E60" s="31">
        <v>35.369999999999997</v>
      </c>
      <c r="F60" s="35">
        <v>1710</v>
      </c>
      <c r="G60" s="183">
        <f t="shared" si="29"/>
        <v>60482.7</v>
      </c>
      <c r="H60" s="193" t="s">
        <v>103</v>
      </c>
      <c r="I60" s="190">
        <v>10</v>
      </c>
      <c r="J60" s="26">
        <v>3000</v>
      </c>
      <c r="K60" s="10">
        <f t="shared" si="15"/>
        <v>300</v>
      </c>
      <c r="L60" s="19">
        <v>10</v>
      </c>
      <c r="M60" s="11">
        <f t="shared" si="30"/>
        <v>2850.0000000000005</v>
      </c>
      <c r="N60" s="10">
        <f t="shared" si="16"/>
        <v>285.00000000000006</v>
      </c>
      <c r="O60" s="12">
        <f t="shared" si="17"/>
        <v>0</v>
      </c>
      <c r="P60" s="13">
        <f t="shared" si="18"/>
        <v>-14.999999999999943</v>
      </c>
      <c r="Q60" s="182">
        <f t="shared" si="19"/>
        <v>0.95000000000000018</v>
      </c>
      <c r="R60" s="442"/>
      <c r="S60" s="28">
        <v>0.22222222222222224</v>
      </c>
      <c r="T60" s="28">
        <v>0.24722222222222223</v>
      </c>
      <c r="U60" s="183">
        <f>(S60-T59)*24*60</f>
        <v>28.000000000000021</v>
      </c>
      <c r="V60" s="191">
        <f t="shared" si="31"/>
        <v>35.999999999999993</v>
      </c>
      <c r="W60" s="183"/>
      <c r="X60" s="183"/>
      <c r="Y60" s="443"/>
      <c r="Z60" s="443"/>
      <c r="AA60" s="12">
        <f t="shared" si="20"/>
        <v>-149.99999999999955</v>
      </c>
      <c r="AB60" s="182">
        <f t="shared" si="21"/>
        <v>0.95000000000000018</v>
      </c>
      <c r="AC60" s="442"/>
    </row>
    <row r="61" spans="1:29" ht="15.75" customHeight="1">
      <c r="A61" s="449" t="s">
        <v>625</v>
      </c>
      <c r="B61" s="192" t="s">
        <v>53</v>
      </c>
      <c r="C61" s="441" t="s">
        <v>96</v>
      </c>
      <c r="D61" s="441"/>
      <c r="E61" s="31">
        <v>26.97</v>
      </c>
      <c r="F61" s="35">
        <v>3584</v>
      </c>
      <c r="G61" s="183">
        <f t="shared" si="29"/>
        <v>96660.479999999996</v>
      </c>
      <c r="H61" s="193" t="s">
        <v>103</v>
      </c>
      <c r="I61" s="190">
        <v>8</v>
      </c>
      <c r="J61" s="26">
        <v>1500</v>
      </c>
      <c r="K61" s="10">
        <f t="shared" si="15"/>
        <v>187.5</v>
      </c>
      <c r="L61" s="19">
        <v>8</v>
      </c>
      <c r="M61" s="11">
        <f t="shared" si="30"/>
        <v>1414.7368421052629</v>
      </c>
      <c r="N61" s="10">
        <f t="shared" si="16"/>
        <v>176.84210526315786</v>
      </c>
      <c r="O61" s="12">
        <f t="shared" si="17"/>
        <v>0</v>
      </c>
      <c r="P61" s="13">
        <f t="shared" si="18"/>
        <v>-10.657894736842138</v>
      </c>
      <c r="Q61" s="182">
        <f t="shared" si="19"/>
        <v>0.94315789473684197</v>
      </c>
      <c r="R61" s="442"/>
      <c r="S61" s="28">
        <v>0.25277777777777777</v>
      </c>
      <c r="T61" s="28">
        <v>0.35833333333333334</v>
      </c>
      <c r="U61" s="183">
        <f>(S61-T60)*24*60</f>
        <v>7.9999999999999716</v>
      </c>
      <c r="V61" s="191">
        <f t="shared" si="31"/>
        <v>152.00000000000003</v>
      </c>
      <c r="W61" s="183"/>
      <c r="X61" s="183"/>
      <c r="Y61" s="443"/>
      <c r="Z61" s="443"/>
      <c r="AA61" s="12">
        <f t="shared" si="20"/>
        <v>-85.263157894737105</v>
      </c>
      <c r="AB61" s="182">
        <f t="shared" si="21"/>
        <v>0.94315789473684197</v>
      </c>
      <c r="AC61" s="442"/>
    </row>
    <row r="62" spans="1:29">
      <c r="A62" s="450" t="s">
        <v>625</v>
      </c>
      <c r="B62" s="192" t="s">
        <v>79</v>
      </c>
      <c r="C62" s="441" t="s">
        <v>97</v>
      </c>
      <c r="D62" s="441"/>
      <c r="E62" s="31">
        <v>35.119999999999997</v>
      </c>
      <c r="F62" s="35">
        <v>1332</v>
      </c>
      <c r="G62" s="183">
        <f t="shared" si="29"/>
        <v>46779.839999999997</v>
      </c>
      <c r="H62" s="193" t="s">
        <v>103</v>
      </c>
      <c r="I62" s="190">
        <v>13</v>
      </c>
      <c r="J62" s="26">
        <v>2000</v>
      </c>
      <c r="K62" s="10">
        <f t="shared" si="15"/>
        <v>153.84615384615384</v>
      </c>
      <c r="L62" s="19">
        <v>13</v>
      </c>
      <c r="M62" s="11">
        <f t="shared" si="30"/>
        <v>1902.8571428571422</v>
      </c>
      <c r="N62" s="10">
        <f t="shared" si="16"/>
        <v>146.37362637362634</v>
      </c>
      <c r="O62" s="12">
        <f t="shared" si="17"/>
        <v>0</v>
      </c>
      <c r="P62" s="13">
        <f t="shared" si="18"/>
        <v>-7.4725274725275028</v>
      </c>
      <c r="Q62" s="182">
        <f t="shared" si="19"/>
        <v>0.95142857142857118</v>
      </c>
      <c r="R62" s="442"/>
      <c r="S62" s="28">
        <v>0.36180555555555555</v>
      </c>
      <c r="T62" s="28">
        <v>0.39097222222222222</v>
      </c>
      <c r="U62" s="183">
        <f>(S62-T61)*24*60</f>
        <v>4.9999999999999822</v>
      </c>
      <c r="V62" s="191">
        <f t="shared" si="31"/>
        <v>42.000000000000014</v>
      </c>
      <c r="W62" s="16"/>
      <c r="X62" s="16"/>
      <c r="Y62" s="443"/>
      <c r="Z62" s="443"/>
      <c r="AA62" s="12">
        <f t="shared" si="20"/>
        <v>-97.142857142857792</v>
      </c>
      <c r="AB62" s="182">
        <f t="shared" si="21"/>
        <v>0.95142857142857107</v>
      </c>
      <c r="AC62" s="442"/>
    </row>
    <row r="63" spans="1:29" ht="15" customHeight="1">
      <c r="A63" s="450" t="s">
        <v>625</v>
      </c>
      <c r="B63" s="192" t="s">
        <v>79</v>
      </c>
      <c r="C63" s="444" t="s">
        <v>98</v>
      </c>
      <c r="D63" s="445"/>
      <c r="E63" s="31">
        <v>35.869999999999997</v>
      </c>
      <c r="F63" s="35">
        <v>2711</v>
      </c>
      <c r="G63" s="183">
        <f t="shared" si="29"/>
        <v>97243.569999999992</v>
      </c>
      <c r="H63" s="193" t="s">
        <v>103</v>
      </c>
      <c r="I63" s="190">
        <v>10</v>
      </c>
      <c r="J63" s="26">
        <v>3000</v>
      </c>
      <c r="K63" s="10">
        <f t="shared" si="15"/>
        <v>300</v>
      </c>
      <c r="L63" s="19">
        <v>10</v>
      </c>
      <c r="M63" s="11">
        <f t="shared" si="30"/>
        <v>2853.684210526314</v>
      </c>
      <c r="N63" s="10">
        <f t="shared" si="16"/>
        <v>285.36842105263139</v>
      </c>
      <c r="O63" s="12">
        <f t="shared" si="17"/>
        <v>0</v>
      </c>
      <c r="P63" s="13">
        <f t="shared" si="18"/>
        <v>-14.63157894736861</v>
      </c>
      <c r="Q63" s="182">
        <f t="shared" si="19"/>
        <v>0.95122807017543798</v>
      </c>
      <c r="R63" s="442"/>
      <c r="S63" s="28">
        <v>0.39652777777777776</v>
      </c>
      <c r="T63" s="28">
        <v>0.43611111111111112</v>
      </c>
      <c r="U63" s="183">
        <f>(S63-T62)*24*60</f>
        <v>7.9999999999999716</v>
      </c>
      <c r="V63" s="191">
        <f t="shared" si="31"/>
        <v>57.000000000000036</v>
      </c>
      <c r="W63" s="183"/>
      <c r="X63" s="183"/>
      <c r="Y63" s="447"/>
      <c r="Z63" s="448"/>
      <c r="AA63" s="12">
        <f t="shared" si="20"/>
        <v>-146.31578947368598</v>
      </c>
      <c r="AB63" s="182">
        <f t="shared" si="21"/>
        <v>0.95122807017543798</v>
      </c>
      <c r="AC63" s="442"/>
    </row>
    <row r="64" spans="1:29">
      <c r="A64" s="450" t="s">
        <v>625</v>
      </c>
      <c r="B64" s="31" t="s">
        <v>623</v>
      </c>
      <c r="C64" s="446"/>
      <c r="D64" s="446"/>
      <c r="E64" s="188"/>
      <c r="F64" s="33"/>
      <c r="G64" s="10"/>
      <c r="H64" s="192"/>
      <c r="I64" s="19">
        <v>11.333333333333334</v>
      </c>
      <c r="J64" s="26">
        <v>2483.3333333333335</v>
      </c>
      <c r="K64" s="10">
        <f t="shared" si="15"/>
        <v>219.11764705882354</v>
      </c>
      <c r="L64" s="19">
        <v>11.333333333333334</v>
      </c>
      <c r="M64" s="11">
        <f>AVERAGE(M58:M63)</f>
        <v>2352.2883621483084</v>
      </c>
      <c r="N64" s="10">
        <f t="shared" si="16"/>
        <v>207.55485548367426</v>
      </c>
      <c r="O64" s="12">
        <f t="shared" si="17"/>
        <v>0</v>
      </c>
      <c r="P64" s="13">
        <f t="shared" si="18"/>
        <v>-11.562791575149276</v>
      </c>
      <c r="Q64" s="182">
        <f t="shared" si="19"/>
        <v>0.94723021294562748</v>
      </c>
      <c r="R64" s="442"/>
      <c r="S64" s="28"/>
      <c r="T64" s="28"/>
      <c r="U64" s="10"/>
      <c r="V64" s="191"/>
      <c r="W64" s="10"/>
      <c r="X64" s="10"/>
      <c r="Y64" s="443"/>
      <c r="Z64" s="443"/>
      <c r="AA64" s="12">
        <f t="shared" si="20"/>
        <v>-131.04497118502513</v>
      </c>
      <c r="AB64" s="182">
        <f t="shared" si="21"/>
        <v>0.94723021294562748</v>
      </c>
      <c r="AC64" s="442"/>
    </row>
    <row r="65" spans="1:29" ht="15.75" customHeight="1">
      <c r="A65" s="439" t="s">
        <v>624</v>
      </c>
      <c r="B65" s="192" t="s">
        <v>67</v>
      </c>
      <c r="C65" s="441" t="s">
        <v>99</v>
      </c>
      <c r="D65" s="441"/>
      <c r="E65" s="31">
        <v>20.2</v>
      </c>
      <c r="F65" s="192">
        <v>3161</v>
      </c>
      <c r="G65" s="183">
        <f t="shared" ref="G65:G70" si="32">E65*F65</f>
        <v>63852.2</v>
      </c>
      <c r="H65" s="193" t="s">
        <v>103</v>
      </c>
      <c r="I65" s="190">
        <v>19</v>
      </c>
      <c r="J65" s="26">
        <v>2400</v>
      </c>
      <c r="K65" s="10">
        <f t="shared" si="15"/>
        <v>126.31578947368421</v>
      </c>
      <c r="L65" s="19">
        <v>19</v>
      </c>
      <c r="M65" s="11">
        <f t="shared" ref="M65:M70" si="33">F65/V65*60</f>
        <v>2257.8571428571427</v>
      </c>
      <c r="N65" s="10">
        <f t="shared" si="16"/>
        <v>118.8345864661654</v>
      </c>
      <c r="O65" s="12">
        <f t="shared" si="17"/>
        <v>0</v>
      </c>
      <c r="P65" s="13">
        <f t="shared" si="18"/>
        <v>-7.4812030075188005</v>
      </c>
      <c r="Q65" s="182">
        <f t="shared" si="19"/>
        <v>0.94077380952380951</v>
      </c>
      <c r="R65" s="442">
        <f>Q71</f>
        <v>0.94068428241625968</v>
      </c>
      <c r="S65" s="28">
        <v>8.3333333333333329E-2</v>
      </c>
      <c r="T65" s="28">
        <v>0.14166666666666666</v>
      </c>
      <c r="U65" s="18"/>
      <c r="V65" s="191">
        <f t="shared" ref="V65:V70" si="34">(T65-S65)*24*60</f>
        <v>84</v>
      </c>
      <c r="W65" s="16">
        <f>T65</f>
        <v>0.14166666666666666</v>
      </c>
      <c r="X65" s="16">
        <f>S66</f>
        <v>0.16111111111111112</v>
      </c>
      <c r="Y65" s="443"/>
      <c r="Z65" s="443"/>
      <c r="AA65" s="12">
        <f t="shared" si="20"/>
        <v>-142.14285714285734</v>
      </c>
      <c r="AB65" s="182">
        <f t="shared" si="21"/>
        <v>0.9407738095238094</v>
      </c>
      <c r="AC65" s="442">
        <f>AB71</f>
        <v>0.94068428241625968</v>
      </c>
    </row>
    <row r="66" spans="1:29" ht="15.75" customHeight="1">
      <c r="A66" s="439" t="s">
        <v>51</v>
      </c>
      <c r="B66" s="192" t="s">
        <v>67</v>
      </c>
      <c r="C66" s="441" t="s">
        <v>100</v>
      </c>
      <c r="D66" s="441"/>
      <c r="E66" s="31">
        <v>19.02</v>
      </c>
      <c r="F66" s="192">
        <v>6400</v>
      </c>
      <c r="G66" s="183">
        <f t="shared" si="32"/>
        <v>121728</v>
      </c>
      <c r="H66" s="193">
        <v>2</v>
      </c>
      <c r="I66" s="190">
        <v>15</v>
      </c>
      <c r="J66" s="26">
        <v>2400</v>
      </c>
      <c r="K66" s="10">
        <f t="shared" si="15"/>
        <v>160</v>
      </c>
      <c r="L66" s="19">
        <v>15</v>
      </c>
      <c r="M66" s="11">
        <f t="shared" si="33"/>
        <v>2245.6140350877195</v>
      </c>
      <c r="N66" s="10">
        <f t="shared" si="16"/>
        <v>149.70760233918131</v>
      </c>
      <c r="O66" s="12">
        <f t="shared" si="17"/>
        <v>0</v>
      </c>
      <c r="P66" s="13">
        <f t="shared" si="18"/>
        <v>-10.292397660818693</v>
      </c>
      <c r="Q66" s="182">
        <f t="shared" si="19"/>
        <v>0.93567251461988321</v>
      </c>
      <c r="R66" s="442"/>
      <c r="S66" s="28">
        <v>0.16111111111111112</v>
      </c>
      <c r="T66" s="28">
        <v>0.27986111111111112</v>
      </c>
      <c r="U66" s="183">
        <f>(S66-T65)*24*60</f>
        <v>28.000000000000021</v>
      </c>
      <c r="V66" s="191">
        <f t="shared" si="34"/>
        <v>170.99999999999997</v>
      </c>
      <c r="W66" s="16"/>
      <c r="X66" s="16"/>
      <c r="Y66" s="443"/>
      <c r="Z66" s="443"/>
      <c r="AA66" s="12">
        <f t="shared" si="20"/>
        <v>-154.38596491228054</v>
      </c>
      <c r="AB66" s="182">
        <f t="shared" si="21"/>
        <v>0.9356725146198831</v>
      </c>
      <c r="AC66" s="442"/>
    </row>
    <row r="67" spans="1:29" ht="15.75" customHeight="1">
      <c r="A67" s="439" t="s">
        <v>624</v>
      </c>
      <c r="B67" s="192" t="s">
        <v>67</v>
      </c>
      <c r="C67" s="441" t="s">
        <v>101</v>
      </c>
      <c r="D67" s="441"/>
      <c r="E67" s="31">
        <v>25</v>
      </c>
      <c r="F67" s="192">
        <v>4801</v>
      </c>
      <c r="G67" s="183">
        <f t="shared" si="32"/>
        <v>120025</v>
      </c>
      <c r="H67" s="193" t="s">
        <v>103</v>
      </c>
      <c r="I67" s="190">
        <v>15</v>
      </c>
      <c r="J67" s="26">
        <v>2400</v>
      </c>
      <c r="K67" s="10">
        <f t="shared" si="15"/>
        <v>160</v>
      </c>
      <c r="L67" s="19">
        <v>15</v>
      </c>
      <c r="M67" s="11">
        <f t="shared" si="33"/>
        <v>2250.4687499999995</v>
      </c>
      <c r="N67" s="10">
        <f t="shared" si="16"/>
        <v>150.03124999999997</v>
      </c>
      <c r="O67" s="12">
        <f t="shared" si="17"/>
        <v>0</v>
      </c>
      <c r="P67" s="13">
        <f t="shared" si="18"/>
        <v>-9.9687500000000284</v>
      </c>
      <c r="Q67" s="182">
        <f t="shared" si="19"/>
        <v>0.93769531249999982</v>
      </c>
      <c r="R67" s="442"/>
      <c r="S67" s="28">
        <v>0.28333333333333333</v>
      </c>
      <c r="T67" s="28">
        <v>0.37222222222222223</v>
      </c>
      <c r="U67" s="183">
        <f>(S67-T66)*24*60</f>
        <v>4.9999999999999822</v>
      </c>
      <c r="V67" s="191">
        <f t="shared" si="34"/>
        <v>128.00000000000003</v>
      </c>
      <c r="W67" s="16"/>
      <c r="X67" s="16"/>
      <c r="Y67" s="443"/>
      <c r="Z67" s="443"/>
      <c r="AA67" s="12">
        <f t="shared" si="20"/>
        <v>-149.53125000000045</v>
      </c>
      <c r="AB67" s="182">
        <f t="shared" si="21"/>
        <v>0.93769531249999982</v>
      </c>
      <c r="AC67" s="442"/>
    </row>
    <row r="68" spans="1:29" ht="15.75" customHeight="1">
      <c r="A68" s="439" t="s">
        <v>624</v>
      </c>
      <c r="B68" s="192" t="s">
        <v>67</v>
      </c>
      <c r="C68" s="441" t="s">
        <v>102</v>
      </c>
      <c r="D68" s="441"/>
      <c r="E68" s="31">
        <v>20.52</v>
      </c>
      <c r="F68" s="192">
        <v>5038</v>
      </c>
      <c r="G68" s="183">
        <f t="shared" si="32"/>
        <v>103379.76</v>
      </c>
      <c r="H68" s="193" t="s">
        <v>103</v>
      </c>
      <c r="I68" s="190">
        <v>18</v>
      </c>
      <c r="J68" s="26">
        <v>2400</v>
      </c>
      <c r="K68" s="10">
        <f t="shared" si="15"/>
        <v>133.33333333333334</v>
      </c>
      <c r="L68" s="19">
        <v>18</v>
      </c>
      <c r="M68" s="11">
        <f t="shared" si="33"/>
        <v>2255.8208955223881</v>
      </c>
      <c r="N68" s="10">
        <f t="shared" si="16"/>
        <v>125.32338308457712</v>
      </c>
      <c r="O68" s="12">
        <f t="shared" si="17"/>
        <v>0</v>
      </c>
      <c r="P68" s="13">
        <f t="shared" si="18"/>
        <v>-8.0099502487562262</v>
      </c>
      <c r="Q68" s="182">
        <f t="shared" si="19"/>
        <v>0.93992537313432833</v>
      </c>
      <c r="R68" s="442"/>
      <c r="S68" s="28">
        <v>0.37569444444444444</v>
      </c>
      <c r="T68" s="28">
        <v>0.46875</v>
      </c>
      <c r="U68" s="183">
        <f>(S68-T67)*24*60</f>
        <v>4.9999999999999822</v>
      </c>
      <c r="V68" s="191">
        <f t="shared" si="34"/>
        <v>134</v>
      </c>
      <c r="W68" s="16"/>
      <c r="X68" s="16"/>
      <c r="Y68" s="443"/>
      <c r="Z68" s="443"/>
      <c r="AA68" s="12">
        <f t="shared" si="20"/>
        <v>-144.17910447761187</v>
      </c>
      <c r="AB68" s="182">
        <f t="shared" si="21"/>
        <v>0.93992537313432833</v>
      </c>
      <c r="AC68" s="442"/>
    </row>
    <row r="69" spans="1:29" ht="15.75" customHeight="1">
      <c r="A69" s="439" t="s">
        <v>624</v>
      </c>
      <c r="B69" s="192" t="s">
        <v>67</v>
      </c>
      <c r="C69" s="441" t="s">
        <v>71</v>
      </c>
      <c r="D69" s="441"/>
      <c r="E69" s="31">
        <v>22.35</v>
      </c>
      <c r="F69" s="192">
        <v>2095</v>
      </c>
      <c r="G69" s="183">
        <f t="shared" si="32"/>
        <v>46823.25</v>
      </c>
      <c r="H69" s="193" t="s">
        <v>103</v>
      </c>
      <c r="I69" s="190">
        <v>16</v>
      </c>
      <c r="J69" s="26">
        <v>2400</v>
      </c>
      <c r="K69" s="10">
        <f t="shared" ref="K69:K71" si="35">J69/I69</f>
        <v>150</v>
      </c>
      <c r="L69" s="19">
        <v>16</v>
      </c>
      <c r="M69" s="11">
        <f t="shared" si="33"/>
        <v>2285.4545454545469</v>
      </c>
      <c r="N69" s="10">
        <f t="shared" ref="N69:N71" si="36">M69/L69</f>
        <v>142.84090909090918</v>
      </c>
      <c r="O69" s="12">
        <f t="shared" si="17"/>
        <v>0</v>
      </c>
      <c r="P69" s="13">
        <f t="shared" si="18"/>
        <v>-7.1590909090908212</v>
      </c>
      <c r="Q69" s="182">
        <f t="shared" si="19"/>
        <v>0.95227272727272783</v>
      </c>
      <c r="R69" s="442"/>
      <c r="S69" s="28">
        <v>0.47222222222222221</v>
      </c>
      <c r="T69" s="28">
        <v>0.51041666666666663</v>
      </c>
      <c r="U69" s="183">
        <f>(S69-T68)*24*60</f>
        <v>4.9999999999999822</v>
      </c>
      <c r="V69" s="191">
        <f t="shared" si="34"/>
        <v>54.999999999999964</v>
      </c>
      <c r="W69" s="16">
        <f>T69</f>
        <v>0.51041666666666663</v>
      </c>
      <c r="X69" s="16">
        <f>S70</f>
        <v>0.55138888888888882</v>
      </c>
      <c r="Y69" s="443"/>
      <c r="Z69" s="443"/>
      <c r="AA69" s="12">
        <f t="shared" si="20"/>
        <v>-114.54545454545314</v>
      </c>
      <c r="AB69" s="182">
        <f t="shared" si="21"/>
        <v>0.95227272727272783</v>
      </c>
      <c r="AC69" s="442"/>
    </row>
    <row r="70" spans="1:29" ht="15.75" customHeight="1">
      <c r="A70" s="439" t="s">
        <v>624</v>
      </c>
      <c r="B70" s="192" t="s">
        <v>67</v>
      </c>
      <c r="C70" s="441" t="s">
        <v>100</v>
      </c>
      <c r="D70" s="441"/>
      <c r="E70" s="31">
        <v>19.02</v>
      </c>
      <c r="F70" s="192">
        <v>5289</v>
      </c>
      <c r="G70" s="183">
        <f t="shared" si="32"/>
        <v>100596.78</v>
      </c>
      <c r="H70" s="193" t="s">
        <v>103</v>
      </c>
      <c r="I70" s="190">
        <v>15</v>
      </c>
      <c r="J70" s="26">
        <v>2400</v>
      </c>
      <c r="K70" s="10">
        <f t="shared" si="35"/>
        <v>160</v>
      </c>
      <c r="L70" s="19">
        <v>15</v>
      </c>
      <c r="M70" s="11">
        <f t="shared" si="33"/>
        <v>2250.6382978723409</v>
      </c>
      <c r="N70" s="10">
        <f t="shared" si="36"/>
        <v>150.04255319148939</v>
      </c>
      <c r="O70" s="12">
        <f t="shared" si="17"/>
        <v>0</v>
      </c>
      <c r="P70" s="13">
        <f t="shared" si="18"/>
        <v>-9.9574468085106105</v>
      </c>
      <c r="Q70" s="182">
        <f t="shared" si="19"/>
        <v>0.93776595744680868</v>
      </c>
      <c r="R70" s="442"/>
      <c r="S70" s="28">
        <v>0.55138888888888882</v>
      </c>
      <c r="T70" s="28">
        <v>0.64930555555555547</v>
      </c>
      <c r="U70" s="183">
        <f>(S70-T69)*24*60</f>
        <v>58.99999999999995</v>
      </c>
      <c r="V70" s="191">
        <f t="shared" si="34"/>
        <v>140.99999999999997</v>
      </c>
      <c r="W70" s="16"/>
      <c r="X70" s="16"/>
      <c r="Y70" s="443"/>
      <c r="Z70" s="443"/>
      <c r="AA70" s="12">
        <f t="shared" si="20"/>
        <v>-149.3617021276591</v>
      </c>
      <c r="AB70" s="182">
        <f t="shared" si="21"/>
        <v>0.93776595744680868</v>
      </c>
      <c r="AC70" s="442"/>
    </row>
    <row r="71" spans="1:29" ht="16.5" customHeight="1">
      <c r="A71" s="440" t="s">
        <v>624</v>
      </c>
      <c r="B71" s="31" t="s">
        <v>623</v>
      </c>
      <c r="C71" s="446"/>
      <c r="D71" s="446"/>
      <c r="E71" s="188"/>
      <c r="F71" s="33"/>
      <c r="G71" s="10"/>
      <c r="H71" s="192"/>
      <c r="I71" s="19">
        <v>16.333333333333332</v>
      </c>
      <c r="J71" s="26">
        <v>2400</v>
      </c>
      <c r="K71" s="10">
        <f t="shared" si="35"/>
        <v>146.9387755102041</v>
      </c>
      <c r="L71" s="19">
        <v>16.333333333333332</v>
      </c>
      <c r="M71" s="11">
        <f>AVERAGE(M65:M70)</f>
        <v>2257.6422777990233</v>
      </c>
      <c r="N71" s="10">
        <f t="shared" si="36"/>
        <v>138.22299659994022</v>
      </c>
      <c r="O71" s="12">
        <f t="shared" si="17"/>
        <v>0</v>
      </c>
      <c r="P71" s="13">
        <f t="shared" si="18"/>
        <v>-8.7157789102638787</v>
      </c>
      <c r="Q71" s="182">
        <f t="shared" si="19"/>
        <v>0.94068428241625968</v>
      </c>
      <c r="R71" s="442"/>
      <c r="S71" s="28"/>
      <c r="T71" s="28"/>
      <c r="U71" s="10"/>
      <c r="V71" s="191"/>
      <c r="W71" s="10"/>
      <c r="X71" s="10"/>
      <c r="Y71" s="443"/>
      <c r="Z71" s="443"/>
      <c r="AA71" s="12">
        <f t="shared" si="20"/>
        <v>-142.3577222009767</v>
      </c>
      <c r="AB71" s="182">
        <f t="shared" si="21"/>
        <v>0.94068428241625968</v>
      </c>
      <c r="AC71" s="442"/>
    </row>
    <row r="72" spans="1:29">
      <c r="D72" s="22"/>
      <c r="E72" s="22"/>
    </row>
  </sheetData>
  <mergeCells count="190"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AA3:AA4"/>
    <mergeCell ref="AB3:AB4"/>
    <mergeCell ref="AC3:AC4"/>
    <mergeCell ref="A9:A13"/>
    <mergeCell ref="C9:D9"/>
    <mergeCell ref="R9:R13"/>
    <mergeCell ref="Y9:Z9"/>
    <mergeCell ref="C13:D13"/>
    <mergeCell ref="Y13:Z13"/>
    <mergeCell ref="Y12:Z12"/>
    <mergeCell ref="H3:H4"/>
    <mergeCell ref="I3:I4"/>
    <mergeCell ref="J3:J4"/>
    <mergeCell ref="K3:K4"/>
    <mergeCell ref="L3:L4"/>
    <mergeCell ref="M3:M4"/>
    <mergeCell ref="A5:A8"/>
    <mergeCell ref="C5:D5"/>
    <mergeCell ref="R5:R8"/>
    <mergeCell ref="Y5:Z5"/>
    <mergeCell ref="U3:U4"/>
    <mergeCell ref="V3:V4"/>
    <mergeCell ref="W3:X3"/>
    <mergeCell ref="Y3:Z4"/>
    <mergeCell ref="AC5:AC8"/>
    <mergeCell ref="C6:D6"/>
    <mergeCell ref="Y6:Z6"/>
    <mergeCell ref="C7:D7"/>
    <mergeCell ref="Y7:Z7"/>
    <mergeCell ref="C8:D8"/>
    <mergeCell ref="Y8:Z8"/>
    <mergeCell ref="AC9:AC13"/>
    <mergeCell ref="C10:D10"/>
    <mergeCell ref="Y10:Z10"/>
    <mergeCell ref="C11:D11"/>
    <mergeCell ref="Y11:Z11"/>
    <mergeCell ref="C12:D12"/>
    <mergeCell ref="A19:A24"/>
    <mergeCell ref="C19:D19"/>
    <mergeCell ref="R19:R24"/>
    <mergeCell ref="Y19:Z19"/>
    <mergeCell ref="Y24:Z24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Y17:Z17"/>
    <mergeCell ref="C18:D18"/>
    <mergeCell ref="Y18:Z18"/>
    <mergeCell ref="AC19:AC24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25:A32"/>
    <mergeCell ref="C25:D25"/>
    <mergeCell ref="R25:R32"/>
    <mergeCell ref="Y25:Z25"/>
    <mergeCell ref="Y30:Z30"/>
    <mergeCell ref="C31:D31"/>
    <mergeCell ref="Y31:Z31"/>
    <mergeCell ref="C32:D32"/>
    <mergeCell ref="Y32:Z32"/>
    <mergeCell ref="AC33:AC42"/>
    <mergeCell ref="C34:D34"/>
    <mergeCell ref="Y34:Z34"/>
    <mergeCell ref="C35:D35"/>
    <mergeCell ref="Y35:Z35"/>
    <mergeCell ref="C36:D36"/>
    <mergeCell ref="C40:D40"/>
    <mergeCell ref="Y40:Z40"/>
    <mergeCell ref="C41:D41"/>
    <mergeCell ref="Y41:Z41"/>
    <mergeCell ref="AC25:AC32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Y46:Z46"/>
    <mergeCell ref="C47:D47"/>
    <mergeCell ref="Y42:Z42"/>
    <mergeCell ref="A43:A50"/>
    <mergeCell ref="C43:D43"/>
    <mergeCell ref="R43:R50"/>
    <mergeCell ref="Y43:Z43"/>
    <mergeCell ref="Y48:Z48"/>
    <mergeCell ref="C49:D49"/>
    <mergeCell ref="Y49:Z49"/>
    <mergeCell ref="A33:A42"/>
    <mergeCell ref="C33:D33"/>
    <mergeCell ref="Y36:Z36"/>
    <mergeCell ref="C37:D37"/>
    <mergeCell ref="Y37:Z37"/>
    <mergeCell ref="C38:D38"/>
    <mergeCell ref="Y38:Z38"/>
    <mergeCell ref="C39:D39"/>
    <mergeCell ref="Y39:Z39"/>
    <mergeCell ref="R33:R42"/>
    <mergeCell ref="Y33:Z33"/>
    <mergeCell ref="C42:D42"/>
    <mergeCell ref="AC51:AC57"/>
    <mergeCell ref="C52:D52"/>
    <mergeCell ref="Y52:Z52"/>
    <mergeCell ref="C53:D53"/>
    <mergeCell ref="C56:D56"/>
    <mergeCell ref="Y56:Z56"/>
    <mergeCell ref="Y47:Z47"/>
    <mergeCell ref="C48:D48"/>
    <mergeCell ref="AC58:AC64"/>
    <mergeCell ref="C59:D59"/>
    <mergeCell ref="Y59:Z59"/>
    <mergeCell ref="C60:D60"/>
    <mergeCell ref="Y60:Z60"/>
    <mergeCell ref="C61:D61"/>
    <mergeCell ref="C57:D57"/>
    <mergeCell ref="Y57:Z57"/>
    <mergeCell ref="C50:D50"/>
    <mergeCell ref="Y50:Z50"/>
    <mergeCell ref="AC43:AC50"/>
    <mergeCell ref="C44:D44"/>
    <mergeCell ref="Y44:Z44"/>
    <mergeCell ref="C45:D45"/>
    <mergeCell ref="Y45:Z45"/>
    <mergeCell ref="C46:D46"/>
    <mergeCell ref="A65:A71"/>
    <mergeCell ref="C65:D65"/>
    <mergeCell ref="R65:R71"/>
    <mergeCell ref="Y65:Z65"/>
    <mergeCell ref="Y70:Z70"/>
    <mergeCell ref="C71:D71"/>
    <mergeCell ref="Y71:Z71"/>
    <mergeCell ref="A51:A57"/>
    <mergeCell ref="C51:D51"/>
    <mergeCell ref="R51:R57"/>
    <mergeCell ref="Y51:Z51"/>
    <mergeCell ref="Y61:Z61"/>
    <mergeCell ref="C62:D62"/>
    <mergeCell ref="Y62:Z62"/>
    <mergeCell ref="C63:D63"/>
    <mergeCell ref="Y63:Z63"/>
    <mergeCell ref="A58:A64"/>
    <mergeCell ref="C58:D58"/>
    <mergeCell ref="R58:R64"/>
    <mergeCell ref="Y58:Z58"/>
    <mergeCell ref="C64:D64"/>
    <mergeCell ref="Y64:Z64"/>
    <mergeCell ref="AC65:AC71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</mergeCells>
  <phoneticPr fontId="3" type="noConversion"/>
  <conditionalFormatting sqref="O61:O71 O5:O9 O13:O15 O50:O58 O18:O48">
    <cfRule type="cellIs" dxfId="392" priority="39" operator="greaterThan">
      <formula>0</formula>
    </cfRule>
  </conditionalFormatting>
  <conditionalFormatting sqref="P5:P7 P61:P63 AA61:AA63 P65:P70 P25:P31 P58 P9 P13:P15 P19:P23 P51:P56 P33:P48 AA5:AA58 AA65:AA71">
    <cfRule type="cellIs" dxfId="391" priority="43" operator="lessThan">
      <formula>0</formula>
    </cfRule>
  </conditionalFormatting>
  <conditionalFormatting sqref="AB61:AB63 Q61:Q71 Q5:Q9 Q13:Q15 Q50:Q58 Q18:Q48 AB5:AB58 AB65:AB71">
    <cfRule type="cellIs" dxfId="390" priority="40" operator="greaterThan">
      <formula>1</formula>
    </cfRule>
    <cfRule type="cellIs" dxfId="389" priority="41" operator="lessThan">
      <formula>0.8</formula>
    </cfRule>
  </conditionalFormatting>
  <conditionalFormatting sqref="AC14:AC15 R14:R15 AC61 R18:R40 AC18:AC40 R61:R71 AC5:AC9 R5:R9 R42:R48 AC42:AC48 AC50:AC58 R50:R58">
    <cfRule type="cellIs" dxfId="388" priority="45" operator="lessThan">
      <formula>0.8</formula>
    </cfRule>
  </conditionalFormatting>
  <conditionalFormatting sqref="AC43">
    <cfRule type="cellIs" dxfId="387" priority="47" operator="lessThan">
      <formula>0.8</formula>
    </cfRule>
  </conditionalFormatting>
  <conditionalFormatting sqref="AC19:AC23">
    <cfRule type="cellIs" dxfId="386" priority="44" operator="lessThan">
      <formula>0.8</formula>
    </cfRule>
  </conditionalFormatting>
  <conditionalFormatting sqref="AC25">
    <cfRule type="cellIs" dxfId="385" priority="46" operator="lessThan">
      <formula>0.8</formula>
    </cfRule>
  </conditionalFormatting>
  <conditionalFormatting sqref="AC33:AC40">
    <cfRule type="cellIs" dxfId="384" priority="42" operator="lessThan">
      <formula>0.8</formula>
    </cfRule>
  </conditionalFormatting>
  <conditionalFormatting sqref="AA64">
    <cfRule type="cellIs" dxfId="383" priority="38" operator="lessThan">
      <formula>0</formula>
    </cfRule>
  </conditionalFormatting>
  <conditionalFormatting sqref="AB64">
    <cfRule type="cellIs" dxfId="382" priority="36" operator="greaterThan">
      <formula>1</formula>
    </cfRule>
    <cfRule type="cellIs" dxfId="381" priority="37" operator="lessThan">
      <formula>0.8</formula>
    </cfRule>
  </conditionalFormatting>
  <conditionalFormatting sqref="O16:O17">
    <cfRule type="cellIs" dxfId="380" priority="31" operator="greaterThan">
      <formula>0</formula>
    </cfRule>
  </conditionalFormatting>
  <conditionalFormatting sqref="P16:P17">
    <cfRule type="cellIs" dxfId="379" priority="34" operator="lessThan">
      <formula>0</formula>
    </cfRule>
  </conditionalFormatting>
  <conditionalFormatting sqref="Q16:Q17">
    <cfRule type="cellIs" dxfId="378" priority="32" operator="greaterThan">
      <formula>1</formula>
    </cfRule>
    <cfRule type="cellIs" dxfId="377" priority="33" operator="lessThan">
      <formula>0.8</formula>
    </cfRule>
  </conditionalFormatting>
  <conditionalFormatting sqref="R16:R17 AC16:AC17">
    <cfRule type="cellIs" dxfId="376" priority="35" operator="lessThan">
      <formula>0.8</formula>
    </cfRule>
  </conditionalFormatting>
  <conditionalFormatting sqref="O10:O12">
    <cfRule type="cellIs" dxfId="375" priority="27" operator="greaterThan">
      <formula>0</formula>
    </cfRule>
  </conditionalFormatting>
  <conditionalFormatting sqref="P10:P12">
    <cfRule type="cellIs" dxfId="374" priority="30" operator="lessThan">
      <formula>0</formula>
    </cfRule>
  </conditionalFormatting>
  <conditionalFormatting sqref="Q10:Q12">
    <cfRule type="cellIs" dxfId="373" priority="28" operator="greaterThan">
      <formula>1</formula>
    </cfRule>
    <cfRule type="cellIs" dxfId="372" priority="29" operator="lessThan">
      <formula>0.8</formula>
    </cfRule>
  </conditionalFormatting>
  <conditionalFormatting sqref="R41 AC41">
    <cfRule type="cellIs" dxfId="371" priority="26" operator="lessThan">
      <formula>0.8</formula>
    </cfRule>
  </conditionalFormatting>
  <conditionalFormatting sqref="AC41">
    <cfRule type="cellIs" dxfId="370" priority="25" operator="lessThan">
      <formula>0.8</formula>
    </cfRule>
  </conditionalFormatting>
  <conditionalFormatting sqref="O60">
    <cfRule type="cellIs" dxfId="369" priority="20" operator="greaterThan">
      <formula>0</formula>
    </cfRule>
  </conditionalFormatting>
  <conditionalFormatting sqref="P60 AA60">
    <cfRule type="cellIs" dxfId="368" priority="23" operator="lessThan">
      <formula>0</formula>
    </cfRule>
  </conditionalFormatting>
  <conditionalFormatting sqref="Q60 AB60">
    <cfRule type="cellIs" dxfId="367" priority="21" operator="greaterThan">
      <formula>1</formula>
    </cfRule>
    <cfRule type="cellIs" dxfId="366" priority="22" operator="lessThan">
      <formula>0.8</formula>
    </cfRule>
  </conditionalFormatting>
  <conditionalFormatting sqref="R60 AC60">
    <cfRule type="cellIs" dxfId="365" priority="24" operator="lessThan">
      <formula>0.8</formula>
    </cfRule>
  </conditionalFormatting>
  <conditionalFormatting sqref="O49">
    <cfRule type="cellIs" dxfId="364" priority="14" operator="greaterThan">
      <formula>0</formula>
    </cfRule>
  </conditionalFormatting>
  <conditionalFormatting sqref="P49">
    <cfRule type="cellIs" dxfId="363" priority="18" operator="lessThan">
      <formula>0</formula>
    </cfRule>
  </conditionalFormatting>
  <conditionalFormatting sqref="Q49">
    <cfRule type="cellIs" dxfId="362" priority="15" operator="greaterThan">
      <formula>1</formula>
    </cfRule>
    <cfRule type="cellIs" dxfId="361" priority="16" operator="lessThan">
      <formula>0.8</formula>
    </cfRule>
  </conditionalFormatting>
  <conditionalFormatting sqref="R49 AC49">
    <cfRule type="cellIs" dxfId="360" priority="19" operator="lessThan">
      <formula>0.8</formula>
    </cfRule>
  </conditionalFormatting>
  <conditionalFormatting sqref="AC49">
    <cfRule type="cellIs" dxfId="359" priority="17" operator="lessThan">
      <formula>0.8</formula>
    </cfRule>
  </conditionalFormatting>
  <conditionalFormatting sqref="O59">
    <cfRule type="cellIs" dxfId="358" priority="9" operator="greaterThan">
      <formula>0</formula>
    </cfRule>
  </conditionalFormatting>
  <conditionalFormatting sqref="P59 AA59">
    <cfRule type="cellIs" dxfId="357" priority="12" operator="lessThan">
      <formula>0</formula>
    </cfRule>
  </conditionalFormatting>
  <conditionalFormatting sqref="Q59 AB59">
    <cfRule type="cellIs" dxfId="356" priority="10" operator="greaterThan">
      <formula>1</formula>
    </cfRule>
    <cfRule type="cellIs" dxfId="355" priority="11" operator="lessThan">
      <formula>0.8</formula>
    </cfRule>
  </conditionalFormatting>
  <conditionalFormatting sqref="R59 AC59">
    <cfRule type="cellIs" dxfId="354" priority="13" operator="lessThan">
      <formula>0.8</formula>
    </cfRule>
  </conditionalFormatting>
  <conditionalFormatting sqref="P8">
    <cfRule type="cellIs" dxfId="353" priority="8" operator="lessThan">
      <formula>0</formula>
    </cfRule>
  </conditionalFormatting>
  <conditionalFormatting sqref="P18">
    <cfRule type="cellIs" dxfId="352" priority="7" operator="lessThan">
      <formula>0</formula>
    </cfRule>
  </conditionalFormatting>
  <conditionalFormatting sqref="P24">
    <cfRule type="cellIs" dxfId="351" priority="6" operator="lessThan">
      <formula>0</formula>
    </cfRule>
  </conditionalFormatting>
  <conditionalFormatting sqref="P32">
    <cfRule type="cellIs" dxfId="350" priority="5" operator="lessThan">
      <formula>0</formula>
    </cfRule>
  </conditionalFormatting>
  <conditionalFormatting sqref="P50">
    <cfRule type="cellIs" dxfId="349" priority="4" operator="lessThan">
      <formula>0</formula>
    </cfRule>
  </conditionalFormatting>
  <conditionalFormatting sqref="P57">
    <cfRule type="cellIs" dxfId="348" priority="3" operator="lessThan">
      <formula>0</formula>
    </cfRule>
  </conditionalFormatting>
  <conditionalFormatting sqref="P64">
    <cfRule type="cellIs" dxfId="347" priority="2" operator="lessThan">
      <formula>0</formula>
    </cfRule>
  </conditionalFormatting>
  <conditionalFormatting sqref="P71">
    <cfRule type="cellIs" dxfId="346" priority="1" operator="lessThan">
      <formula>0</formula>
    </cfRule>
  </conditionalFormatting>
  <dataValidations count="1">
    <dataValidation type="list" allowBlank="1" showInputMessage="1" showErrorMessage="1" sqref="Z8 Z62:Z63 Y5:Z7 Y8:Y63 Z10:Z58 Y64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B1:Q28"/>
  <sheetViews>
    <sheetView zoomScale="70" zoomScaleNormal="70" workbookViewId="0">
      <selection activeCell="I14" sqref="I14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587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65" t="s">
        <v>586</v>
      </c>
      <c r="C3" s="493" t="str">
        <f>TEXT('0907 4度C'!A2,"yyyy.mm.ddaaaa")</f>
        <v>2025.09.07星期日</v>
      </c>
      <c r="D3" s="493"/>
      <c r="E3" s="165" t="s">
        <v>585</v>
      </c>
      <c r="F3" s="494">
        <f>'0907 4度C'!D1</f>
        <v>186596</v>
      </c>
      <c r="G3" s="494"/>
      <c r="H3" s="165" t="s">
        <v>584</v>
      </c>
      <c r="I3" s="495">
        <f>'0907 4度C'!F1</f>
        <v>6259452.2500000009</v>
      </c>
      <c r="J3" s="495"/>
      <c r="K3" s="45"/>
      <c r="L3" s="46"/>
      <c r="M3" s="47"/>
      <c r="N3" s="47"/>
    </row>
    <row r="4" spans="2:17" ht="28.5" customHeight="1">
      <c r="B4" s="496" t="s">
        <v>583</v>
      </c>
      <c r="C4" s="496" t="s">
        <v>582</v>
      </c>
      <c r="D4" s="496"/>
      <c r="E4" s="497" t="s">
        <v>581</v>
      </c>
      <c r="F4" s="497"/>
      <c r="G4" s="497" t="s">
        <v>580</v>
      </c>
      <c r="H4" s="497"/>
      <c r="I4" s="497" t="s">
        <v>579</v>
      </c>
      <c r="J4" s="497"/>
      <c r="L4" s="47"/>
      <c r="M4" s="47"/>
      <c r="N4" s="47"/>
    </row>
    <row r="5" spans="2:17" ht="28.5" customHeight="1">
      <c r="B5" s="496"/>
      <c r="C5" s="496" t="s">
        <v>578</v>
      </c>
      <c r="D5" s="496"/>
      <c r="E5" s="496" t="s">
        <v>577</v>
      </c>
      <c r="F5" s="496"/>
      <c r="G5" s="498" t="s">
        <v>576</v>
      </c>
      <c r="H5" s="498"/>
      <c r="I5" s="499" t="s">
        <v>575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145.36545806201269</v>
      </c>
      <c r="F6" s="496">
        <f>AVERAGE(D27:O27,D13:J13)</f>
        <v>148.77238774297598</v>
      </c>
      <c r="G6" s="501">
        <f>AVERAGE(D13:J13)</f>
        <v>148.77238774297598</v>
      </c>
      <c r="H6" s="501"/>
      <c r="I6" s="501">
        <f>AVERAGE(K13:M13)</f>
        <v>137.41595547309834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136.99642594323086</v>
      </c>
      <c r="F7" s="506">
        <f>AVERAGE(D28:O28,D14:J14)</f>
        <v>140.32302288891069</v>
      </c>
      <c r="G7" s="507">
        <f>AVERAGE(D14:J14)</f>
        <v>140.32302288891069</v>
      </c>
      <c r="H7" s="507"/>
      <c r="I7" s="507">
        <f>AVERAGE(K14:M14)</f>
        <v>129.23436640331124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0.94172439588846513</v>
      </c>
      <c r="F8" s="504">
        <f>AVERAGE(D15:J15,D29:O29)</f>
        <v>0.94226042409872945</v>
      </c>
      <c r="G8" s="509">
        <f>AVERAGE(D15:J15)</f>
        <v>0.94226042409872945</v>
      </c>
      <c r="H8" s="509"/>
      <c r="I8" s="509">
        <f>AVERAGE(K15:M15)</f>
        <v>0.94047366339784855</v>
      </c>
      <c r="J8" s="509"/>
      <c r="K8" s="48" t="s">
        <v>574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573</v>
      </c>
      <c r="C10" s="414"/>
      <c r="D10" s="415" t="s">
        <v>572</v>
      </c>
      <c r="E10" s="416"/>
      <c r="F10" s="416"/>
      <c r="G10" s="416"/>
      <c r="H10" s="416"/>
      <c r="I10" s="416"/>
      <c r="J10" s="417"/>
      <c r="K10" s="389" t="s">
        <v>505</v>
      </c>
      <c r="L10" s="390"/>
      <c r="M10" s="391"/>
      <c r="P10" s="51"/>
      <c r="Q10" s="51"/>
    </row>
    <row r="11" spans="2:17" ht="17.25" customHeight="1">
      <c r="B11" s="503" t="s">
        <v>571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570</v>
      </c>
      <c r="C13" s="58" t="s">
        <v>569</v>
      </c>
      <c r="D13" s="59">
        <f>SUMIFS('0907 4度C'!$K:$K,'0907 4度C'!$A:$A,"新豐6線",'0907 4度C'!$B:$B,"平均")</f>
        <v>117.64705882352941</v>
      </c>
      <c r="E13" s="60">
        <f>SUMIFS('0907 4度C'!$K:$K,'0907 4度C'!$A:$A,"新豐2線",'0907 4度C'!$B:$B,"平均")</f>
        <v>83.333333333333329</v>
      </c>
      <c r="F13" s="61">
        <f>SUMIFS('0907 4度C'!$K:$K,'0907 4度C'!$A:$A,"新豐5線",'0907 4度C'!$B:$B,"平均")</f>
        <v>87.5</v>
      </c>
      <c r="G13" s="61">
        <f>SUMIFS('0907 4度C'!$K:$K,'0907 4度C'!$A:$A,"新豐7線",'0907 4度C'!$B:$B,"平均")</f>
        <v>117.64705882352941</v>
      </c>
      <c r="H13" s="61">
        <f>SUMIFS('0907 4度C'!$K:$K,'0907 4度C'!$A:$A,"新豐3線",'0907 4度C'!$B:$B,"平均")</f>
        <v>300</v>
      </c>
      <c r="I13" s="61">
        <f>SUMIFS('0907 4度C'!$K:$K,'0907 4度C'!$A:$A,"新豐1線",'0907 4度C'!$B:$B,"平均")</f>
        <v>116.16161616161617</v>
      </c>
      <c r="J13" s="62">
        <f>SUMIFS('0907 4度C'!$K:$K,'0907 4度C'!$A:$A,"新豐10線",'0907 4度C'!$B:$B,"平均")</f>
        <v>219.11764705882354</v>
      </c>
      <c r="K13" s="63">
        <f>SUMIFS('0907 4度C'!$K:$K,'0907 4度C'!$A:$A,"新豐8線",'0907 4度C'!$B:$B,"平均")</f>
        <v>134.4</v>
      </c>
      <c r="L13" s="64">
        <f>SUMIFS('0907 4度C'!$K:$K,'0907 4度C'!$A:$A,"新豐9線",'0907 4度C'!$B:$B,"平均")</f>
        <v>130.90909090909091</v>
      </c>
      <c r="M13" s="62">
        <f>SUMIFS('0907 4度C'!$K:$K,'0907 4度C'!$A:$A,"新豐4線",'0907 4度C'!$B:$B,"平均")</f>
        <v>146.9387755102041</v>
      </c>
    </row>
    <row r="14" spans="2:17" ht="39.6" customHeight="1">
      <c r="B14" s="515"/>
      <c r="C14" s="65" t="s">
        <v>568</v>
      </c>
      <c r="D14" s="66">
        <f>SUMIFS('0907 4度C'!$N:$N,'0907 4度C'!$A:$A,"新豐6線",'0907 4度C'!$B:$B,"平均")</f>
        <v>110.57323761813767</v>
      </c>
      <c r="E14" s="67">
        <f>SUMIFS('0907 4度C'!$N:$N,'0907 4度C'!$A:$A,"新豐2線",'0907 4度C'!$B:$B,"平均")</f>
        <v>78.153690677521936</v>
      </c>
      <c r="F14" s="67">
        <f>SUMIFS('0907 4度C'!$N:$N,'0907 4度C'!$A:$A,"新豐5線",'0907 4度C'!$B:$B,"平均")</f>
        <v>82.194863038771643</v>
      </c>
      <c r="G14" s="67">
        <f>SUMIFS('0907 4度C'!$N:$N,'0907 4度C'!$A:$A,"新豐7線",'0907 4度C'!$B:$B,"平均")</f>
        <v>111.40883331065226</v>
      </c>
      <c r="H14" s="67">
        <f>SUMIFS('0907 4度C'!$N:$N,'0907 4度C'!$A:$A,"新豐3線",'0907 4度C'!$B:$B,"平均")</f>
        <v>283.12520988616603</v>
      </c>
      <c r="I14" s="67">
        <f>SUMIFS('0907 4度C'!$N:$N,'0907 4度C'!$A:$A,"新豐1線",'0907 4度C'!$B:$B,"平均")</f>
        <v>109.31876642786317</v>
      </c>
      <c r="J14" s="68">
        <f>SUMIFS('0907 4度C'!$N:$N,'0907 4度C'!$A:$A,"新豐10線",'0907 4度C'!$B:$B,"平均")</f>
        <v>207.48655926326208</v>
      </c>
      <c r="K14" s="69">
        <f>SUMIFS('0907 4度C'!$N:$N,'0907 4度C'!$A:$A,"新豐8線",'0907 4度C'!$B:$B,"平均")</f>
        <v>126.14932783177213</v>
      </c>
      <c r="L14" s="70">
        <f>SUMIFS('0907 4度C'!$N:$N,'0907 4度C'!$A:$A,"新豐9線",'0907 4度C'!$B:$B,"平均")</f>
        <v>123.34943776501706</v>
      </c>
      <c r="M14" s="68">
        <f>SUMIFS('0907 4度C'!$N:$N,'0907 4度C'!$A:$A,"新豐4線",'0907 4度C'!$B:$B,"平均")</f>
        <v>138.20433361314454</v>
      </c>
    </row>
    <row r="15" spans="2:17" ht="40.15" customHeight="1">
      <c r="B15" s="515"/>
      <c r="C15" s="71" t="s">
        <v>567</v>
      </c>
      <c r="D15" s="72">
        <f t="shared" ref="D15:M15" si="0">D14/D13</f>
        <v>0.93987251975417019</v>
      </c>
      <c r="E15" s="73">
        <f t="shared" si="0"/>
        <v>0.93784428813026333</v>
      </c>
      <c r="F15" s="73">
        <f t="shared" si="0"/>
        <v>0.9393698633002473</v>
      </c>
      <c r="G15" s="73">
        <f t="shared" si="0"/>
        <v>0.94697508314054424</v>
      </c>
      <c r="H15" s="73">
        <f t="shared" si="0"/>
        <v>0.94375069962055347</v>
      </c>
      <c r="I15" s="73">
        <f t="shared" si="0"/>
        <v>0.94109198924856119</v>
      </c>
      <c r="J15" s="74">
        <f t="shared" si="0"/>
        <v>0.94691852549676647</v>
      </c>
      <c r="K15" s="72">
        <f t="shared" si="0"/>
        <v>0.93861107017687595</v>
      </c>
      <c r="L15" s="73">
        <f t="shared" si="0"/>
        <v>0.94225264959388033</v>
      </c>
      <c r="M15" s="74">
        <f t="shared" si="0"/>
        <v>0.94055727042278914</v>
      </c>
    </row>
    <row r="16" spans="2:17" ht="17.25" customHeight="1">
      <c r="B16" s="502" t="s">
        <v>566</v>
      </c>
      <c r="C16" s="166" t="s">
        <v>565</v>
      </c>
      <c r="D16" s="76">
        <f>VLOOKUP("新豐6線",'0907 4度C'!$A:$T,19,0)</f>
        <v>0.70833333333333337</v>
      </c>
      <c r="E16" s="28">
        <f>VLOOKUP("新豐2線",'0907 4度C'!$A:$T,19,0)</f>
        <v>8.3333333333333329E-2</v>
      </c>
      <c r="F16" s="28">
        <f>VLOOKUP("新豐5線",'0907 4度C'!$A:$T,19,0)</f>
        <v>0.20833333333333334</v>
      </c>
      <c r="G16" s="28">
        <f>VLOOKUP("新豐7線",'0907 4度C'!$A:$T,19,0)</f>
        <v>0.20833333333333334</v>
      </c>
      <c r="H16" s="28">
        <f>VLOOKUP("新豐3線",'0907 4度C'!$A:$T,19,0)</f>
        <v>8.3333333333333329E-2</v>
      </c>
      <c r="I16" s="28">
        <f>VLOOKUP("新豐1線",'0907 4度C'!$A:$T,19,0)</f>
        <v>0.25</v>
      </c>
      <c r="J16" s="77">
        <f>VLOOKUP("新豐10線",'0907 4度C'!$A:$T,19,0)</f>
        <v>0.125</v>
      </c>
      <c r="K16" s="78">
        <f>VLOOKUP("新豐8線",'0907 4度C'!$A:$T,19,0)</f>
        <v>8.3333333333333329E-2</v>
      </c>
      <c r="L16" s="79">
        <f>VLOOKUP("新豐9線",'0907 4度C'!$A:$T,19,0)</f>
        <v>8.3333333333333329E-2</v>
      </c>
      <c r="M16" s="80">
        <f>VLOOKUP("新豐4線",'0907 4度C'!$A:$T,19,0)</f>
        <v>8.3333333333333329E-2</v>
      </c>
    </row>
    <row r="17" spans="2:13" ht="17.25" customHeight="1">
      <c r="B17" s="503"/>
      <c r="C17" s="166" t="s">
        <v>564</v>
      </c>
      <c r="D17" s="78">
        <f>LOOKUP(2,1/(('0907 4度C'!$A:$A="新豐6線")*('0907 4度C'!$T:$T&lt;&gt;"")),'0907 4度C'!$T:$T)</f>
        <v>0.83819444444444446</v>
      </c>
      <c r="E17" s="28">
        <f>LOOKUP(2,1/(('0907 4度C'!$A:$A="新豐2線")*('0907 4度C'!$T:$T&lt;&gt;"")),'0907 4度C'!$T:$T)</f>
        <v>0.63194444444444442</v>
      </c>
      <c r="F17" s="28">
        <f>LOOKUP(2,1/(('0907 4度C'!$A:$A="新豐5線")*('0907 4度C'!$T:$T&lt;&gt;"")),'0907 4度C'!$T:$T)</f>
        <v>0.84861111111111109</v>
      </c>
      <c r="G17" s="28">
        <f>LOOKUP(2,1/(('0907 4度C'!$A:$A="新豐7線")*('0907 4度C'!$T:$T&lt;&gt;"")),'0907 4度C'!$T:$T)</f>
        <v>0.80277777777777781</v>
      </c>
      <c r="H17" s="28">
        <f>LOOKUP(2,1/(('0907 4度C'!$A:$A="新豐3線")*('0907 4度C'!$T:$T&lt;&gt;"")),'0907 4度C'!$T:$T)</f>
        <v>0.50486111111111098</v>
      </c>
      <c r="I17" s="28">
        <f>LOOKUP(2,1/(('0907 4度C'!$A:$A="新豐1線")*('0907 4度C'!$T:$T&lt;&gt;"")),'0907 4度C'!$T:$T)</f>
        <v>0.8569444444444444</v>
      </c>
      <c r="J17" s="77">
        <f>LOOKUP(2,1/(('0907 4度C'!$A:$A="新豐10線")*('0907 4度C'!$T:$T&lt;&gt;"")),'0907 4度C'!$T:$T)</f>
        <v>0.43333333333333329</v>
      </c>
      <c r="K17" s="76">
        <f>LOOKUP(2,1/(('0907 4度C'!$A:$A="新豐8線")*('0907 4度C'!$T:$T&lt;&gt;"")),'0907 4度C'!$T:$T)</f>
        <v>0.71527777777777779</v>
      </c>
      <c r="L17" s="28">
        <f>LOOKUP(2,1/(('0907 4度C'!$A:$A="新豐9線")*('0907 4度C'!$T:$T&lt;&gt;"")),'0907 4度C'!$T:$T)</f>
        <v>0.72986111111111107</v>
      </c>
      <c r="M17" s="77">
        <f>LOOKUP(2,1/(('0907 4度C'!$A:$A="新豐4線")*('0907 4度C'!$T:$T&lt;&gt;"")),'0907 4度C'!$T:$T)</f>
        <v>0.65069444444444424</v>
      </c>
    </row>
    <row r="18" spans="2:13" ht="17.25" customHeight="1">
      <c r="B18" s="503" t="s">
        <v>563</v>
      </c>
      <c r="C18" s="514"/>
      <c r="D18" s="81">
        <f>SUMIFS('0907 4度C'!$I:$I,'0907 4度C'!$A:$A,"新豐6線",'0907 4度C'!$B:$B,"平均")</f>
        <v>17</v>
      </c>
      <c r="E18" s="82">
        <f>SUMIFS('0907 4度C'!$I:$I,'0907 4度C'!$A:$A,"新豐2線",'0907 4度C'!$B:$B,"平均")</f>
        <v>18</v>
      </c>
      <c r="F18" s="82">
        <f>SUMIFS('0907 4度C'!$I:$I,'0907 4度C'!$A:$A,"新豐5線",'0907 4度C'!$B:$B,"平均")</f>
        <v>20</v>
      </c>
      <c r="G18" s="82">
        <f>SUMIFS('0907 4度C'!$I:$I,'0907 4度C'!$A:$A,"新豐7線",'0907 4度C'!$B:$B,"平均")</f>
        <v>17</v>
      </c>
      <c r="H18" s="82">
        <f>SUMIFS('0907 4度C'!$I:$I,'0907 4度C'!$A:$A,"新豐3線",'0907 4度C'!$B:$B,"平均")</f>
        <v>10</v>
      </c>
      <c r="I18" s="82">
        <f>SUMIFS('0907 4度C'!$I:$I,'0907 4度C'!$A:$A,"新豐1線",'0907 4度C'!$B:$B,"平均")</f>
        <v>16.5</v>
      </c>
      <c r="J18" s="83">
        <f>SUMIFS('0907 4度C'!$I:$I,'0907 4度C'!$A:$A,"新豐10線",'0907 4度C'!$B:$B,"平均")</f>
        <v>11.333333333333334</v>
      </c>
      <c r="K18" s="81">
        <f>SUMIFS('0907 4度C'!$I:$I,'0907 4度C'!$A:$A,"新豐8線",'0907 4度C'!$B:$B,"平均")</f>
        <v>17.857142857142858</v>
      </c>
      <c r="L18" s="82">
        <f>SUMIFS('0907 4度C'!$I:$I,'0907 4度C'!$A:$A,"新豐9線",'0907 4度C'!$B:$B,"平均")</f>
        <v>18.333333333333332</v>
      </c>
      <c r="M18" s="83">
        <f>SUMIFS('0907 4度C'!$I:$I,'0907 4度C'!$A:$A,"新豐4線",'0907 4度C'!$B:$B,"平均")</f>
        <v>16.333333333333332</v>
      </c>
    </row>
    <row r="19" spans="2:13" ht="17.25" customHeight="1">
      <c r="B19" s="510" t="s">
        <v>562</v>
      </c>
      <c r="C19" s="511"/>
      <c r="D19" s="84" t="s">
        <v>148</v>
      </c>
      <c r="E19" s="85" t="s">
        <v>149</v>
      </c>
      <c r="F19" s="85" t="s">
        <v>561</v>
      </c>
      <c r="G19" s="85" t="s">
        <v>560</v>
      </c>
      <c r="H19" s="85" t="s">
        <v>151</v>
      </c>
      <c r="I19" s="85" t="s">
        <v>148</v>
      </c>
      <c r="J19" s="86" t="s">
        <v>151</v>
      </c>
      <c r="K19" s="84" t="s">
        <v>559</v>
      </c>
      <c r="L19" s="85" t="s">
        <v>507</v>
      </c>
      <c r="M19" s="86" t="s">
        <v>559</v>
      </c>
    </row>
    <row r="20" spans="2:13" ht="17.25" customHeight="1">
      <c r="B20" s="510" t="s">
        <v>558</v>
      </c>
      <c r="C20" s="511"/>
      <c r="D20" s="84"/>
      <c r="E20" s="85"/>
      <c r="F20" s="85" t="s">
        <v>557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556</v>
      </c>
      <c r="C21" s="513"/>
      <c r="D21" s="87"/>
      <c r="E21" s="88" t="s">
        <v>555</v>
      </c>
      <c r="F21" s="387" t="s">
        <v>554</v>
      </c>
      <c r="G21" s="388"/>
      <c r="H21" s="88" t="s">
        <v>552</v>
      </c>
      <c r="I21" s="88" t="s">
        <v>553</v>
      </c>
      <c r="J21" s="89" t="s">
        <v>552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1:C21"/>
    <mergeCell ref="F21:G21"/>
    <mergeCell ref="D10:J10"/>
    <mergeCell ref="K10:M10"/>
    <mergeCell ref="B11:C12"/>
    <mergeCell ref="B13:B15"/>
    <mergeCell ref="B18:C18"/>
    <mergeCell ref="B19:C19"/>
    <mergeCell ref="B16:B17"/>
    <mergeCell ref="B10:C10"/>
    <mergeCell ref="C8:D8"/>
    <mergeCell ref="E8:F8"/>
    <mergeCell ref="G8:H8"/>
    <mergeCell ref="I8:J8"/>
    <mergeCell ref="B20:C20"/>
    <mergeCell ref="I6:J6"/>
    <mergeCell ref="C7:D7"/>
    <mergeCell ref="E7:F7"/>
    <mergeCell ref="G7:H7"/>
    <mergeCell ref="I7:J7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34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pageSetUpPr fitToPage="1"/>
  </sheetPr>
  <dimension ref="A1:AC72"/>
  <sheetViews>
    <sheetView zoomScale="80" zoomScaleNormal="80" workbookViewId="0">
      <pane ySplit="4" topLeftCell="A65" activePane="bottomLeft" state="frozen"/>
      <selection activeCell="L8" sqref="L8"/>
      <selection pane="bottomLeft" activeCell="H2" sqref="H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551</v>
      </c>
      <c r="B1" s="1"/>
      <c r="C1" s="2" t="s">
        <v>550</v>
      </c>
      <c r="D1" s="3">
        <f>SUM(F5:F71)</f>
        <v>186596</v>
      </c>
      <c r="E1" s="168" t="s">
        <v>549</v>
      </c>
      <c r="F1" s="1">
        <f>SUM(G5:G71)</f>
        <v>6259452.2500000009</v>
      </c>
      <c r="G1" s="1" t="s">
        <v>548</v>
      </c>
      <c r="H1" s="106">
        <f>L8+L13+L50+L57+L18+L64+L32+L42+L24+L71</f>
        <v>162.35714285714286</v>
      </c>
      <c r="I1" s="482" t="s">
        <v>547</v>
      </c>
      <c r="J1" s="482"/>
      <c r="K1" s="482"/>
      <c r="L1" s="482" t="s">
        <v>546</v>
      </c>
      <c r="M1" s="482"/>
      <c r="N1" s="482"/>
      <c r="O1" s="482" t="s">
        <v>545</v>
      </c>
      <c r="P1" s="482"/>
      <c r="Q1" s="482"/>
      <c r="R1" s="482"/>
      <c r="S1" s="482" t="s">
        <v>544</v>
      </c>
      <c r="T1" s="482"/>
      <c r="U1" s="482"/>
      <c r="V1" s="482"/>
      <c r="W1" s="482"/>
      <c r="X1" s="482"/>
      <c r="Y1" s="482" t="s">
        <v>543</v>
      </c>
      <c r="Z1" s="482"/>
      <c r="AA1" s="482" t="s">
        <v>542</v>
      </c>
      <c r="AB1" s="483"/>
      <c r="AC1" s="483"/>
    </row>
    <row r="2" spans="1:29" ht="26.25" customHeight="1">
      <c r="A2" s="24">
        <v>45907</v>
      </c>
      <c r="B2" s="25" t="s">
        <v>541</v>
      </c>
      <c r="C2" s="2" t="s">
        <v>506</v>
      </c>
      <c r="D2" s="6">
        <f>AVERAGE(N8,N13,N50,N57,N18,N64,N24,N32,N42,N71)</f>
        <v>136.99642594323083</v>
      </c>
      <c r="E2" s="7" t="s">
        <v>11</v>
      </c>
      <c r="F2" s="8">
        <f>F1/D1</f>
        <v>33.545479270723924</v>
      </c>
      <c r="G2" s="1" t="s">
        <v>540</v>
      </c>
      <c r="H2" s="167">
        <f>COUNT(H5:H71)</f>
        <v>7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539</v>
      </c>
      <c r="B3" s="443" t="s">
        <v>538</v>
      </c>
      <c r="C3" s="443" t="s">
        <v>537</v>
      </c>
      <c r="D3" s="443"/>
      <c r="E3" s="484" t="s">
        <v>536</v>
      </c>
      <c r="F3" s="443" t="s">
        <v>535</v>
      </c>
      <c r="G3" s="484" t="s">
        <v>534</v>
      </c>
      <c r="H3" s="476" t="s">
        <v>533</v>
      </c>
      <c r="I3" s="474" t="s">
        <v>530</v>
      </c>
      <c r="J3" s="479" t="s">
        <v>526</v>
      </c>
      <c r="K3" s="481" t="s">
        <v>506</v>
      </c>
      <c r="L3" s="474" t="s">
        <v>530</v>
      </c>
      <c r="M3" s="479" t="s">
        <v>532</v>
      </c>
      <c r="N3" s="481" t="s">
        <v>531</v>
      </c>
      <c r="O3" s="474" t="s">
        <v>530</v>
      </c>
      <c r="P3" s="481" t="s">
        <v>506</v>
      </c>
      <c r="Q3" s="480" t="s">
        <v>525</v>
      </c>
      <c r="R3" s="451" t="s">
        <v>524</v>
      </c>
      <c r="S3" s="486" t="s">
        <v>25</v>
      </c>
      <c r="T3" s="486"/>
      <c r="U3" s="476" t="s">
        <v>26</v>
      </c>
      <c r="V3" s="476" t="s">
        <v>529</v>
      </c>
      <c r="W3" s="443" t="s">
        <v>528</v>
      </c>
      <c r="X3" s="443"/>
      <c r="Y3" s="477" t="s">
        <v>527</v>
      </c>
      <c r="Z3" s="478"/>
      <c r="AA3" s="479" t="s">
        <v>526</v>
      </c>
      <c r="AB3" s="480" t="s">
        <v>525</v>
      </c>
      <c r="AC3" s="451" t="s">
        <v>524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178" t="s">
        <v>31</v>
      </c>
      <c r="T4" s="178" t="s">
        <v>32</v>
      </c>
      <c r="U4" s="476"/>
      <c r="V4" s="476"/>
      <c r="W4" s="168" t="s">
        <v>523</v>
      </c>
      <c r="X4" s="168" t="s">
        <v>522</v>
      </c>
      <c r="Y4" s="478"/>
      <c r="Z4" s="478"/>
      <c r="AA4" s="479"/>
      <c r="AB4" s="480"/>
      <c r="AC4" s="451"/>
    </row>
    <row r="5" spans="1:29">
      <c r="A5" s="473" t="s">
        <v>508</v>
      </c>
      <c r="B5" s="31" t="s">
        <v>58</v>
      </c>
      <c r="C5" s="475" t="s">
        <v>104</v>
      </c>
      <c r="D5" s="475"/>
      <c r="E5" s="31">
        <v>46.93</v>
      </c>
      <c r="F5" s="178">
        <v>1064</v>
      </c>
      <c r="G5" s="168">
        <f>E5*F5</f>
        <v>49933.52</v>
      </c>
      <c r="H5" s="179" t="s">
        <v>103</v>
      </c>
      <c r="I5" s="170">
        <v>17</v>
      </c>
      <c r="J5" s="26">
        <v>2000</v>
      </c>
      <c r="K5" s="10">
        <f t="shared" ref="K5:K36" si="0">J5/I5</f>
        <v>117.64705882352941</v>
      </c>
      <c r="L5" s="170">
        <v>17</v>
      </c>
      <c r="M5" s="11">
        <f>F5/V5*60</f>
        <v>1877.647058823527</v>
      </c>
      <c r="N5" s="10">
        <f t="shared" ref="N5:N36" si="1">M5/L5</f>
        <v>110.44982698961924</v>
      </c>
      <c r="O5" s="12">
        <f t="shared" ref="O5:O36" si="2">L5-I5</f>
        <v>0</v>
      </c>
      <c r="P5" s="13">
        <f t="shared" ref="P5:P36" si="3">N5-K5</f>
        <v>-7.1972318339101662</v>
      </c>
      <c r="Q5" s="172">
        <f t="shared" ref="Q5:Q36" si="4">N5/K5</f>
        <v>0.93882352941176361</v>
      </c>
      <c r="R5" s="442">
        <f>Q8</f>
        <v>0.93987251975417019</v>
      </c>
      <c r="S5" s="28">
        <v>0.70833333333333337</v>
      </c>
      <c r="T5" s="28">
        <v>0.73194444444444451</v>
      </c>
      <c r="U5" s="168"/>
      <c r="V5" s="169">
        <f>(T5-S5)*24*60</f>
        <v>34.000000000000043</v>
      </c>
      <c r="W5" s="16"/>
      <c r="X5" s="17"/>
      <c r="Y5" s="443"/>
      <c r="Z5" s="443"/>
      <c r="AA5" s="12">
        <f t="shared" ref="AA5:AA36" si="5">M5-J5</f>
        <v>-122.352941176473</v>
      </c>
      <c r="AB5" s="172">
        <f t="shared" ref="AB5:AB36" si="6">M5/J5</f>
        <v>0.9388235294117635</v>
      </c>
      <c r="AC5" s="442">
        <f>AB8</f>
        <v>0.93987251975417019</v>
      </c>
    </row>
    <row r="6" spans="1:29">
      <c r="A6" s="474" t="s">
        <v>508</v>
      </c>
      <c r="B6" s="31" t="s">
        <v>58</v>
      </c>
      <c r="C6" s="475" t="s">
        <v>105</v>
      </c>
      <c r="D6" s="475"/>
      <c r="E6" s="31">
        <v>50.49</v>
      </c>
      <c r="F6" s="178">
        <v>2349</v>
      </c>
      <c r="G6" s="168">
        <f>E6*F6</f>
        <v>118601.01000000001</v>
      </c>
      <c r="H6" s="179" t="s">
        <v>103</v>
      </c>
      <c r="I6" s="170">
        <v>16</v>
      </c>
      <c r="J6" s="26">
        <v>2000</v>
      </c>
      <c r="K6" s="10">
        <f t="shared" si="0"/>
        <v>125</v>
      </c>
      <c r="L6" s="170">
        <v>16</v>
      </c>
      <c r="M6" s="11">
        <f>F6/V6*60</f>
        <v>1879.1999999999985</v>
      </c>
      <c r="N6" s="10">
        <f t="shared" si="1"/>
        <v>117.4499999999999</v>
      </c>
      <c r="O6" s="12">
        <f t="shared" si="2"/>
        <v>0</v>
      </c>
      <c r="P6" s="13">
        <f t="shared" si="3"/>
        <v>-7.5500000000000966</v>
      </c>
      <c r="Q6" s="172">
        <f t="shared" si="4"/>
        <v>0.93959999999999921</v>
      </c>
      <c r="R6" s="442"/>
      <c r="S6" s="28">
        <v>0.73611111111111116</v>
      </c>
      <c r="T6" s="28">
        <v>0.78819444444444453</v>
      </c>
      <c r="U6" s="168">
        <f>(S6-T5)*24*60</f>
        <v>5.9999999999999787</v>
      </c>
      <c r="V6" s="169">
        <f>(T6-S6)*24*60</f>
        <v>75.000000000000057</v>
      </c>
      <c r="W6" s="16"/>
      <c r="X6" s="16"/>
      <c r="Y6" s="443"/>
      <c r="Z6" s="443"/>
      <c r="AA6" s="12">
        <f t="shared" si="5"/>
        <v>-120.80000000000155</v>
      </c>
      <c r="AB6" s="172">
        <f t="shared" si="6"/>
        <v>0.93959999999999921</v>
      </c>
      <c r="AC6" s="442"/>
    </row>
    <row r="7" spans="1:29">
      <c r="A7" s="474" t="s">
        <v>508</v>
      </c>
      <c r="B7" s="31" t="s">
        <v>58</v>
      </c>
      <c r="C7" s="471" t="s">
        <v>106</v>
      </c>
      <c r="D7" s="472"/>
      <c r="E7" s="31">
        <v>50.67</v>
      </c>
      <c r="F7" s="178">
        <v>2102</v>
      </c>
      <c r="G7" s="168">
        <f>E7*F7</f>
        <v>106508.34</v>
      </c>
      <c r="H7" s="179" t="s">
        <v>103</v>
      </c>
      <c r="I7" s="170">
        <v>18</v>
      </c>
      <c r="J7" s="26">
        <v>2000</v>
      </c>
      <c r="K7" s="10">
        <f t="shared" si="0"/>
        <v>111.11111111111111</v>
      </c>
      <c r="L7" s="170">
        <v>18</v>
      </c>
      <c r="M7" s="11">
        <f>F7/V7*60</f>
        <v>1882.388059701495</v>
      </c>
      <c r="N7" s="10">
        <f t="shared" si="1"/>
        <v>104.57711442786083</v>
      </c>
      <c r="O7" s="12">
        <f t="shared" si="2"/>
        <v>0</v>
      </c>
      <c r="P7" s="13">
        <f t="shared" si="3"/>
        <v>-6.5339966832502796</v>
      </c>
      <c r="Q7" s="172">
        <f t="shared" si="4"/>
        <v>0.94119402985074752</v>
      </c>
      <c r="R7" s="442"/>
      <c r="S7" s="28">
        <v>0.79166666666666674</v>
      </c>
      <c r="T7" s="28">
        <v>0.83819444444444446</v>
      </c>
      <c r="U7" s="168">
        <f>(S7-T6)*24*60</f>
        <v>4.9999999999999822</v>
      </c>
      <c r="V7" s="169">
        <f>(T7-S7)*24*60</f>
        <v>66.999999999999915</v>
      </c>
      <c r="W7" s="16"/>
      <c r="X7" s="16"/>
      <c r="Y7" s="447"/>
      <c r="Z7" s="448"/>
      <c r="AA7" s="12">
        <f t="shared" si="5"/>
        <v>-117.61194029850503</v>
      </c>
      <c r="AB7" s="172">
        <f t="shared" si="6"/>
        <v>0.94119402985074752</v>
      </c>
      <c r="AC7" s="442"/>
    </row>
    <row r="8" spans="1:29">
      <c r="A8" s="474" t="s">
        <v>508</v>
      </c>
      <c r="B8" s="31" t="s">
        <v>510</v>
      </c>
      <c r="C8" s="446"/>
      <c r="D8" s="446"/>
      <c r="E8" s="171"/>
      <c r="F8" s="33"/>
      <c r="G8" s="10"/>
      <c r="H8" s="178"/>
      <c r="I8" s="19">
        <v>17</v>
      </c>
      <c r="J8" s="26">
        <v>2000</v>
      </c>
      <c r="K8" s="10">
        <f t="shared" si="0"/>
        <v>117.64705882352941</v>
      </c>
      <c r="L8" s="19">
        <v>17</v>
      </c>
      <c r="M8" s="11">
        <f>AVERAGE(M5:M7)</f>
        <v>1879.7450395083404</v>
      </c>
      <c r="N8" s="10">
        <f t="shared" si="1"/>
        <v>110.57323761813767</v>
      </c>
      <c r="O8" s="12">
        <f t="shared" si="2"/>
        <v>0</v>
      </c>
      <c r="P8" s="13">
        <f t="shared" si="3"/>
        <v>-7.073821205391738</v>
      </c>
      <c r="Q8" s="172">
        <f t="shared" si="4"/>
        <v>0.93987251975417019</v>
      </c>
      <c r="R8" s="442"/>
      <c r="S8" s="28"/>
      <c r="T8" s="28"/>
      <c r="U8" s="168"/>
      <c r="V8" s="169"/>
      <c r="W8" s="10"/>
      <c r="X8" s="10"/>
      <c r="Y8" s="443"/>
      <c r="Z8" s="443"/>
      <c r="AA8" s="12">
        <f t="shared" si="5"/>
        <v>-120.25496049165963</v>
      </c>
      <c r="AB8" s="172">
        <f t="shared" si="6"/>
        <v>0.93987251975417019</v>
      </c>
      <c r="AC8" s="442"/>
    </row>
    <row r="9" spans="1:29" ht="15.75" customHeight="1">
      <c r="A9" s="439" t="s">
        <v>509</v>
      </c>
      <c r="B9" s="31" t="s">
        <v>53</v>
      </c>
      <c r="C9" s="471" t="s">
        <v>107</v>
      </c>
      <c r="D9" s="472"/>
      <c r="E9" s="31">
        <v>39.619999999999997</v>
      </c>
      <c r="F9" s="178">
        <v>5164</v>
      </c>
      <c r="G9" s="168">
        <f>E9*F9</f>
        <v>204597.68</v>
      </c>
      <c r="H9" s="179" t="s">
        <v>103</v>
      </c>
      <c r="I9" s="170">
        <v>19</v>
      </c>
      <c r="J9" s="26">
        <v>1500</v>
      </c>
      <c r="K9" s="10">
        <f t="shared" si="0"/>
        <v>78.94736842105263</v>
      </c>
      <c r="L9" s="170">
        <v>19</v>
      </c>
      <c r="M9" s="11">
        <f>F9/V9*60</f>
        <v>1408.363636363636</v>
      </c>
      <c r="N9" s="10">
        <f t="shared" si="1"/>
        <v>74.124401913875587</v>
      </c>
      <c r="O9" s="12">
        <f t="shared" si="2"/>
        <v>0</v>
      </c>
      <c r="P9" s="13">
        <f t="shared" si="3"/>
        <v>-4.8229665071770427</v>
      </c>
      <c r="Q9" s="172">
        <f t="shared" si="4"/>
        <v>0.9389090909090908</v>
      </c>
      <c r="R9" s="442">
        <f>Q13</f>
        <v>0.93784428813026333</v>
      </c>
      <c r="S9" s="28">
        <v>8.3333333333333329E-2</v>
      </c>
      <c r="T9" s="28">
        <v>0.2361111111111111</v>
      </c>
      <c r="U9" s="168"/>
      <c r="V9" s="169">
        <f>(T9-S9)*24*60</f>
        <v>220.00000000000003</v>
      </c>
      <c r="W9" s="16">
        <f>T9</f>
        <v>0.2361111111111111</v>
      </c>
      <c r="X9" s="16">
        <f>S10</f>
        <v>0.25486111111111109</v>
      </c>
      <c r="Y9" s="443"/>
      <c r="Z9" s="443"/>
      <c r="AA9" s="12">
        <f t="shared" si="5"/>
        <v>-91.636363636363967</v>
      </c>
      <c r="AB9" s="172">
        <f t="shared" si="6"/>
        <v>0.93890909090909069</v>
      </c>
      <c r="AC9" s="442">
        <f>AB13</f>
        <v>0.93784428813026322</v>
      </c>
    </row>
    <row r="10" spans="1:29" ht="15.75" customHeight="1">
      <c r="A10" s="439" t="s">
        <v>509</v>
      </c>
      <c r="B10" s="31" t="s">
        <v>53</v>
      </c>
      <c r="C10" s="471" t="s">
        <v>54</v>
      </c>
      <c r="D10" s="472"/>
      <c r="E10" s="31">
        <v>39.799999999999997</v>
      </c>
      <c r="F10" s="178">
        <v>4000</v>
      </c>
      <c r="G10" s="168">
        <f>E10*F10</f>
        <v>159200</v>
      </c>
      <c r="H10" s="179">
        <v>2</v>
      </c>
      <c r="I10" s="170">
        <v>17</v>
      </c>
      <c r="J10" s="26">
        <v>1500</v>
      </c>
      <c r="K10" s="10">
        <f t="shared" si="0"/>
        <v>88.235294117647058</v>
      </c>
      <c r="L10" s="170">
        <v>17</v>
      </c>
      <c r="M10" s="11">
        <f>F10/V10*60</f>
        <v>1403.5087719298244</v>
      </c>
      <c r="N10" s="10">
        <f t="shared" si="1"/>
        <v>82.559339525283789</v>
      </c>
      <c r="O10" s="12">
        <f t="shared" si="2"/>
        <v>0</v>
      </c>
      <c r="P10" s="13">
        <f t="shared" si="3"/>
        <v>-5.6759545923632686</v>
      </c>
      <c r="Q10" s="172">
        <f t="shared" si="4"/>
        <v>0.93567251461988299</v>
      </c>
      <c r="R10" s="442"/>
      <c r="S10" s="28">
        <v>0.25486111111111109</v>
      </c>
      <c r="T10" s="28">
        <v>0.37361111111111112</v>
      </c>
      <c r="U10" s="168">
        <f>(S10-T9)*24*60</f>
        <v>26.999999999999986</v>
      </c>
      <c r="V10" s="169">
        <f>(T10-S10)*24*60</f>
        <v>171.00000000000003</v>
      </c>
      <c r="W10" s="16"/>
      <c r="X10" s="16"/>
      <c r="Y10" s="443"/>
      <c r="Z10" s="443"/>
      <c r="AA10" s="12">
        <f t="shared" si="5"/>
        <v>-96.491228070175566</v>
      </c>
      <c r="AB10" s="172">
        <f t="shared" si="6"/>
        <v>0.93567251461988299</v>
      </c>
      <c r="AC10" s="442"/>
    </row>
    <row r="11" spans="1:29" ht="15.75" customHeight="1">
      <c r="A11" s="439" t="s">
        <v>509</v>
      </c>
      <c r="B11" s="31" t="s">
        <v>53</v>
      </c>
      <c r="C11" s="471" t="s">
        <v>55</v>
      </c>
      <c r="D11" s="472"/>
      <c r="E11" s="31">
        <v>39.29</v>
      </c>
      <c r="F11" s="178">
        <v>4051</v>
      </c>
      <c r="G11" s="168">
        <f>E11*F11</f>
        <v>159163.79</v>
      </c>
      <c r="H11" s="179" t="s">
        <v>103</v>
      </c>
      <c r="I11" s="170">
        <v>19</v>
      </c>
      <c r="J11" s="26">
        <v>1500</v>
      </c>
      <c r="K11" s="10">
        <f t="shared" si="0"/>
        <v>78.94736842105263</v>
      </c>
      <c r="L11" s="170">
        <v>19</v>
      </c>
      <c r="M11" s="11">
        <f>F11/V11*60</f>
        <v>1404.9710982658958</v>
      </c>
      <c r="N11" s="10">
        <f t="shared" si="1"/>
        <v>73.94584727715241</v>
      </c>
      <c r="O11" s="12">
        <f t="shared" si="2"/>
        <v>0</v>
      </c>
      <c r="P11" s="13">
        <f t="shared" si="3"/>
        <v>-5.0015211439002201</v>
      </c>
      <c r="Q11" s="172">
        <f t="shared" si="4"/>
        <v>0.93664739884393056</v>
      </c>
      <c r="R11" s="442"/>
      <c r="S11" s="28">
        <v>0.37847222222222221</v>
      </c>
      <c r="T11" s="28">
        <v>0.49861111111111112</v>
      </c>
      <c r="U11" s="168">
        <f>(S11-T10)*24*60</f>
        <v>6.9999999999999751</v>
      </c>
      <c r="V11" s="169">
        <f>(T11-S11)*24*60</f>
        <v>173.00000000000003</v>
      </c>
      <c r="W11" s="16">
        <f>T11</f>
        <v>0.49861111111111112</v>
      </c>
      <c r="X11" s="16">
        <f>S12</f>
        <v>0.53819444444444442</v>
      </c>
      <c r="Y11" s="443"/>
      <c r="Z11" s="443"/>
      <c r="AA11" s="12">
        <f t="shared" si="5"/>
        <v>-95.028901734104238</v>
      </c>
      <c r="AB11" s="172">
        <f t="shared" si="6"/>
        <v>0.93664739884393056</v>
      </c>
      <c r="AC11" s="442"/>
    </row>
    <row r="12" spans="1:29" ht="15.75" customHeight="1">
      <c r="A12" s="439" t="s">
        <v>509</v>
      </c>
      <c r="B12" s="31" t="s">
        <v>53</v>
      </c>
      <c r="C12" s="471" t="s">
        <v>54</v>
      </c>
      <c r="D12" s="472"/>
      <c r="E12" s="31">
        <v>39.799999999999997</v>
      </c>
      <c r="F12" s="178">
        <v>3173</v>
      </c>
      <c r="G12" s="168">
        <f>E12*F12</f>
        <v>126285.4</v>
      </c>
      <c r="H12" s="179" t="s">
        <v>103</v>
      </c>
      <c r="I12" s="170">
        <v>17</v>
      </c>
      <c r="J12" s="26">
        <v>1500</v>
      </c>
      <c r="K12" s="10">
        <f t="shared" si="0"/>
        <v>88.235294117647058</v>
      </c>
      <c r="L12" s="170">
        <v>17</v>
      </c>
      <c r="M12" s="11">
        <f>F12/V12*60</f>
        <v>1410.2222222222222</v>
      </c>
      <c r="N12" s="10">
        <f t="shared" si="1"/>
        <v>82.954248366013076</v>
      </c>
      <c r="O12" s="12">
        <f t="shared" si="2"/>
        <v>0</v>
      </c>
      <c r="P12" s="13">
        <f t="shared" si="3"/>
        <v>-5.2810457516339824</v>
      </c>
      <c r="Q12" s="172">
        <f t="shared" si="4"/>
        <v>0.94014814814814818</v>
      </c>
      <c r="R12" s="442"/>
      <c r="S12" s="28">
        <v>0.53819444444444442</v>
      </c>
      <c r="T12" s="28">
        <v>0.63194444444444442</v>
      </c>
      <c r="U12" s="168">
        <f>(S12-T11)*24*60</f>
        <v>56.999999999999957</v>
      </c>
      <c r="V12" s="169">
        <f>(T12-S12)*24*60</f>
        <v>135</v>
      </c>
      <c r="W12" s="16"/>
      <c r="X12" s="16"/>
      <c r="Y12" s="443"/>
      <c r="Z12" s="443"/>
      <c r="AA12" s="12">
        <f t="shared" si="5"/>
        <v>-89.777777777777828</v>
      </c>
      <c r="AB12" s="172">
        <f t="shared" si="6"/>
        <v>0.94014814814814807</v>
      </c>
      <c r="AC12" s="442"/>
    </row>
    <row r="13" spans="1:29" ht="16.5" customHeight="1">
      <c r="A13" s="439" t="s">
        <v>509</v>
      </c>
      <c r="B13" s="31" t="s">
        <v>510</v>
      </c>
      <c r="C13" s="446"/>
      <c r="D13" s="446"/>
      <c r="E13" s="171"/>
      <c r="F13" s="26"/>
      <c r="G13" s="11"/>
      <c r="H13" s="178"/>
      <c r="I13" s="19">
        <v>18</v>
      </c>
      <c r="J13" s="26">
        <v>1500</v>
      </c>
      <c r="K13" s="10">
        <f t="shared" si="0"/>
        <v>83.333333333333329</v>
      </c>
      <c r="L13" s="19">
        <v>18</v>
      </c>
      <c r="M13" s="11">
        <f>AVERAGE(M9:M12)</f>
        <v>1406.7664321953948</v>
      </c>
      <c r="N13" s="10">
        <f t="shared" si="1"/>
        <v>78.153690677521936</v>
      </c>
      <c r="O13" s="12">
        <f t="shared" si="2"/>
        <v>0</v>
      </c>
      <c r="P13" s="13">
        <f t="shared" si="3"/>
        <v>-5.1796426558113922</v>
      </c>
      <c r="Q13" s="172">
        <f t="shared" si="4"/>
        <v>0.93784428813026333</v>
      </c>
      <c r="R13" s="442"/>
      <c r="S13" s="28"/>
      <c r="T13" s="28"/>
      <c r="U13" s="10"/>
      <c r="V13" s="169"/>
      <c r="W13" s="10"/>
      <c r="X13" s="10"/>
      <c r="Y13" s="443"/>
      <c r="Z13" s="443"/>
      <c r="AA13" s="12">
        <f t="shared" si="5"/>
        <v>-93.233567804605173</v>
      </c>
      <c r="AB13" s="172">
        <f t="shared" si="6"/>
        <v>0.93784428813026322</v>
      </c>
      <c r="AC13" s="442"/>
    </row>
    <row r="14" spans="1:29" ht="16.5" customHeight="1">
      <c r="A14" s="469" t="s">
        <v>511</v>
      </c>
      <c r="B14" s="178" t="s">
        <v>56</v>
      </c>
      <c r="C14" s="464" t="s">
        <v>57</v>
      </c>
      <c r="D14" s="464"/>
      <c r="E14" s="31">
        <v>41</v>
      </c>
      <c r="F14" s="178">
        <v>2014</v>
      </c>
      <c r="G14" s="168">
        <f>E14*F14</f>
        <v>82574</v>
      </c>
      <c r="H14" s="179" t="s">
        <v>103</v>
      </c>
      <c r="I14" s="170">
        <v>26</v>
      </c>
      <c r="J14" s="26">
        <v>1500</v>
      </c>
      <c r="K14" s="10">
        <f t="shared" si="0"/>
        <v>57.692307692307693</v>
      </c>
      <c r="L14" s="170">
        <v>26</v>
      </c>
      <c r="M14" s="11">
        <f>F14/V14*60</f>
        <v>1405.1162790697679</v>
      </c>
      <c r="N14" s="10">
        <f t="shared" si="1"/>
        <v>54.042933810375686</v>
      </c>
      <c r="O14" s="12">
        <f t="shared" si="2"/>
        <v>0</v>
      </c>
      <c r="P14" s="13">
        <f t="shared" si="3"/>
        <v>-3.6493738819320072</v>
      </c>
      <c r="Q14" s="172">
        <f t="shared" si="4"/>
        <v>0.93674418604651188</v>
      </c>
      <c r="R14" s="442">
        <f>Q18</f>
        <v>0.9393698633002473</v>
      </c>
      <c r="S14" s="28">
        <v>0.20833333333333334</v>
      </c>
      <c r="T14" s="28">
        <v>0.26805555555555555</v>
      </c>
      <c r="U14" s="168"/>
      <c r="V14" s="169">
        <f>(T14-S14)*24*60</f>
        <v>85.999999999999972</v>
      </c>
      <c r="W14" s="18"/>
      <c r="X14" s="18"/>
      <c r="Y14" s="443"/>
      <c r="Z14" s="443"/>
      <c r="AA14" s="12">
        <f t="shared" si="5"/>
        <v>-94.88372093023213</v>
      </c>
      <c r="AB14" s="172">
        <f t="shared" si="6"/>
        <v>0.93674418604651188</v>
      </c>
      <c r="AC14" s="442">
        <f>AB18</f>
        <v>0.9393698633002473</v>
      </c>
    </row>
    <row r="15" spans="1:29" ht="16.5" customHeight="1">
      <c r="A15" s="470" t="s">
        <v>511</v>
      </c>
      <c r="B15" s="178" t="s">
        <v>53</v>
      </c>
      <c r="C15" s="464" t="s">
        <v>163</v>
      </c>
      <c r="D15" s="464"/>
      <c r="E15" s="31">
        <v>39.36</v>
      </c>
      <c r="F15" s="178">
        <v>5193</v>
      </c>
      <c r="G15" s="168">
        <f>E15*F15</f>
        <v>204396.48</v>
      </c>
      <c r="H15" s="179" t="s">
        <v>103</v>
      </c>
      <c r="I15" s="170">
        <v>21</v>
      </c>
      <c r="J15" s="26">
        <v>1500</v>
      </c>
      <c r="K15" s="10">
        <f t="shared" si="0"/>
        <v>71.428571428571431</v>
      </c>
      <c r="L15" s="170">
        <v>21</v>
      </c>
      <c r="M15" s="11">
        <f>F15/V15*60</f>
        <v>1409.8642533936654</v>
      </c>
      <c r="N15" s="10">
        <f t="shared" si="1"/>
        <v>67.136393018745977</v>
      </c>
      <c r="O15" s="12">
        <f t="shared" si="2"/>
        <v>0</v>
      </c>
      <c r="P15" s="13">
        <f t="shared" si="3"/>
        <v>-4.2921784098254534</v>
      </c>
      <c r="Q15" s="172">
        <f t="shared" si="4"/>
        <v>0.93990950226244363</v>
      </c>
      <c r="R15" s="442"/>
      <c r="S15" s="28">
        <v>0.27152777777777776</v>
      </c>
      <c r="T15" s="28">
        <v>0.42499999999999993</v>
      </c>
      <c r="U15" s="168">
        <f>IF(S15=TIME(17,0,0),"",(S15-T14)*24*60)</f>
        <v>4.9999999999999822</v>
      </c>
      <c r="V15" s="169">
        <f>(T15-S15)*24*60</f>
        <v>220.99999999999994</v>
      </c>
      <c r="W15" s="16"/>
      <c r="X15" s="16"/>
      <c r="Y15" s="443"/>
      <c r="Z15" s="443"/>
      <c r="AA15" s="12">
        <f t="shared" si="5"/>
        <v>-90.135746606334578</v>
      </c>
      <c r="AB15" s="172">
        <f t="shared" si="6"/>
        <v>0.93990950226244363</v>
      </c>
      <c r="AC15" s="442"/>
    </row>
    <row r="16" spans="1:29" ht="16.5" customHeight="1">
      <c r="A16" s="470" t="s">
        <v>511</v>
      </c>
      <c r="B16" s="178" t="s">
        <v>58</v>
      </c>
      <c r="C16" s="464" t="s">
        <v>59</v>
      </c>
      <c r="D16" s="464"/>
      <c r="E16" s="31">
        <v>50.98</v>
      </c>
      <c r="F16" s="178">
        <v>2956</v>
      </c>
      <c r="G16" s="168">
        <f>E16*F16</f>
        <v>150696.88</v>
      </c>
      <c r="H16" s="179" t="s">
        <v>103</v>
      </c>
      <c r="I16" s="170">
        <v>17</v>
      </c>
      <c r="J16" s="26">
        <v>2000</v>
      </c>
      <c r="K16" s="10">
        <f t="shared" si="0"/>
        <v>117.64705882352941</v>
      </c>
      <c r="L16" s="170">
        <v>17</v>
      </c>
      <c r="M16" s="11">
        <f>F16/V16*60</f>
        <v>1886.8085106382982</v>
      </c>
      <c r="N16" s="10">
        <f t="shared" si="1"/>
        <v>110.9887359198999</v>
      </c>
      <c r="O16" s="12">
        <f t="shared" si="2"/>
        <v>0</v>
      </c>
      <c r="P16" s="13">
        <f t="shared" si="3"/>
        <v>-6.6583229036295108</v>
      </c>
      <c r="Q16" s="172">
        <f t="shared" si="4"/>
        <v>0.94340425531914918</v>
      </c>
      <c r="R16" s="442"/>
      <c r="S16" s="28">
        <v>0.70833333333333337</v>
      </c>
      <c r="T16" s="28">
        <v>0.77361111111111114</v>
      </c>
      <c r="U16" s="168" t="str">
        <f>IF(S16=TIME(17,0,0),"",(S16-T15)*24*60)</f>
        <v/>
      </c>
      <c r="V16" s="169">
        <f>(T16-S16)*24*60</f>
        <v>93.999999999999986</v>
      </c>
      <c r="W16" s="16"/>
      <c r="X16" s="16"/>
      <c r="Y16" s="443"/>
      <c r="Z16" s="443"/>
      <c r="AA16" s="12">
        <f t="shared" si="5"/>
        <v>-113.19148936170177</v>
      </c>
      <c r="AB16" s="172">
        <f t="shared" si="6"/>
        <v>0.94340425531914907</v>
      </c>
      <c r="AC16" s="442"/>
    </row>
    <row r="17" spans="1:29" ht="16.5" customHeight="1">
      <c r="A17" s="470" t="s">
        <v>511</v>
      </c>
      <c r="B17" s="178" t="s">
        <v>58</v>
      </c>
      <c r="C17" s="464" t="s">
        <v>60</v>
      </c>
      <c r="D17" s="464"/>
      <c r="E17" s="31">
        <v>50.92</v>
      </c>
      <c r="F17" s="178">
        <v>3123</v>
      </c>
      <c r="G17" s="168">
        <f>E17*F17</f>
        <v>159023.16</v>
      </c>
      <c r="H17" s="179" t="s">
        <v>103</v>
      </c>
      <c r="I17" s="170">
        <v>16</v>
      </c>
      <c r="J17" s="26">
        <v>2000</v>
      </c>
      <c r="K17" s="10">
        <f t="shared" si="0"/>
        <v>125</v>
      </c>
      <c r="L17" s="170">
        <v>16</v>
      </c>
      <c r="M17" s="11">
        <f>F17/V17*60</f>
        <v>1873.8000000000004</v>
      </c>
      <c r="N17" s="10">
        <f t="shared" si="1"/>
        <v>117.11250000000003</v>
      </c>
      <c r="O17" s="12">
        <f t="shared" si="2"/>
        <v>0</v>
      </c>
      <c r="P17" s="13">
        <f t="shared" si="3"/>
        <v>-7.8874999999999744</v>
      </c>
      <c r="Q17" s="172">
        <f t="shared" si="4"/>
        <v>0.93690000000000018</v>
      </c>
      <c r="R17" s="442"/>
      <c r="S17" s="28">
        <v>0.77916666666666667</v>
      </c>
      <c r="T17" s="28">
        <v>0.84861111111111109</v>
      </c>
      <c r="U17" s="168">
        <f>IF(S17=TIME(17,0,0),"",(S17-T16)*24*60)</f>
        <v>7.9999999999999716</v>
      </c>
      <c r="V17" s="169">
        <f>(T17-S17)*24*60</f>
        <v>99.999999999999972</v>
      </c>
      <c r="W17" s="16"/>
      <c r="X17" s="16"/>
      <c r="Y17" s="443"/>
      <c r="Z17" s="443"/>
      <c r="AA17" s="12">
        <f t="shared" si="5"/>
        <v>-126.19999999999959</v>
      </c>
      <c r="AB17" s="172">
        <f t="shared" si="6"/>
        <v>0.93690000000000018</v>
      </c>
      <c r="AC17" s="442"/>
    </row>
    <row r="18" spans="1:29" ht="16.5" customHeight="1">
      <c r="A18" s="470" t="s">
        <v>511</v>
      </c>
      <c r="B18" s="31" t="s">
        <v>510</v>
      </c>
      <c r="C18" s="446"/>
      <c r="D18" s="446"/>
      <c r="E18" s="171"/>
      <c r="F18" s="33"/>
      <c r="G18" s="10"/>
      <c r="H18" s="178"/>
      <c r="I18" s="19">
        <v>20</v>
      </c>
      <c r="J18" s="26">
        <v>1750</v>
      </c>
      <c r="K18" s="10">
        <f t="shared" si="0"/>
        <v>87.5</v>
      </c>
      <c r="L18" s="19">
        <v>20</v>
      </c>
      <c r="M18" s="11">
        <f>AVERAGE(M14:M17)</f>
        <v>1643.8972607754329</v>
      </c>
      <c r="N18" s="10">
        <f t="shared" si="1"/>
        <v>82.194863038771643</v>
      </c>
      <c r="O18" s="12">
        <f t="shared" si="2"/>
        <v>0</v>
      </c>
      <c r="P18" s="13">
        <f t="shared" si="3"/>
        <v>-5.3051369612283565</v>
      </c>
      <c r="Q18" s="172">
        <f t="shared" si="4"/>
        <v>0.9393698633002473</v>
      </c>
      <c r="R18" s="442"/>
      <c r="S18" s="28"/>
      <c r="T18" s="28"/>
      <c r="U18" s="168"/>
      <c r="V18" s="169"/>
      <c r="W18" s="10"/>
      <c r="X18" s="10"/>
      <c r="Y18" s="443"/>
      <c r="Z18" s="443"/>
      <c r="AA18" s="12">
        <f t="shared" si="5"/>
        <v>-106.10273922456713</v>
      </c>
      <c r="AB18" s="172">
        <f t="shared" si="6"/>
        <v>0.9393698633002473</v>
      </c>
      <c r="AC18" s="442"/>
    </row>
    <row r="19" spans="1:29" ht="15.75" customHeight="1">
      <c r="A19" s="467" t="s">
        <v>512</v>
      </c>
      <c r="B19" s="31" t="s">
        <v>56</v>
      </c>
      <c r="C19" s="464" t="s">
        <v>61</v>
      </c>
      <c r="D19" s="464"/>
      <c r="E19" s="31">
        <v>43.14</v>
      </c>
      <c r="F19" s="178">
        <v>1640</v>
      </c>
      <c r="G19" s="168">
        <f>E19*F19</f>
        <v>70749.600000000006</v>
      </c>
      <c r="H19" s="179" t="s">
        <v>103</v>
      </c>
      <c r="I19" s="170">
        <v>17</v>
      </c>
      <c r="J19" s="26">
        <v>2000</v>
      </c>
      <c r="K19" s="10">
        <f t="shared" si="0"/>
        <v>117.64705882352941</v>
      </c>
      <c r="L19" s="170">
        <v>17</v>
      </c>
      <c r="M19" s="11">
        <f>F19/V19*60</f>
        <v>1892.3076923076917</v>
      </c>
      <c r="N19" s="10">
        <f t="shared" si="1"/>
        <v>111.3122171945701</v>
      </c>
      <c r="O19" s="12">
        <f t="shared" si="2"/>
        <v>0</v>
      </c>
      <c r="P19" s="13">
        <f t="shared" si="3"/>
        <v>-6.3348416289593104</v>
      </c>
      <c r="Q19" s="172">
        <f t="shared" si="4"/>
        <v>0.9461538461538459</v>
      </c>
      <c r="R19" s="442">
        <f>Q24</f>
        <v>0.94697508314054424</v>
      </c>
      <c r="S19" s="28">
        <v>0.20833333333333334</v>
      </c>
      <c r="T19" s="28">
        <v>0.24444444444444446</v>
      </c>
      <c r="U19" s="168"/>
      <c r="V19" s="169">
        <f>(T19-S19)*24*60</f>
        <v>52.000000000000014</v>
      </c>
      <c r="W19" s="18"/>
      <c r="X19" s="18"/>
      <c r="Y19" s="443"/>
      <c r="Z19" s="443"/>
      <c r="AA19" s="12">
        <f t="shared" si="5"/>
        <v>-107.6923076923083</v>
      </c>
      <c r="AB19" s="172">
        <f t="shared" si="6"/>
        <v>0.9461538461538459</v>
      </c>
      <c r="AC19" s="442">
        <f>AB24</f>
        <v>0.94697508314054413</v>
      </c>
    </row>
    <row r="20" spans="1:29" ht="15.75" customHeight="1">
      <c r="A20" s="468" t="s">
        <v>512</v>
      </c>
      <c r="B20" s="31" t="s">
        <v>58</v>
      </c>
      <c r="C20" s="464" t="s">
        <v>62</v>
      </c>
      <c r="D20" s="464"/>
      <c r="E20" s="31">
        <v>57.73</v>
      </c>
      <c r="F20" s="178">
        <v>2971</v>
      </c>
      <c r="G20" s="168">
        <f>E20*F20</f>
        <v>171515.83</v>
      </c>
      <c r="H20" s="179" t="s">
        <v>103</v>
      </c>
      <c r="I20" s="170">
        <v>16</v>
      </c>
      <c r="J20" s="26">
        <v>2000</v>
      </c>
      <c r="K20" s="10">
        <f t="shared" si="0"/>
        <v>125</v>
      </c>
      <c r="L20" s="170">
        <v>16</v>
      </c>
      <c r="M20" s="11">
        <f>F20/V20*60</f>
        <v>1876.4210526315792</v>
      </c>
      <c r="N20" s="10">
        <f t="shared" si="1"/>
        <v>117.2763157894737</v>
      </c>
      <c r="O20" s="12">
        <f t="shared" si="2"/>
        <v>0</v>
      </c>
      <c r="P20" s="13">
        <f t="shared" si="3"/>
        <v>-7.7236842105263008</v>
      </c>
      <c r="Q20" s="172">
        <f t="shared" si="4"/>
        <v>0.93821052631578961</v>
      </c>
      <c r="R20" s="442"/>
      <c r="S20" s="28">
        <v>0.25</v>
      </c>
      <c r="T20" s="28">
        <v>0.31597222222222221</v>
      </c>
      <c r="U20" s="168">
        <f>IF(S20=TIME(17,0,0),"",(S20-T19)*24*60)</f>
        <v>7.9999999999999716</v>
      </c>
      <c r="V20" s="169">
        <f>(T20-S20)*24*60</f>
        <v>94.999999999999986</v>
      </c>
      <c r="W20" s="16"/>
      <c r="X20" s="168"/>
      <c r="Y20" s="443"/>
      <c r="Z20" s="443"/>
      <c r="AA20" s="12">
        <f t="shared" si="5"/>
        <v>-123.57894736842081</v>
      </c>
      <c r="AB20" s="172">
        <f t="shared" si="6"/>
        <v>0.93821052631578961</v>
      </c>
      <c r="AC20" s="442"/>
    </row>
    <row r="21" spans="1:29" ht="15.75" customHeight="1">
      <c r="A21" s="468" t="s">
        <v>512</v>
      </c>
      <c r="B21" s="31" t="s">
        <v>58</v>
      </c>
      <c r="C21" s="464" t="s">
        <v>63</v>
      </c>
      <c r="D21" s="464"/>
      <c r="E21" s="31">
        <v>53.68</v>
      </c>
      <c r="F21" s="178">
        <v>2001</v>
      </c>
      <c r="G21" s="168">
        <f>E21*F21</f>
        <v>107413.68</v>
      </c>
      <c r="H21" s="179" t="s">
        <v>103</v>
      </c>
      <c r="I21" s="170">
        <v>17</v>
      </c>
      <c r="J21" s="26">
        <v>2000</v>
      </c>
      <c r="K21" s="10">
        <f t="shared" si="0"/>
        <v>117.64705882352941</v>
      </c>
      <c r="L21" s="170">
        <v>17</v>
      </c>
      <c r="M21" s="11">
        <f>F21/V21*60</f>
        <v>1875.9374999999995</v>
      </c>
      <c r="N21" s="10">
        <f t="shared" si="1"/>
        <v>110.34926470588232</v>
      </c>
      <c r="O21" s="12">
        <f t="shared" si="2"/>
        <v>0</v>
      </c>
      <c r="P21" s="13">
        <f t="shared" si="3"/>
        <v>-7.2977941176470864</v>
      </c>
      <c r="Q21" s="172">
        <f t="shared" si="4"/>
        <v>0.9379687499999998</v>
      </c>
      <c r="R21" s="442"/>
      <c r="S21" s="28">
        <v>0.32013888888888886</v>
      </c>
      <c r="T21" s="28">
        <v>0.36458333333333331</v>
      </c>
      <c r="U21" s="168">
        <f>IF(S21=TIME(17,0,0),"",(S21-T20)*24*60)</f>
        <v>5.9999999999999787</v>
      </c>
      <c r="V21" s="169">
        <f>(T21-S21)*24*60</f>
        <v>64.000000000000014</v>
      </c>
      <c r="W21" s="16"/>
      <c r="X21" s="168"/>
      <c r="Y21" s="443"/>
      <c r="Z21" s="443"/>
      <c r="AA21" s="12">
        <f t="shared" si="5"/>
        <v>-124.06250000000045</v>
      </c>
      <c r="AB21" s="172">
        <f t="shared" si="6"/>
        <v>0.9379687499999998</v>
      </c>
      <c r="AC21" s="442"/>
    </row>
    <row r="22" spans="1:29" ht="15.75" customHeight="1">
      <c r="A22" s="468" t="s">
        <v>512</v>
      </c>
      <c r="B22" s="31" t="s">
        <v>58</v>
      </c>
      <c r="C22" s="464" t="s">
        <v>65</v>
      </c>
      <c r="D22" s="464"/>
      <c r="E22" s="31">
        <v>54.09</v>
      </c>
      <c r="F22" s="178">
        <v>3509</v>
      </c>
      <c r="G22" s="168">
        <f>E22*F22</f>
        <v>189801.81</v>
      </c>
      <c r="H22" s="179" t="s">
        <v>103</v>
      </c>
      <c r="I22" s="170">
        <v>20</v>
      </c>
      <c r="J22" s="26">
        <v>2000</v>
      </c>
      <c r="K22" s="10">
        <f t="shared" si="0"/>
        <v>100</v>
      </c>
      <c r="L22" s="170">
        <v>20</v>
      </c>
      <c r="M22" s="11">
        <f>F22/V22*60</f>
        <v>1879.8214285714271</v>
      </c>
      <c r="N22" s="10">
        <f t="shared" si="1"/>
        <v>93.99107142857136</v>
      </c>
      <c r="O22" s="12">
        <f t="shared" si="2"/>
        <v>0</v>
      </c>
      <c r="P22" s="13">
        <f t="shared" si="3"/>
        <v>-6.0089285714286405</v>
      </c>
      <c r="Q22" s="172">
        <f t="shared" si="4"/>
        <v>0.9399107142857136</v>
      </c>
      <c r="R22" s="442"/>
      <c r="S22" s="28">
        <v>0.70833333333333337</v>
      </c>
      <c r="T22" s="28">
        <v>0.7861111111111112</v>
      </c>
      <c r="U22" s="168" t="str">
        <f>IF(S22=TIME(17,0,0),"",(S22-T21)*24*60)</f>
        <v/>
      </c>
      <c r="V22" s="169">
        <f>(T22-S22)*24*60</f>
        <v>112.00000000000009</v>
      </c>
      <c r="W22" s="16"/>
      <c r="X22" s="168"/>
      <c r="Y22" s="443"/>
      <c r="Z22" s="443"/>
      <c r="AA22" s="12">
        <f t="shared" si="5"/>
        <v>-120.17857142857292</v>
      </c>
      <c r="AB22" s="172">
        <f t="shared" si="6"/>
        <v>0.93991071428571349</v>
      </c>
      <c r="AC22" s="442"/>
    </row>
    <row r="23" spans="1:29" ht="15.75" customHeight="1">
      <c r="A23" s="468" t="s">
        <v>512</v>
      </c>
      <c r="B23" s="31" t="s">
        <v>58</v>
      </c>
      <c r="C23" s="464" t="s">
        <v>66</v>
      </c>
      <c r="D23" s="464"/>
      <c r="E23" s="31">
        <v>53.27</v>
      </c>
      <c r="F23" s="178">
        <v>616</v>
      </c>
      <c r="G23" s="168">
        <f>E23*F23</f>
        <v>32814.32</v>
      </c>
      <c r="H23" s="179" t="s">
        <v>103</v>
      </c>
      <c r="I23" s="170">
        <v>15</v>
      </c>
      <c r="J23" s="26">
        <v>2000</v>
      </c>
      <c r="K23" s="10">
        <f t="shared" si="0"/>
        <v>133.33333333333334</v>
      </c>
      <c r="L23" s="170">
        <v>15</v>
      </c>
      <c r="M23" s="11">
        <f>F23/V23*60</f>
        <v>1945.2631578947439</v>
      </c>
      <c r="N23" s="10">
        <f t="shared" si="1"/>
        <v>129.68421052631626</v>
      </c>
      <c r="O23" s="12">
        <f t="shared" si="2"/>
        <v>0</v>
      </c>
      <c r="P23" s="13">
        <f t="shared" si="3"/>
        <v>-3.6491228070170791</v>
      </c>
      <c r="Q23" s="172">
        <f t="shared" si="4"/>
        <v>0.97263157894737196</v>
      </c>
      <c r="R23" s="442"/>
      <c r="S23" s="28">
        <v>0.78958333333333341</v>
      </c>
      <c r="T23" s="28">
        <v>0.80277777777777781</v>
      </c>
      <c r="U23" s="168">
        <f>IF(S23=TIME(17,0,0),"",(S23-T22)*24*60)</f>
        <v>4.9999999999999822</v>
      </c>
      <c r="V23" s="169">
        <f>(T23-S23)*24*60</f>
        <v>18.999999999999932</v>
      </c>
      <c r="W23" s="16"/>
      <c r="X23" s="168"/>
      <c r="Y23" s="443"/>
      <c r="Z23" s="443"/>
      <c r="AA23" s="12">
        <f t="shared" si="5"/>
        <v>-54.736842105256073</v>
      </c>
      <c r="AB23" s="172">
        <f t="shared" si="6"/>
        <v>0.97263157894737196</v>
      </c>
      <c r="AC23" s="442"/>
    </row>
    <row r="24" spans="1:29" ht="15.75" customHeight="1">
      <c r="A24" s="468" t="s">
        <v>512</v>
      </c>
      <c r="B24" s="31" t="s">
        <v>510</v>
      </c>
      <c r="C24" s="446"/>
      <c r="D24" s="446"/>
      <c r="E24" s="171"/>
      <c r="F24" s="178"/>
      <c r="G24" s="168"/>
      <c r="H24" s="178"/>
      <c r="I24" s="19">
        <v>17</v>
      </c>
      <c r="J24" s="26">
        <v>2000</v>
      </c>
      <c r="K24" s="10">
        <f t="shared" si="0"/>
        <v>117.64705882352941</v>
      </c>
      <c r="L24" s="19">
        <v>17</v>
      </c>
      <c r="M24" s="11">
        <f>AVERAGE(M19:M23)</f>
        <v>1893.9501662810883</v>
      </c>
      <c r="N24" s="10">
        <f t="shared" si="1"/>
        <v>111.40883331065226</v>
      </c>
      <c r="O24" s="12">
        <f t="shared" si="2"/>
        <v>0</v>
      </c>
      <c r="P24" s="13">
        <f t="shared" si="3"/>
        <v>-6.2382255128771504</v>
      </c>
      <c r="Q24" s="172">
        <f t="shared" si="4"/>
        <v>0.94697508314054424</v>
      </c>
      <c r="R24" s="442"/>
      <c r="S24" s="28"/>
      <c r="T24" s="28"/>
      <c r="U24" s="10"/>
      <c r="V24" s="169"/>
      <c r="W24" s="10"/>
      <c r="X24" s="10"/>
      <c r="Y24" s="443"/>
      <c r="Z24" s="443"/>
      <c r="AA24" s="12">
        <f t="shared" si="5"/>
        <v>-106.04983371891171</v>
      </c>
      <c r="AB24" s="172">
        <f t="shared" si="6"/>
        <v>0.94697508314054413</v>
      </c>
      <c r="AC24" s="442"/>
    </row>
    <row r="25" spans="1:29" ht="15.75" customHeight="1">
      <c r="A25" s="463" t="s">
        <v>513</v>
      </c>
      <c r="B25" s="31" t="s">
        <v>67</v>
      </c>
      <c r="C25" s="464" t="s">
        <v>68</v>
      </c>
      <c r="D25" s="464"/>
      <c r="E25" s="31">
        <v>26.2</v>
      </c>
      <c r="F25" s="178">
        <v>4765</v>
      </c>
      <c r="G25" s="168">
        <f t="shared" ref="G25:G31" si="7">E25*F25</f>
        <v>124843</v>
      </c>
      <c r="H25" s="179" t="s">
        <v>103</v>
      </c>
      <c r="I25" s="170">
        <v>20</v>
      </c>
      <c r="J25" s="26">
        <v>2400</v>
      </c>
      <c r="K25" s="10">
        <f t="shared" si="0"/>
        <v>120</v>
      </c>
      <c r="L25" s="170">
        <v>20</v>
      </c>
      <c r="M25" s="11">
        <f t="shared" ref="M25:M31" si="8">F25/V25*60</f>
        <v>2251.1811023622049</v>
      </c>
      <c r="N25" s="10">
        <f t="shared" si="1"/>
        <v>112.55905511811025</v>
      </c>
      <c r="O25" s="12">
        <f t="shared" si="2"/>
        <v>0</v>
      </c>
      <c r="P25" s="13">
        <f t="shared" si="3"/>
        <v>-7.4409448818897488</v>
      </c>
      <c r="Q25" s="172">
        <f t="shared" si="4"/>
        <v>0.93799212598425208</v>
      </c>
      <c r="R25" s="442">
        <f>Q32</f>
        <v>0.93861107017687595</v>
      </c>
      <c r="S25" s="28">
        <v>8.3333333333333329E-2</v>
      </c>
      <c r="T25" s="28">
        <v>0.17152777777777778</v>
      </c>
      <c r="U25" s="168"/>
      <c r="V25" s="169">
        <f t="shared" ref="V25:V31" si="9">(T25-S25)*24*60</f>
        <v>127</v>
      </c>
      <c r="W25" s="16">
        <f>T25</f>
        <v>0.17152777777777778</v>
      </c>
      <c r="X25" s="16">
        <f>S26</f>
        <v>0.19236111111111112</v>
      </c>
      <c r="Y25" s="443"/>
      <c r="Z25" s="443"/>
      <c r="AA25" s="12">
        <f t="shared" si="5"/>
        <v>-148.81889763779509</v>
      </c>
      <c r="AB25" s="172">
        <f t="shared" si="6"/>
        <v>0.93799212598425208</v>
      </c>
      <c r="AC25" s="442">
        <f>AB32</f>
        <v>0.93861107017687595</v>
      </c>
    </row>
    <row r="26" spans="1:29" ht="15.75" customHeight="1">
      <c r="A26" s="463" t="s">
        <v>513</v>
      </c>
      <c r="B26" s="31" t="s">
        <v>67</v>
      </c>
      <c r="C26" s="464" t="s">
        <v>69</v>
      </c>
      <c r="D26" s="464"/>
      <c r="E26" s="31">
        <v>31.29</v>
      </c>
      <c r="F26" s="178">
        <v>4500</v>
      </c>
      <c r="G26" s="168">
        <f t="shared" si="7"/>
        <v>140805</v>
      </c>
      <c r="H26" s="179">
        <v>2</v>
      </c>
      <c r="I26" s="170">
        <v>16</v>
      </c>
      <c r="J26" s="26">
        <v>2400</v>
      </c>
      <c r="K26" s="10">
        <f t="shared" si="0"/>
        <v>150</v>
      </c>
      <c r="L26" s="170">
        <v>16</v>
      </c>
      <c r="M26" s="11">
        <f t="shared" si="8"/>
        <v>2250</v>
      </c>
      <c r="N26" s="10">
        <f t="shared" si="1"/>
        <v>140.625</v>
      </c>
      <c r="O26" s="12">
        <f t="shared" si="2"/>
        <v>0</v>
      </c>
      <c r="P26" s="13">
        <f t="shared" si="3"/>
        <v>-9.375</v>
      </c>
      <c r="Q26" s="172">
        <f t="shared" si="4"/>
        <v>0.9375</v>
      </c>
      <c r="R26" s="442"/>
      <c r="S26" s="28">
        <v>0.19236111111111112</v>
      </c>
      <c r="T26" s="28">
        <v>0.27569444444444446</v>
      </c>
      <c r="U26" s="168">
        <f t="shared" ref="U26:U31" si="10">(S26-T25)*24*60</f>
        <v>30.000000000000014</v>
      </c>
      <c r="V26" s="169">
        <f t="shared" si="9"/>
        <v>120</v>
      </c>
      <c r="W26" s="16"/>
      <c r="X26" s="16"/>
      <c r="Y26" s="443"/>
      <c r="Z26" s="443"/>
      <c r="AA26" s="12">
        <f t="shared" si="5"/>
        <v>-150</v>
      </c>
      <c r="AB26" s="172">
        <f t="shared" si="6"/>
        <v>0.9375</v>
      </c>
      <c r="AC26" s="442"/>
    </row>
    <row r="27" spans="1:29" ht="15.75" customHeight="1">
      <c r="A27" s="463" t="s">
        <v>513</v>
      </c>
      <c r="B27" s="31" t="s">
        <v>67</v>
      </c>
      <c r="C27" s="464" t="s">
        <v>70</v>
      </c>
      <c r="D27" s="464"/>
      <c r="E27" s="31">
        <v>24.25</v>
      </c>
      <c r="F27" s="178">
        <v>4374</v>
      </c>
      <c r="G27" s="168">
        <f t="shared" si="7"/>
        <v>106069.5</v>
      </c>
      <c r="H27" s="179" t="s">
        <v>103</v>
      </c>
      <c r="I27" s="170">
        <v>18</v>
      </c>
      <c r="J27" s="26">
        <v>2400</v>
      </c>
      <c r="K27" s="10">
        <f t="shared" si="0"/>
        <v>133.33333333333334</v>
      </c>
      <c r="L27" s="170">
        <v>18</v>
      </c>
      <c r="M27" s="11">
        <f t="shared" si="8"/>
        <v>2262.4137931034484</v>
      </c>
      <c r="N27" s="10">
        <f t="shared" si="1"/>
        <v>125.68965517241379</v>
      </c>
      <c r="O27" s="12">
        <f t="shared" si="2"/>
        <v>0</v>
      </c>
      <c r="P27" s="13">
        <f t="shared" si="3"/>
        <v>-7.6436781609195492</v>
      </c>
      <c r="Q27" s="172">
        <f t="shared" si="4"/>
        <v>0.9426724137931034</v>
      </c>
      <c r="R27" s="442"/>
      <c r="S27" s="28">
        <v>0.27986111111111112</v>
      </c>
      <c r="T27" s="28">
        <v>0.36041666666666666</v>
      </c>
      <c r="U27" s="168">
        <f t="shared" si="10"/>
        <v>5.9999999999999787</v>
      </c>
      <c r="V27" s="169">
        <f t="shared" si="9"/>
        <v>115.99999999999999</v>
      </c>
      <c r="W27" s="16"/>
      <c r="X27" s="16"/>
      <c r="Y27" s="443"/>
      <c r="Z27" s="443"/>
      <c r="AA27" s="12">
        <f t="shared" si="5"/>
        <v>-137.58620689655163</v>
      </c>
      <c r="AB27" s="172">
        <f t="shared" si="6"/>
        <v>0.94267241379310351</v>
      </c>
      <c r="AC27" s="442"/>
    </row>
    <row r="28" spans="1:29" ht="15.75" customHeight="1">
      <c r="A28" s="463" t="s">
        <v>513</v>
      </c>
      <c r="B28" s="31" t="s">
        <v>67</v>
      </c>
      <c r="C28" s="464" t="s">
        <v>72</v>
      </c>
      <c r="D28" s="464"/>
      <c r="E28" s="31">
        <v>25.98</v>
      </c>
      <c r="F28" s="178">
        <v>4060</v>
      </c>
      <c r="G28" s="168">
        <f t="shared" si="7"/>
        <v>105478.8</v>
      </c>
      <c r="H28" s="179" t="s">
        <v>103</v>
      </c>
      <c r="I28" s="170">
        <v>17</v>
      </c>
      <c r="J28" s="26">
        <v>2400</v>
      </c>
      <c r="K28" s="10">
        <f t="shared" si="0"/>
        <v>141.1764705882353</v>
      </c>
      <c r="L28" s="170">
        <v>17</v>
      </c>
      <c r="M28" s="11">
        <f t="shared" si="8"/>
        <v>2255.5555555555552</v>
      </c>
      <c r="N28" s="10">
        <f t="shared" si="1"/>
        <v>132.67973856209147</v>
      </c>
      <c r="O28" s="12">
        <f t="shared" si="2"/>
        <v>0</v>
      </c>
      <c r="P28" s="13">
        <f t="shared" si="3"/>
        <v>-8.4967320261438317</v>
      </c>
      <c r="Q28" s="172">
        <f t="shared" si="4"/>
        <v>0.93981481481481455</v>
      </c>
      <c r="R28" s="442"/>
      <c r="S28" s="28">
        <v>0.36527777777777776</v>
      </c>
      <c r="T28" s="28">
        <v>0.44027777777777777</v>
      </c>
      <c r="U28" s="168">
        <f t="shared" si="10"/>
        <v>6.9999999999999751</v>
      </c>
      <c r="V28" s="169">
        <f t="shared" si="9"/>
        <v>108.00000000000001</v>
      </c>
      <c r="W28" s="16"/>
      <c r="X28" s="16"/>
      <c r="Y28" s="443"/>
      <c r="Z28" s="443"/>
      <c r="AA28" s="12">
        <f t="shared" si="5"/>
        <v>-144.4444444444448</v>
      </c>
      <c r="AB28" s="172">
        <f t="shared" si="6"/>
        <v>0.93981481481481466</v>
      </c>
      <c r="AC28" s="442"/>
    </row>
    <row r="29" spans="1:29" ht="15.75" customHeight="1">
      <c r="A29" s="463" t="s">
        <v>513</v>
      </c>
      <c r="B29" s="31" t="s">
        <v>67</v>
      </c>
      <c r="C29" s="464" t="s">
        <v>165</v>
      </c>
      <c r="D29" s="464"/>
      <c r="E29" s="31">
        <v>26.18</v>
      </c>
      <c r="F29" s="178">
        <v>4500</v>
      </c>
      <c r="G29" s="168">
        <f t="shared" si="7"/>
        <v>117810</v>
      </c>
      <c r="H29" s="179">
        <v>2</v>
      </c>
      <c r="I29" s="170">
        <v>19</v>
      </c>
      <c r="J29" s="26">
        <v>2400</v>
      </c>
      <c r="K29" s="10">
        <f t="shared" si="0"/>
        <v>126.31578947368421</v>
      </c>
      <c r="L29" s="170">
        <v>19</v>
      </c>
      <c r="M29" s="11">
        <f t="shared" si="8"/>
        <v>2249.9999999999991</v>
      </c>
      <c r="N29" s="10">
        <f t="shared" si="1"/>
        <v>118.4210526315789</v>
      </c>
      <c r="O29" s="12">
        <f t="shared" si="2"/>
        <v>0</v>
      </c>
      <c r="P29" s="13">
        <f t="shared" si="3"/>
        <v>-7.8947368421053028</v>
      </c>
      <c r="Q29" s="172">
        <f t="shared" si="4"/>
        <v>0.93749999999999967</v>
      </c>
      <c r="R29" s="442"/>
      <c r="S29" s="28">
        <v>0.44444444444444442</v>
      </c>
      <c r="T29" s="28">
        <v>0.52777777777777779</v>
      </c>
      <c r="U29" s="168">
        <f t="shared" si="10"/>
        <v>5.9999999999999787</v>
      </c>
      <c r="V29" s="169">
        <f t="shared" si="9"/>
        <v>120.00000000000006</v>
      </c>
      <c r="W29" s="16">
        <f>T29</f>
        <v>0.52777777777777779</v>
      </c>
      <c r="X29" s="16">
        <f>S30</f>
        <v>0.56736111111111109</v>
      </c>
      <c r="Y29" s="443"/>
      <c r="Z29" s="443"/>
      <c r="AA29" s="12">
        <f t="shared" si="5"/>
        <v>-150.00000000000091</v>
      </c>
      <c r="AB29" s="172">
        <f t="shared" si="6"/>
        <v>0.93749999999999967</v>
      </c>
      <c r="AC29" s="442"/>
    </row>
    <row r="30" spans="1:29" ht="15.75" customHeight="1">
      <c r="A30" s="463" t="s">
        <v>513</v>
      </c>
      <c r="B30" s="31" t="s">
        <v>67</v>
      </c>
      <c r="C30" s="464" t="s">
        <v>69</v>
      </c>
      <c r="D30" s="464"/>
      <c r="E30" s="31">
        <v>31.29</v>
      </c>
      <c r="F30" s="178">
        <v>5166</v>
      </c>
      <c r="G30" s="168">
        <f t="shared" si="7"/>
        <v>161644.13999999998</v>
      </c>
      <c r="H30" s="179" t="s">
        <v>103</v>
      </c>
      <c r="I30" s="170">
        <v>16</v>
      </c>
      <c r="J30" s="26">
        <v>2400</v>
      </c>
      <c r="K30" s="10">
        <f t="shared" si="0"/>
        <v>150</v>
      </c>
      <c r="L30" s="170">
        <v>16</v>
      </c>
      <c r="M30" s="11">
        <f t="shared" si="8"/>
        <v>2246.086956521739</v>
      </c>
      <c r="N30" s="10">
        <f t="shared" si="1"/>
        <v>140.38043478260869</v>
      </c>
      <c r="O30" s="12">
        <f t="shared" si="2"/>
        <v>0</v>
      </c>
      <c r="P30" s="13">
        <f t="shared" si="3"/>
        <v>-9.6195652173913118</v>
      </c>
      <c r="Q30" s="172">
        <f t="shared" si="4"/>
        <v>0.93586956521739129</v>
      </c>
      <c r="R30" s="442"/>
      <c r="S30" s="28">
        <v>0.56736111111111109</v>
      </c>
      <c r="T30" s="28">
        <v>0.66319444444444442</v>
      </c>
      <c r="U30" s="168">
        <f t="shared" si="10"/>
        <v>56.999999999999957</v>
      </c>
      <c r="V30" s="169">
        <f t="shared" si="9"/>
        <v>138</v>
      </c>
      <c r="W30" s="16"/>
      <c r="X30" s="16"/>
      <c r="Y30" s="443"/>
      <c r="Z30" s="443"/>
      <c r="AA30" s="12">
        <f t="shared" si="5"/>
        <v>-153.91304347826099</v>
      </c>
      <c r="AB30" s="172">
        <f t="shared" si="6"/>
        <v>0.93586956521739129</v>
      </c>
      <c r="AC30" s="442"/>
    </row>
    <row r="31" spans="1:29" ht="15.75" customHeight="1">
      <c r="A31" s="463" t="s">
        <v>513</v>
      </c>
      <c r="B31" s="31" t="s">
        <v>67</v>
      </c>
      <c r="C31" s="464" t="s">
        <v>165</v>
      </c>
      <c r="D31" s="464"/>
      <c r="E31" s="31">
        <v>26.18</v>
      </c>
      <c r="F31" s="178">
        <v>2629</v>
      </c>
      <c r="G31" s="168">
        <f t="shared" si="7"/>
        <v>68827.22</v>
      </c>
      <c r="H31" s="179" t="s">
        <v>103</v>
      </c>
      <c r="I31" s="170">
        <v>19</v>
      </c>
      <c r="J31" s="26">
        <v>2400</v>
      </c>
      <c r="K31" s="10">
        <f t="shared" si="0"/>
        <v>126.31578947368421</v>
      </c>
      <c r="L31" s="170">
        <v>19</v>
      </c>
      <c r="M31" s="11">
        <f t="shared" si="8"/>
        <v>2253.4285714285693</v>
      </c>
      <c r="N31" s="10">
        <f t="shared" si="1"/>
        <v>118.60150375939838</v>
      </c>
      <c r="O31" s="12">
        <f t="shared" si="2"/>
        <v>0</v>
      </c>
      <c r="P31" s="13">
        <f t="shared" si="3"/>
        <v>-7.7142857142858219</v>
      </c>
      <c r="Q31" s="172">
        <f t="shared" si="4"/>
        <v>0.93892857142857056</v>
      </c>
      <c r="R31" s="442"/>
      <c r="S31" s="28">
        <v>0.66666666666666663</v>
      </c>
      <c r="T31" s="28">
        <v>0.71527777777777779</v>
      </c>
      <c r="U31" s="168">
        <f t="shared" si="10"/>
        <v>4.9999999999999822</v>
      </c>
      <c r="V31" s="169">
        <f t="shared" si="9"/>
        <v>70.000000000000071</v>
      </c>
      <c r="W31" s="16"/>
      <c r="X31" s="16"/>
      <c r="Y31" s="443"/>
      <c r="Z31" s="443"/>
      <c r="AA31" s="12">
        <f t="shared" si="5"/>
        <v>-146.57142857143072</v>
      </c>
      <c r="AB31" s="172">
        <f t="shared" si="6"/>
        <v>0.93892857142857056</v>
      </c>
      <c r="AC31" s="442"/>
    </row>
    <row r="32" spans="1:29" ht="15.75" customHeight="1">
      <c r="A32" s="463" t="s">
        <v>513</v>
      </c>
      <c r="B32" s="31" t="s">
        <v>510</v>
      </c>
      <c r="C32" s="446"/>
      <c r="D32" s="446"/>
      <c r="E32" s="171"/>
      <c r="F32" s="178"/>
      <c r="G32" s="168"/>
      <c r="H32" s="178"/>
      <c r="I32" s="19">
        <v>17.857142857142858</v>
      </c>
      <c r="J32" s="26">
        <v>2400</v>
      </c>
      <c r="K32" s="10">
        <f t="shared" si="0"/>
        <v>134.4</v>
      </c>
      <c r="L32" s="19">
        <v>17.857142857142858</v>
      </c>
      <c r="M32" s="11">
        <f>AVERAGE(M25:M31)</f>
        <v>2252.6665684245022</v>
      </c>
      <c r="N32" s="10">
        <f t="shared" si="1"/>
        <v>126.14932783177213</v>
      </c>
      <c r="O32" s="12">
        <f t="shared" si="2"/>
        <v>0</v>
      </c>
      <c r="P32" s="13">
        <f t="shared" si="3"/>
        <v>-8.2506721682278794</v>
      </c>
      <c r="Q32" s="172">
        <f t="shared" si="4"/>
        <v>0.93861107017687595</v>
      </c>
      <c r="R32" s="442"/>
      <c r="S32" s="28"/>
      <c r="T32" s="28"/>
      <c r="U32" s="168"/>
      <c r="V32" s="169"/>
      <c r="W32" s="168"/>
      <c r="X32" s="168"/>
      <c r="Y32" s="443"/>
      <c r="Z32" s="443"/>
      <c r="AA32" s="12">
        <f t="shared" si="5"/>
        <v>-147.3334315754978</v>
      </c>
      <c r="AB32" s="172">
        <f t="shared" si="6"/>
        <v>0.93861107017687595</v>
      </c>
      <c r="AC32" s="442"/>
    </row>
    <row r="33" spans="1:29" ht="15.75" customHeight="1">
      <c r="A33" s="461" t="s">
        <v>514</v>
      </c>
      <c r="B33" s="31" t="s">
        <v>67</v>
      </c>
      <c r="C33" s="441" t="s">
        <v>73</v>
      </c>
      <c r="D33" s="441"/>
      <c r="E33" s="31">
        <v>26.2</v>
      </c>
      <c r="F33" s="178">
        <v>3000</v>
      </c>
      <c r="G33" s="168">
        <f t="shared" ref="G33:G41" si="11">E33*F33</f>
        <v>78600</v>
      </c>
      <c r="H33" s="179">
        <v>2</v>
      </c>
      <c r="I33" s="170">
        <v>18</v>
      </c>
      <c r="J33" s="26">
        <v>2400</v>
      </c>
      <c r="K33" s="10">
        <f t="shared" si="0"/>
        <v>133.33333333333334</v>
      </c>
      <c r="L33" s="170">
        <v>18</v>
      </c>
      <c r="M33" s="11">
        <f t="shared" ref="M33:M41" si="12">F33/V33*60</f>
        <v>2249.9999999999995</v>
      </c>
      <c r="N33" s="10">
        <f t="shared" si="1"/>
        <v>124.99999999999997</v>
      </c>
      <c r="O33" s="12">
        <f t="shared" si="2"/>
        <v>0</v>
      </c>
      <c r="P33" s="13">
        <f t="shared" si="3"/>
        <v>-8.3333333333333712</v>
      </c>
      <c r="Q33" s="172">
        <f t="shared" si="4"/>
        <v>0.93749999999999967</v>
      </c>
      <c r="R33" s="442">
        <f>Q42</f>
        <v>0.94225264959388033</v>
      </c>
      <c r="S33" s="28">
        <v>8.3333333333333329E-2</v>
      </c>
      <c r="T33" s="28">
        <v>0.1388888888888889</v>
      </c>
      <c r="U33" s="168"/>
      <c r="V33" s="169">
        <f t="shared" ref="V33:V41" si="13">(T33-S33)*24*60</f>
        <v>80.000000000000014</v>
      </c>
      <c r="W33" s="18">
        <f>T33</f>
        <v>0.1388888888888889</v>
      </c>
      <c r="X33" s="18">
        <f>S34</f>
        <v>0.15624999999999997</v>
      </c>
      <c r="Y33" s="443"/>
      <c r="Z33" s="443"/>
      <c r="AA33" s="12">
        <f t="shared" si="5"/>
        <v>-150.00000000000045</v>
      </c>
      <c r="AB33" s="172">
        <f t="shared" si="6"/>
        <v>0.93749999999999978</v>
      </c>
      <c r="AC33" s="442">
        <f>AB42</f>
        <v>0.94225264959388033</v>
      </c>
    </row>
    <row r="34" spans="1:29" ht="15.75" customHeight="1">
      <c r="A34" s="461" t="s">
        <v>514</v>
      </c>
      <c r="B34" s="31" t="s">
        <v>67</v>
      </c>
      <c r="C34" s="441" t="s">
        <v>74</v>
      </c>
      <c r="D34" s="441"/>
      <c r="E34" s="31">
        <v>24.45</v>
      </c>
      <c r="F34" s="178">
        <v>2697</v>
      </c>
      <c r="G34" s="168">
        <f t="shared" si="11"/>
        <v>65941.649999999994</v>
      </c>
      <c r="H34" s="179" t="s">
        <v>103</v>
      </c>
      <c r="I34" s="170">
        <v>20</v>
      </c>
      <c r="J34" s="26">
        <v>2400</v>
      </c>
      <c r="K34" s="10">
        <f t="shared" si="0"/>
        <v>120</v>
      </c>
      <c r="L34" s="170">
        <v>20</v>
      </c>
      <c r="M34" s="11">
        <f t="shared" si="12"/>
        <v>2279.1549295774653</v>
      </c>
      <c r="N34" s="10">
        <f t="shared" si="1"/>
        <v>113.95774647887326</v>
      </c>
      <c r="O34" s="12">
        <f t="shared" si="2"/>
        <v>0</v>
      </c>
      <c r="P34" s="13">
        <f t="shared" si="3"/>
        <v>-6.0422535211267387</v>
      </c>
      <c r="Q34" s="172">
        <f t="shared" si="4"/>
        <v>0.9496478873239439</v>
      </c>
      <c r="R34" s="442"/>
      <c r="S34" s="28">
        <v>0.15624999999999997</v>
      </c>
      <c r="T34" s="28">
        <v>0.20555555555555552</v>
      </c>
      <c r="U34" s="168">
        <f t="shared" ref="U34:U41" si="14">(S34-T33)*24*60</f>
        <v>24.99999999999995</v>
      </c>
      <c r="V34" s="169">
        <f t="shared" si="13"/>
        <v>70.999999999999986</v>
      </c>
      <c r="W34" s="168"/>
      <c r="X34" s="168"/>
      <c r="Y34" s="443"/>
      <c r="Z34" s="443"/>
      <c r="AA34" s="12">
        <f t="shared" si="5"/>
        <v>-120.84507042253472</v>
      </c>
      <c r="AB34" s="172">
        <f t="shared" si="6"/>
        <v>0.9496478873239439</v>
      </c>
      <c r="AC34" s="442"/>
    </row>
    <row r="35" spans="1:29">
      <c r="A35" s="462" t="s">
        <v>514</v>
      </c>
      <c r="B35" s="31" t="s">
        <v>67</v>
      </c>
      <c r="C35" s="441" t="s">
        <v>75</v>
      </c>
      <c r="D35" s="441"/>
      <c r="E35" s="31">
        <v>26.39</v>
      </c>
      <c r="F35" s="178">
        <v>4000</v>
      </c>
      <c r="G35" s="168">
        <f t="shared" si="11"/>
        <v>105560</v>
      </c>
      <c r="H35" s="179">
        <v>2</v>
      </c>
      <c r="I35" s="170">
        <v>19</v>
      </c>
      <c r="J35" s="26">
        <v>2400</v>
      </c>
      <c r="K35" s="10">
        <f t="shared" si="0"/>
        <v>126.31578947368421</v>
      </c>
      <c r="L35" s="170">
        <v>19</v>
      </c>
      <c r="M35" s="11">
        <f t="shared" si="12"/>
        <v>2264.1509433962265</v>
      </c>
      <c r="N35" s="10">
        <f t="shared" si="1"/>
        <v>119.16583912611718</v>
      </c>
      <c r="O35" s="12">
        <f t="shared" si="2"/>
        <v>0</v>
      </c>
      <c r="P35" s="13">
        <f t="shared" si="3"/>
        <v>-7.1499503475670281</v>
      </c>
      <c r="Q35" s="172">
        <f t="shared" si="4"/>
        <v>0.94339622641509435</v>
      </c>
      <c r="R35" s="442"/>
      <c r="S35" s="28">
        <v>0.20902777777777773</v>
      </c>
      <c r="T35" s="28">
        <v>0.28263888888888883</v>
      </c>
      <c r="U35" s="168">
        <f t="shared" si="14"/>
        <v>4.9999999999999822</v>
      </c>
      <c r="V35" s="169">
        <f t="shared" si="13"/>
        <v>105.99999999999999</v>
      </c>
      <c r="W35" s="168"/>
      <c r="X35" s="168"/>
      <c r="Y35" s="443"/>
      <c r="Z35" s="443"/>
      <c r="AA35" s="12">
        <f t="shared" si="5"/>
        <v>-135.84905660377353</v>
      </c>
      <c r="AB35" s="172">
        <f t="shared" si="6"/>
        <v>0.94339622641509435</v>
      </c>
      <c r="AC35" s="442"/>
    </row>
    <row r="36" spans="1:29">
      <c r="A36" s="462" t="s">
        <v>514</v>
      </c>
      <c r="B36" s="31" t="s">
        <v>67</v>
      </c>
      <c r="C36" s="441" t="s">
        <v>76</v>
      </c>
      <c r="D36" s="441"/>
      <c r="E36" s="31">
        <v>20.52</v>
      </c>
      <c r="F36" s="178">
        <v>3952</v>
      </c>
      <c r="G36" s="168">
        <f t="shared" si="11"/>
        <v>81095.039999999994</v>
      </c>
      <c r="H36" s="179" t="s">
        <v>103</v>
      </c>
      <c r="I36" s="170">
        <v>18</v>
      </c>
      <c r="J36" s="26">
        <v>2400</v>
      </c>
      <c r="K36" s="10">
        <f t="shared" si="0"/>
        <v>133.33333333333334</v>
      </c>
      <c r="L36" s="170">
        <v>18</v>
      </c>
      <c r="M36" s="11">
        <f t="shared" si="12"/>
        <v>2258.2857142857133</v>
      </c>
      <c r="N36" s="10">
        <f t="shared" si="1"/>
        <v>125.46031746031741</v>
      </c>
      <c r="O36" s="12">
        <f t="shared" si="2"/>
        <v>0</v>
      </c>
      <c r="P36" s="13">
        <f t="shared" si="3"/>
        <v>-7.8730158730159303</v>
      </c>
      <c r="Q36" s="172">
        <f t="shared" si="4"/>
        <v>0.94095238095238054</v>
      </c>
      <c r="R36" s="442"/>
      <c r="S36" s="28">
        <v>0.28749999999999992</v>
      </c>
      <c r="T36" s="28">
        <v>0.36041666666666661</v>
      </c>
      <c r="U36" s="168">
        <f t="shared" si="14"/>
        <v>6.9999999999999751</v>
      </c>
      <c r="V36" s="169">
        <f t="shared" si="13"/>
        <v>105.00000000000003</v>
      </c>
      <c r="W36" s="16"/>
      <c r="X36" s="16"/>
      <c r="Y36" s="443"/>
      <c r="Z36" s="443"/>
      <c r="AA36" s="12">
        <f t="shared" si="5"/>
        <v>-141.71428571428669</v>
      </c>
      <c r="AB36" s="172">
        <f t="shared" si="6"/>
        <v>0.94095238095238054</v>
      </c>
      <c r="AC36" s="442"/>
    </row>
    <row r="37" spans="1:29">
      <c r="A37" s="462" t="s">
        <v>514</v>
      </c>
      <c r="B37" s="31" t="s">
        <v>67</v>
      </c>
      <c r="C37" s="441" t="s">
        <v>77</v>
      </c>
      <c r="D37" s="441"/>
      <c r="E37" s="31">
        <v>26.2</v>
      </c>
      <c r="F37" s="178">
        <v>5279</v>
      </c>
      <c r="G37" s="168">
        <f t="shared" si="11"/>
        <v>138309.79999999999</v>
      </c>
      <c r="H37" s="179" t="s">
        <v>103</v>
      </c>
      <c r="I37" s="170">
        <v>19</v>
      </c>
      <c r="J37" s="26">
        <v>2400</v>
      </c>
      <c r="K37" s="10">
        <f t="shared" ref="K37:K68" si="15">J37/I37</f>
        <v>126.31578947368421</v>
      </c>
      <c r="L37" s="170">
        <v>19</v>
      </c>
      <c r="M37" s="11">
        <f t="shared" si="12"/>
        <v>2262.4285714285716</v>
      </c>
      <c r="N37" s="10">
        <f t="shared" ref="N37:N68" si="16">M37/L37</f>
        <v>119.07518796992481</v>
      </c>
      <c r="O37" s="12">
        <f t="shared" ref="O37:O71" si="17">L37-I37</f>
        <v>0</v>
      </c>
      <c r="P37" s="13">
        <f t="shared" ref="P37:P71" si="18">N37-K37</f>
        <v>-7.2406015037593932</v>
      </c>
      <c r="Q37" s="172">
        <f t="shared" ref="Q37:Q71" si="19">N37/K37</f>
        <v>0.94267857142857148</v>
      </c>
      <c r="R37" s="442"/>
      <c r="S37" s="28">
        <v>0.36597222222222214</v>
      </c>
      <c r="T37" s="28">
        <v>0.46319444444444435</v>
      </c>
      <c r="U37" s="168">
        <f t="shared" si="14"/>
        <v>7.9999999999999716</v>
      </c>
      <c r="V37" s="169">
        <f t="shared" si="13"/>
        <v>139.99999999999997</v>
      </c>
      <c r="W37" s="16"/>
      <c r="X37" s="16"/>
      <c r="Y37" s="443"/>
      <c r="Z37" s="443"/>
      <c r="AA37" s="12">
        <f t="shared" ref="AA37:AA71" si="20">M37-J37</f>
        <v>-137.57142857142844</v>
      </c>
      <c r="AB37" s="172">
        <f t="shared" ref="AB37:AB71" si="21">M37/J37</f>
        <v>0.94267857142857148</v>
      </c>
      <c r="AC37" s="442"/>
    </row>
    <row r="38" spans="1:29">
      <c r="A38" s="462" t="s">
        <v>514</v>
      </c>
      <c r="B38" s="31" t="s">
        <v>67</v>
      </c>
      <c r="C38" s="441" t="s">
        <v>78</v>
      </c>
      <c r="D38" s="441"/>
      <c r="E38" s="31">
        <v>25.98</v>
      </c>
      <c r="F38" s="178">
        <v>3000</v>
      </c>
      <c r="G38" s="168">
        <f t="shared" si="11"/>
        <v>77940</v>
      </c>
      <c r="H38" s="179">
        <v>2</v>
      </c>
      <c r="I38" s="170">
        <v>17</v>
      </c>
      <c r="J38" s="26">
        <v>2400</v>
      </c>
      <c r="K38" s="10">
        <f t="shared" si="15"/>
        <v>141.1764705882353</v>
      </c>
      <c r="L38" s="170">
        <v>17</v>
      </c>
      <c r="M38" s="11">
        <f t="shared" si="12"/>
        <v>2249.9999999999991</v>
      </c>
      <c r="N38" s="10">
        <f t="shared" si="16"/>
        <v>132.35294117647052</v>
      </c>
      <c r="O38" s="12">
        <f t="shared" si="17"/>
        <v>0</v>
      </c>
      <c r="P38" s="13">
        <f t="shared" si="18"/>
        <v>-8.8235294117647811</v>
      </c>
      <c r="Q38" s="172">
        <f t="shared" si="19"/>
        <v>0.93749999999999944</v>
      </c>
      <c r="R38" s="442"/>
      <c r="S38" s="28">
        <v>0.46666666666666656</v>
      </c>
      <c r="T38" s="28">
        <v>0.52222222222222214</v>
      </c>
      <c r="U38" s="168">
        <f t="shared" si="14"/>
        <v>4.9999999999999822</v>
      </c>
      <c r="V38" s="169">
        <f t="shared" si="13"/>
        <v>80.000000000000028</v>
      </c>
      <c r="W38" s="16">
        <f>T38</f>
        <v>0.52222222222222214</v>
      </c>
      <c r="X38" s="16">
        <f>S39</f>
        <v>0.56388888888888877</v>
      </c>
      <c r="Y38" s="443"/>
      <c r="Z38" s="443"/>
      <c r="AA38" s="12">
        <f t="shared" si="20"/>
        <v>-150.00000000000091</v>
      </c>
      <c r="AB38" s="172">
        <f t="shared" si="21"/>
        <v>0.93749999999999967</v>
      </c>
      <c r="AC38" s="442"/>
    </row>
    <row r="39" spans="1:29">
      <c r="A39" s="462" t="s">
        <v>514</v>
      </c>
      <c r="B39" s="31" t="s">
        <v>67</v>
      </c>
      <c r="C39" s="441" t="s">
        <v>73</v>
      </c>
      <c r="D39" s="441"/>
      <c r="E39" s="31">
        <v>26.2</v>
      </c>
      <c r="F39" s="178">
        <v>4768</v>
      </c>
      <c r="G39" s="168">
        <f t="shared" si="11"/>
        <v>124921.59999999999</v>
      </c>
      <c r="H39" s="179" t="s">
        <v>103</v>
      </c>
      <c r="I39" s="170">
        <v>18</v>
      </c>
      <c r="J39" s="26">
        <v>2400</v>
      </c>
      <c r="K39" s="10">
        <f t="shared" si="15"/>
        <v>133.33333333333334</v>
      </c>
      <c r="L39" s="170">
        <v>18</v>
      </c>
      <c r="M39" s="11">
        <f t="shared" si="12"/>
        <v>2252.5984251968498</v>
      </c>
      <c r="N39" s="10">
        <f t="shared" si="16"/>
        <v>125.14435695538054</v>
      </c>
      <c r="O39" s="12">
        <f t="shared" si="17"/>
        <v>0</v>
      </c>
      <c r="P39" s="13">
        <f t="shared" si="18"/>
        <v>-8.1889763779527982</v>
      </c>
      <c r="Q39" s="172">
        <f t="shared" si="19"/>
        <v>0.93858267716535404</v>
      </c>
      <c r="R39" s="442"/>
      <c r="S39" s="28">
        <v>0.56388888888888877</v>
      </c>
      <c r="T39" s="28">
        <v>0.65208333333333324</v>
      </c>
      <c r="U39" s="168">
        <f t="shared" si="14"/>
        <v>59.999999999999943</v>
      </c>
      <c r="V39" s="169">
        <f t="shared" si="13"/>
        <v>127.00000000000003</v>
      </c>
      <c r="W39" s="16"/>
      <c r="X39" s="16"/>
      <c r="Y39" s="447"/>
      <c r="Z39" s="448"/>
      <c r="AA39" s="12">
        <f t="shared" si="20"/>
        <v>-147.4015748031502</v>
      </c>
      <c r="AB39" s="172">
        <f t="shared" si="21"/>
        <v>0.93858267716535404</v>
      </c>
      <c r="AC39" s="442"/>
    </row>
    <row r="40" spans="1:29">
      <c r="A40" s="462" t="s">
        <v>514</v>
      </c>
      <c r="B40" s="31" t="s">
        <v>67</v>
      </c>
      <c r="C40" s="441" t="s">
        <v>75</v>
      </c>
      <c r="D40" s="441"/>
      <c r="E40" s="31">
        <v>26.39</v>
      </c>
      <c r="F40" s="178">
        <v>2620</v>
      </c>
      <c r="G40" s="168">
        <f t="shared" si="11"/>
        <v>69141.8</v>
      </c>
      <c r="H40" s="179" t="s">
        <v>103</v>
      </c>
      <c r="I40" s="170">
        <v>19</v>
      </c>
      <c r="J40" s="26">
        <v>2400</v>
      </c>
      <c r="K40" s="10">
        <f t="shared" si="15"/>
        <v>126.31578947368421</v>
      </c>
      <c r="L40" s="170">
        <v>19</v>
      </c>
      <c r="M40" s="11">
        <f t="shared" si="12"/>
        <v>2278.2608695652148</v>
      </c>
      <c r="N40" s="10">
        <f t="shared" si="16"/>
        <v>119.90846681922183</v>
      </c>
      <c r="O40" s="12">
        <f t="shared" si="17"/>
        <v>0</v>
      </c>
      <c r="P40" s="13">
        <f t="shared" si="18"/>
        <v>-6.4073226544623765</v>
      </c>
      <c r="Q40" s="172">
        <f t="shared" si="19"/>
        <v>0.94927536231883947</v>
      </c>
      <c r="R40" s="442"/>
      <c r="S40" s="28">
        <v>0.65763888888888877</v>
      </c>
      <c r="T40" s="28">
        <v>0.70555555555555549</v>
      </c>
      <c r="U40" s="168">
        <f t="shared" si="14"/>
        <v>7.9999999999999716</v>
      </c>
      <c r="V40" s="169">
        <f t="shared" si="13"/>
        <v>69.000000000000071</v>
      </c>
      <c r="W40" s="16"/>
      <c r="X40" s="16"/>
      <c r="Y40" s="447"/>
      <c r="Z40" s="448"/>
      <c r="AA40" s="12">
        <f t="shared" si="20"/>
        <v>-121.73913043478524</v>
      </c>
      <c r="AB40" s="172">
        <f t="shared" si="21"/>
        <v>0.94927536231883947</v>
      </c>
      <c r="AC40" s="442"/>
    </row>
    <row r="41" spans="1:29">
      <c r="A41" s="462" t="s">
        <v>514</v>
      </c>
      <c r="B41" s="31" t="s">
        <v>67</v>
      </c>
      <c r="C41" s="441" t="s">
        <v>78</v>
      </c>
      <c r="D41" s="441"/>
      <c r="E41" s="31">
        <v>25.98</v>
      </c>
      <c r="F41" s="178">
        <v>1016</v>
      </c>
      <c r="G41" s="168">
        <f t="shared" si="11"/>
        <v>26395.68</v>
      </c>
      <c r="H41" s="179" t="s">
        <v>103</v>
      </c>
      <c r="I41" s="170">
        <v>17</v>
      </c>
      <c r="J41" s="26">
        <v>2400</v>
      </c>
      <c r="K41" s="10">
        <f t="shared" si="15"/>
        <v>141.1764705882353</v>
      </c>
      <c r="L41" s="170">
        <v>17</v>
      </c>
      <c r="M41" s="11">
        <f t="shared" si="12"/>
        <v>2257.7777777777724</v>
      </c>
      <c r="N41" s="10">
        <f t="shared" si="16"/>
        <v>132.81045751633954</v>
      </c>
      <c r="O41" s="12">
        <f t="shared" si="17"/>
        <v>0</v>
      </c>
      <c r="P41" s="13">
        <f t="shared" si="18"/>
        <v>-8.3660130718957646</v>
      </c>
      <c r="Q41" s="172">
        <f t="shared" si="19"/>
        <v>0.94074074074073832</v>
      </c>
      <c r="R41" s="442"/>
      <c r="S41" s="28">
        <v>0.71111111111111103</v>
      </c>
      <c r="T41" s="28">
        <v>0.72986111111111107</v>
      </c>
      <c r="U41" s="168">
        <f t="shared" si="14"/>
        <v>7.9999999999999716</v>
      </c>
      <c r="V41" s="169">
        <f t="shared" si="13"/>
        <v>27.000000000000064</v>
      </c>
      <c r="W41" s="16"/>
      <c r="X41" s="16"/>
      <c r="Y41" s="447"/>
      <c r="Z41" s="448"/>
      <c r="AA41" s="12">
        <f t="shared" si="20"/>
        <v>-142.22222222222763</v>
      </c>
      <c r="AB41" s="172">
        <f t="shared" si="21"/>
        <v>0.94074074074073843</v>
      </c>
      <c r="AC41" s="442"/>
    </row>
    <row r="42" spans="1:29">
      <c r="A42" s="462" t="s">
        <v>514</v>
      </c>
      <c r="B42" s="33" t="s">
        <v>510</v>
      </c>
      <c r="C42" s="446"/>
      <c r="D42" s="446"/>
      <c r="E42" s="171"/>
      <c r="F42" s="33"/>
      <c r="G42" s="10"/>
      <c r="H42" s="178"/>
      <c r="I42" s="19">
        <v>18.333333333333332</v>
      </c>
      <c r="J42" s="26">
        <v>2400</v>
      </c>
      <c r="K42" s="10">
        <f t="shared" si="15"/>
        <v>130.90909090909091</v>
      </c>
      <c r="L42" s="19">
        <v>18.333333333333332</v>
      </c>
      <c r="M42" s="11">
        <f>AVERAGE(M33:M41)</f>
        <v>2261.4063590253127</v>
      </c>
      <c r="N42" s="10">
        <f t="shared" si="16"/>
        <v>123.34943776501706</v>
      </c>
      <c r="O42" s="12">
        <f t="shared" si="17"/>
        <v>0</v>
      </c>
      <c r="P42" s="13">
        <f t="shared" si="18"/>
        <v>-7.5596531440738488</v>
      </c>
      <c r="Q42" s="172">
        <f t="shared" si="19"/>
        <v>0.94225264959388033</v>
      </c>
      <c r="R42" s="442"/>
      <c r="S42" s="28"/>
      <c r="T42" s="28"/>
      <c r="U42" s="10"/>
      <c r="V42" s="169"/>
      <c r="W42" s="10"/>
      <c r="X42" s="10"/>
      <c r="Y42" s="443"/>
      <c r="Z42" s="443"/>
      <c r="AA42" s="12">
        <f t="shared" si="20"/>
        <v>-138.59364097468733</v>
      </c>
      <c r="AB42" s="172">
        <f t="shared" si="21"/>
        <v>0.94225264959388033</v>
      </c>
      <c r="AC42" s="442"/>
    </row>
    <row r="43" spans="1:29" ht="15.75" customHeight="1">
      <c r="A43" s="453" t="s">
        <v>515</v>
      </c>
      <c r="B43" s="31" t="s">
        <v>79</v>
      </c>
      <c r="C43" s="444" t="s">
        <v>80</v>
      </c>
      <c r="D43" s="445"/>
      <c r="E43" s="31">
        <v>21.13</v>
      </c>
      <c r="F43" s="178">
        <v>5345</v>
      </c>
      <c r="G43" s="168">
        <f t="shared" ref="G43:G49" si="22">E43*F43</f>
        <v>112939.84999999999</v>
      </c>
      <c r="H43" s="179" t="s">
        <v>103</v>
      </c>
      <c r="I43" s="170">
        <v>10</v>
      </c>
      <c r="J43" s="26">
        <v>3000</v>
      </c>
      <c r="K43" s="10">
        <f t="shared" si="15"/>
        <v>300</v>
      </c>
      <c r="L43" s="170">
        <v>10</v>
      </c>
      <c r="M43" s="11">
        <f t="shared" ref="M43:M49" si="23">F43/V43*60</f>
        <v>2813.1578947368425</v>
      </c>
      <c r="N43" s="11">
        <f t="shared" si="16"/>
        <v>281.31578947368428</v>
      </c>
      <c r="O43" s="12">
        <f t="shared" si="17"/>
        <v>0</v>
      </c>
      <c r="P43" s="13">
        <f t="shared" si="18"/>
        <v>-18.684210526315724</v>
      </c>
      <c r="Q43" s="172">
        <f t="shared" si="19"/>
        <v>0.93771929824561429</v>
      </c>
      <c r="R43" s="456">
        <f>Q50</f>
        <v>0.94375069962055347</v>
      </c>
      <c r="S43" s="28">
        <v>8.3333333333333329E-2</v>
      </c>
      <c r="T43" s="28">
        <v>0.16249999999999998</v>
      </c>
      <c r="U43" s="18"/>
      <c r="V43" s="169">
        <f t="shared" ref="V43:V49" si="24">(T43-S43)*24*60</f>
        <v>113.99999999999997</v>
      </c>
      <c r="W43" s="16">
        <f>T43</f>
        <v>0.16249999999999998</v>
      </c>
      <c r="X43" s="16">
        <f>S44</f>
        <v>0.18124999999999997</v>
      </c>
      <c r="Y43" s="447"/>
      <c r="Z43" s="448"/>
      <c r="AA43" s="12">
        <f t="shared" si="20"/>
        <v>-186.84210526315746</v>
      </c>
      <c r="AB43" s="172">
        <f t="shared" si="21"/>
        <v>0.93771929824561417</v>
      </c>
      <c r="AC43" s="456">
        <f>AB50</f>
        <v>0.94375069962055336</v>
      </c>
    </row>
    <row r="44" spans="1:29" ht="15.75" customHeight="1">
      <c r="A44" s="454" t="s">
        <v>515</v>
      </c>
      <c r="B44" s="31" t="s">
        <v>79</v>
      </c>
      <c r="C44" s="444" t="s">
        <v>81</v>
      </c>
      <c r="D44" s="445"/>
      <c r="E44" s="31">
        <v>27.17</v>
      </c>
      <c r="F44" s="178">
        <v>6570</v>
      </c>
      <c r="G44" s="168">
        <f t="shared" si="22"/>
        <v>178506.90000000002</v>
      </c>
      <c r="H44" s="179" t="s">
        <v>103</v>
      </c>
      <c r="I44" s="170">
        <v>10</v>
      </c>
      <c r="J44" s="26">
        <v>3000</v>
      </c>
      <c r="K44" s="10">
        <f t="shared" si="15"/>
        <v>300</v>
      </c>
      <c r="L44" s="170">
        <v>10</v>
      </c>
      <c r="M44" s="11">
        <f t="shared" si="23"/>
        <v>2815.7142857142862</v>
      </c>
      <c r="N44" s="11">
        <f t="shared" si="16"/>
        <v>281.57142857142861</v>
      </c>
      <c r="O44" s="12">
        <f t="shared" si="17"/>
        <v>0</v>
      </c>
      <c r="P44" s="13">
        <f t="shared" si="18"/>
        <v>-18.428571428571388</v>
      </c>
      <c r="Q44" s="172">
        <f t="shared" si="19"/>
        <v>0.93857142857142872</v>
      </c>
      <c r="R44" s="457"/>
      <c r="S44" s="28">
        <v>0.18124999999999997</v>
      </c>
      <c r="T44" s="28">
        <v>0.27847222222222218</v>
      </c>
      <c r="U44" s="168">
        <f t="shared" ref="U44:U49" si="25">(S44-T43)*24*60</f>
        <v>26.999999999999986</v>
      </c>
      <c r="V44" s="169">
        <f t="shared" si="24"/>
        <v>139.99999999999997</v>
      </c>
      <c r="W44" s="16"/>
      <c r="X44" s="16"/>
      <c r="Y44" s="447"/>
      <c r="Z44" s="448"/>
      <c r="AA44" s="12">
        <f t="shared" si="20"/>
        <v>-184.28571428571377</v>
      </c>
      <c r="AB44" s="172">
        <f t="shared" si="21"/>
        <v>0.93857142857142872</v>
      </c>
      <c r="AC44" s="457"/>
    </row>
    <row r="45" spans="1:29" ht="15.75" customHeight="1">
      <c r="A45" s="454" t="s">
        <v>515</v>
      </c>
      <c r="B45" s="31" t="s">
        <v>79</v>
      </c>
      <c r="C45" s="444" t="s">
        <v>82</v>
      </c>
      <c r="D45" s="445"/>
      <c r="E45" s="31">
        <v>35.119999999999997</v>
      </c>
      <c r="F45" s="178">
        <v>4700</v>
      </c>
      <c r="G45" s="168">
        <f t="shared" si="22"/>
        <v>165064</v>
      </c>
      <c r="H45" s="179" t="s">
        <v>103</v>
      </c>
      <c r="I45" s="170">
        <v>10</v>
      </c>
      <c r="J45" s="26">
        <v>3000</v>
      </c>
      <c r="K45" s="10">
        <f t="shared" si="15"/>
        <v>300</v>
      </c>
      <c r="L45" s="170">
        <v>10</v>
      </c>
      <c r="M45" s="11">
        <f t="shared" si="23"/>
        <v>2819.9999999999986</v>
      </c>
      <c r="N45" s="11">
        <f t="shared" si="16"/>
        <v>281.99999999999989</v>
      </c>
      <c r="O45" s="12">
        <f t="shared" si="17"/>
        <v>0</v>
      </c>
      <c r="P45" s="13">
        <f t="shared" si="18"/>
        <v>-18.000000000000114</v>
      </c>
      <c r="Q45" s="172">
        <f t="shared" si="19"/>
        <v>0.93999999999999961</v>
      </c>
      <c r="R45" s="457"/>
      <c r="S45" s="28">
        <v>0.28333333333333327</v>
      </c>
      <c r="T45" s="28">
        <v>0.35277777777777775</v>
      </c>
      <c r="U45" s="168">
        <f t="shared" si="25"/>
        <v>6.9999999999999751</v>
      </c>
      <c r="V45" s="169">
        <f t="shared" si="24"/>
        <v>100.00000000000004</v>
      </c>
      <c r="W45" s="16"/>
      <c r="X45" s="16"/>
      <c r="Y45" s="447"/>
      <c r="Z45" s="448"/>
      <c r="AA45" s="12">
        <f t="shared" si="20"/>
        <v>-180.00000000000136</v>
      </c>
      <c r="AB45" s="172">
        <f t="shared" si="21"/>
        <v>0.9399999999999995</v>
      </c>
      <c r="AC45" s="457"/>
    </row>
    <row r="46" spans="1:29" ht="15.75" customHeight="1">
      <c r="A46" s="454" t="s">
        <v>515</v>
      </c>
      <c r="B46" s="31" t="s">
        <v>79</v>
      </c>
      <c r="C46" s="444" t="s">
        <v>83</v>
      </c>
      <c r="D46" s="445"/>
      <c r="E46" s="31">
        <v>40.18</v>
      </c>
      <c r="F46" s="178">
        <v>1863</v>
      </c>
      <c r="G46" s="168">
        <f t="shared" si="22"/>
        <v>74855.34</v>
      </c>
      <c r="H46" s="179" t="s">
        <v>103</v>
      </c>
      <c r="I46" s="170">
        <v>10</v>
      </c>
      <c r="J46" s="26">
        <v>3000</v>
      </c>
      <c r="K46" s="10">
        <f t="shared" si="15"/>
        <v>300</v>
      </c>
      <c r="L46" s="170">
        <v>10</v>
      </c>
      <c r="M46" s="11">
        <f t="shared" si="23"/>
        <v>2866.1538461538448</v>
      </c>
      <c r="N46" s="11">
        <f t="shared" si="16"/>
        <v>286.61538461538447</v>
      </c>
      <c r="O46" s="12">
        <f t="shared" si="17"/>
        <v>0</v>
      </c>
      <c r="P46" s="13">
        <f t="shared" si="18"/>
        <v>-13.384615384615529</v>
      </c>
      <c r="Q46" s="172">
        <f t="shared" si="19"/>
        <v>0.95538461538461494</v>
      </c>
      <c r="R46" s="457"/>
      <c r="S46" s="28">
        <v>0.35624999999999996</v>
      </c>
      <c r="T46" s="28">
        <v>0.3833333333333333</v>
      </c>
      <c r="U46" s="168">
        <f t="shared" si="25"/>
        <v>4.9999999999999822</v>
      </c>
      <c r="V46" s="169">
        <f t="shared" si="24"/>
        <v>39.000000000000021</v>
      </c>
      <c r="W46" s="16"/>
      <c r="X46" s="16"/>
      <c r="Y46" s="447"/>
      <c r="Z46" s="448"/>
      <c r="AA46" s="12">
        <f t="shared" si="20"/>
        <v>-133.84615384615518</v>
      </c>
      <c r="AB46" s="172">
        <f t="shared" si="21"/>
        <v>0.95538461538461494</v>
      </c>
      <c r="AC46" s="457"/>
    </row>
    <row r="47" spans="1:29" ht="15.75" customHeight="1">
      <c r="A47" s="454" t="s">
        <v>515</v>
      </c>
      <c r="B47" s="31" t="s">
        <v>79</v>
      </c>
      <c r="C47" s="444" t="s">
        <v>84</v>
      </c>
      <c r="D47" s="445"/>
      <c r="E47" s="31">
        <v>28.5</v>
      </c>
      <c r="F47" s="178">
        <v>1086</v>
      </c>
      <c r="G47" s="168">
        <f t="shared" si="22"/>
        <v>30951</v>
      </c>
      <c r="H47" s="179" t="s">
        <v>103</v>
      </c>
      <c r="I47" s="170">
        <v>10</v>
      </c>
      <c r="J47" s="26">
        <v>3000</v>
      </c>
      <c r="K47" s="10">
        <f t="shared" si="15"/>
        <v>300</v>
      </c>
      <c r="L47" s="170">
        <v>10</v>
      </c>
      <c r="M47" s="11">
        <f t="shared" si="23"/>
        <v>2833.0434782608695</v>
      </c>
      <c r="N47" s="11">
        <f t="shared" si="16"/>
        <v>283.30434782608694</v>
      </c>
      <c r="O47" s="12">
        <f t="shared" si="17"/>
        <v>0</v>
      </c>
      <c r="P47" s="13">
        <f t="shared" si="18"/>
        <v>-16.695652173913061</v>
      </c>
      <c r="Q47" s="172">
        <f t="shared" si="19"/>
        <v>0.94434782608695644</v>
      </c>
      <c r="R47" s="457"/>
      <c r="S47" s="28">
        <v>0.3881944444444444</v>
      </c>
      <c r="T47" s="28">
        <v>0.40416666666666662</v>
      </c>
      <c r="U47" s="168">
        <f t="shared" si="25"/>
        <v>6.9999999999999751</v>
      </c>
      <c r="V47" s="169">
        <f t="shared" si="24"/>
        <v>23</v>
      </c>
      <c r="W47" s="16"/>
      <c r="X47" s="16"/>
      <c r="Y47" s="447"/>
      <c r="Z47" s="448"/>
      <c r="AA47" s="12">
        <f t="shared" si="20"/>
        <v>-166.95652173913049</v>
      </c>
      <c r="AB47" s="172">
        <f t="shared" si="21"/>
        <v>0.94434782608695655</v>
      </c>
      <c r="AC47" s="457"/>
    </row>
    <row r="48" spans="1:29" ht="15.75" customHeight="1">
      <c r="A48" s="454" t="s">
        <v>515</v>
      </c>
      <c r="B48" s="31" t="s">
        <v>79</v>
      </c>
      <c r="C48" s="444" t="s">
        <v>85</v>
      </c>
      <c r="D48" s="445"/>
      <c r="E48" s="31">
        <v>35.869999999999997</v>
      </c>
      <c r="F48" s="178">
        <v>3204</v>
      </c>
      <c r="G48" s="168">
        <f t="shared" si="22"/>
        <v>114927.48</v>
      </c>
      <c r="H48" s="179" t="s">
        <v>103</v>
      </c>
      <c r="I48" s="170">
        <v>10</v>
      </c>
      <c r="J48" s="26">
        <v>3000</v>
      </c>
      <c r="K48" s="10">
        <f t="shared" si="15"/>
        <v>300</v>
      </c>
      <c r="L48" s="170">
        <v>10</v>
      </c>
      <c r="M48" s="11">
        <f t="shared" si="23"/>
        <v>2827.0588235294117</v>
      </c>
      <c r="N48" s="11">
        <f t="shared" si="16"/>
        <v>282.70588235294116</v>
      </c>
      <c r="O48" s="12">
        <f t="shared" si="17"/>
        <v>0</v>
      </c>
      <c r="P48" s="13">
        <f t="shared" si="18"/>
        <v>-17.29411764705884</v>
      </c>
      <c r="Q48" s="172">
        <f t="shared" si="19"/>
        <v>0.9423529411764705</v>
      </c>
      <c r="R48" s="457"/>
      <c r="S48" s="28">
        <v>0.40833333333333327</v>
      </c>
      <c r="T48" s="28">
        <v>0.45555555555555549</v>
      </c>
      <c r="U48" s="168">
        <f t="shared" si="25"/>
        <v>5.9999999999999787</v>
      </c>
      <c r="V48" s="169">
        <f t="shared" si="24"/>
        <v>68</v>
      </c>
      <c r="W48" s="16"/>
      <c r="X48" s="16"/>
      <c r="Y48" s="447"/>
      <c r="Z48" s="448"/>
      <c r="AA48" s="12">
        <f t="shared" si="20"/>
        <v>-172.94117647058829</v>
      </c>
      <c r="AB48" s="172">
        <f t="shared" si="21"/>
        <v>0.94235294117647062</v>
      </c>
      <c r="AC48" s="457"/>
    </row>
    <row r="49" spans="1:29" ht="15.75" customHeight="1">
      <c r="A49" s="454" t="s">
        <v>515</v>
      </c>
      <c r="B49" s="31" t="s">
        <v>79</v>
      </c>
      <c r="C49" s="444" t="s">
        <v>86</v>
      </c>
      <c r="D49" s="445"/>
      <c r="E49" s="31">
        <v>36.14</v>
      </c>
      <c r="F49" s="178">
        <v>3128</v>
      </c>
      <c r="G49" s="168">
        <f t="shared" si="22"/>
        <v>113045.92</v>
      </c>
      <c r="H49" s="179" t="s">
        <v>103</v>
      </c>
      <c r="I49" s="170">
        <v>10</v>
      </c>
      <c r="J49" s="26">
        <v>3000</v>
      </c>
      <c r="K49" s="10">
        <f t="shared" si="15"/>
        <v>300</v>
      </c>
      <c r="L49" s="170">
        <v>10</v>
      </c>
      <c r="M49" s="11">
        <f t="shared" si="23"/>
        <v>2843.6363636363667</v>
      </c>
      <c r="N49" s="11">
        <f t="shared" si="16"/>
        <v>284.36363636363666</v>
      </c>
      <c r="O49" s="12">
        <f t="shared" si="17"/>
        <v>0</v>
      </c>
      <c r="P49" s="13">
        <f t="shared" si="18"/>
        <v>-15.636363636363342</v>
      </c>
      <c r="Q49" s="172">
        <f t="shared" si="19"/>
        <v>0.94787878787878888</v>
      </c>
      <c r="R49" s="457"/>
      <c r="S49" s="28">
        <v>0.4590277777777777</v>
      </c>
      <c r="T49" s="28">
        <v>0.50486111111111098</v>
      </c>
      <c r="U49" s="168">
        <f t="shared" si="25"/>
        <v>4.9999999999999822</v>
      </c>
      <c r="V49" s="169">
        <f t="shared" si="24"/>
        <v>65.999999999999929</v>
      </c>
      <c r="W49" s="16"/>
      <c r="X49" s="16"/>
      <c r="Y49" s="447"/>
      <c r="Z49" s="448"/>
      <c r="AA49" s="12">
        <f t="shared" si="20"/>
        <v>-156.3636363636333</v>
      </c>
      <c r="AB49" s="172">
        <f t="shared" si="21"/>
        <v>0.94787878787878888</v>
      </c>
      <c r="AC49" s="457"/>
    </row>
    <row r="50" spans="1:29" ht="15.75" customHeight="1">
      <c r="A50" s="455" t="s">
        <v>515</v>
      </c>
      <c r="B50" s="31" t="s">
        <v>510</v>
      </c>
      <c r="C50" s="459"/>
      <c r="D50" s="460"/>
      <c r="E50" s="177"/>
      <c r="F50" s="178"/>
      <c r="G50" s="168"/>
      <c r="H50" s="178"/>
      <c r="I50" s="19">
        <v>10</v>
      </c>
      <c r="J50" s="26">
        <v>3000</v>
      </c>
      <c r="K50" s="10">
        <f t="shared" si="15"/>
        <v>300</v>
      </c>
      <c r="L50" s="19">
        <v>10</v>
      </c>
      <c r="M50" s="11">
        <f>AVERAGE(M43:M49)</f>
        <v>2831.2520988616602</v>
      </c>
      <c r="N50" s="10">
        <f t="shared" si="16"/>
        <v>283.12520988616603</v>
      </c>
      <c r="O50" s="12">
        <f t="shared" si="17"/>
        <v>0</v>
      </c>
      <c r="P50" s="13">
        <f t="shared" si="18"/>
        <v>-16.874790113833967</v>
      </c>
      <c r="Q50" s="172">
        <f t="shared" si="19"/>
        <v>0.94375069962055347</v>
      </c>
      <c r="R50" s="458"/>
      <c r="S50" s="28"/>
      <c r="T50" s="28"/>
      <c r="U50" s="168"/>
      <c r="V50" s="169"/>
      <c r="W50" s="16"/>
      <c r="X50" s="16"/>
      <c r="Y50" s="447"/>
      <c r="Z50" s="448"/>
      <c r="AA50" s="12">
        <f t="shared" si="20"/>
        <v>-168.74790113833978</v>
      </c>
      <c r="AB50" s="172">
        <f t="shared" si="21"/>
        <v>0.94375069962055336</v>
      </c>
      <c r="AC50" s="458"/>
    </row>
    <row r="51" spans="1:29" ht="15.75" customHeight="1">
      <c r="A51" s="451" t="s">
        <v>516</v>
      </c>
      <c r="B51" s="31" t="s">
        <v>53</v>
      </c>
      <c r="C51" s="441" t="s">
        <v>87</v>
      </c>
      <c r="D51" s="441"/>
      <c r="E51" s="31">
        <v>46</v>
      </c>
      <c r="F51" s="35">
        <v>3561</v>
      </c>
      <c r="G51" s="168">
        <f t="shared" ref="G51:G56" si="26">E51*F51</f>
        <v>163806</v>
      </c>
      <c r="H51" s="179" t="s">
        <v>103</v>
      </c>
      <c r="I51" s="170">
        <v>17</v>
      </c>
      <c r="J51" s="26">
        <v>2000</v>
      </c>
      <c r="K51" s="10">
        <f t="shared" si="15"/>
        <v>117.64705882352941</v>
      </c>
      <c r="L51" s="170">
        <v>17</v>
      </c>
      <c r="M51" s="11">
        <f t="shared" ref="M51:M56" si="27">F51/V51*60</f>
        <v>1890.7964601769911</v>
      </c>
      <c r="N51" s="11">
        <f t="shared" si="16"/>
        <v>111.22332118688183</v>
      </c>
      <c r="O51" s="12">
        <f t="shared" si="17"/>
        <v>0</v>
      </c>
      <c r="P51" s="13">
        <f t="shared" si="18"/>
        <v>-6.4237376366475729</v>
      </c>
      <c r="Q51" s="172">
        <f t="shared" si="19"/>
        <v>0.94539823008849566</v>
      </c>
      <c r="R51" s="442">
        <f>Q57</f>
        <v>0.94109198924856119</v>
      </c>
      <c r="S51" s="28">
        <v>0.25</v>
      </c>
      <c r="T51" s="28">
        <v>0.32847222222222222</v>
      </c>
      <c r="U51" s="18"/>
      <c r="V51" s="169">
        <f t="shared" ref="V51:V56" si="28">(T51-S51)*24*60</f>
        <v>113</v>
      </c>
      <c r="W51" s="18"/>
      <c r="X51" s="18"/>
      <c r="Y51" s="443"/>
      <c r="Z51" s="443"/>
      <c r="AA51" s="12">
        <f t="shared" si="20"/>
        <v>-109.2035398230089</v>
      </c>
      <c r="AB51" s="172">
        <f t="shared" si="21"/>
        <v>0.94539823008849555</v>
      </c>
      <c r="AC51" s="442">
        <f>AB57</f>
        <v>0.94109198924856108</v>
      </c>
    </row>
    <row r="52" spans="1:29" ht="15.75" customHeight="1">
      <c r="A52" s="451" t="s">
        <v>516</v>
      </c>
      <c r="B52" s="31" t="s">
        <v>53</v>
      </c>
      <c r="C52" s="441" t="s">
        <v>88</v>
      </c>
      <c r="D52" s="441"/>
      <c r="E52" s="31">
        <v>46</v>
      </c>
      <c r="F52" s="35">
        <v>3602</v>
      </c>
      <c r="G52" s="168">
        <f t="shared" si="26"/>
        <v>165692</v>
      </c>
      <c r="H52" s="179" t="s">
        <v>103</v>
      </c>
      <c r="I52" s="170">
        <v>18</v>
      </c>
      <c r="J52" s="26">
        <v>2000</v>
      </c>
      <c r="K52" s="10">
        <f t="shared" si="15"/>
        <v>111.11111111111111</v>
      </c>
      <c r="L52" s="170">
        <v>18</v>
      </c>
      <c r="M52" s="11">
        <f t="shared" si="27"/>
        <v>1879.3043478260872</v>
      </c>
      <c r="N52" s="11">
        <f t="shared" si="16"/>
        <v>104.40579710144929</v>
      </c>
      <c r="O52" s="12">
        <f t="shared" si="17"/>
        <v>0</v>
      </c>
      <c r="P52" s="13">
        <f t="shared" si="18"/>
        <v>-6.7053140096618193</v>
      </c>
      <c r="Q52" s="172">
        <f t="shared" si="19"/>
        <v>0.93965217391304368</v>
      </c>
      <c r="R52" s="442"/>
      <c r="S52" s="28">
        <v>0.33263888888888887</v>
      </c>
      <c r="T52" s="28">
        <v>0.41249999999999998</v>
      </c>
      <c r="U52" s="168">
        <f>IF(S52=TIME(17,0,0),"",(S52-T51)*24*60)</f>
        <v>5.9999999999999787</v>
      </c>
      <c r="V52" s="169">
        <f t="shared" si="28"/>
        <v>114.99999999999999</v>
      </c>
      <c r="W52" s="16"/>
      <c r="X52" s="16"/>
      <c r="Y52" s="443"/>
      <c r="Z52" s="443"/>
      <c r="AA52" s="12">
        <f t="shared" si="20"/>
        <v>-120.69565217391278</v>
      </c>
      <c r="AB52" s="172">
        <f t="shared" si="21"/>
        <v>0.93965217391304356</v>
      </c>
      <c r="AC52" s="442"/>
    </row>
    <row r="53" spans="1:29" ht="15.75" customHeight="1">
      <c r="A53" s="451" t="s">
        <v>516</v>
      </c>
      <c r="B53" s="31" t="s">
        <v>58</v>
      </c>
      <c r="C53" s="444" t="s">
        <v>168</v>
      </c>
      <c r="D53" s="445"/>
      <c r="E53" s="31">
        <v>54.09</v>
      </c>
      <c r="F53" s="35">
        <v>626</v>
      </c>
      <c r="G53" s="168">
        <f t="shared" si="26"/>
        <v>33860.340000000004</v>
      </c>
      <c r="H53" s="179" t="s">
        <v>103</v>
      </c>
      <c r="I53" s="170">
        <v>16</v>
      </c>
      <c r="J53" s="26">
        <v>2000</v>
      </c>
      <c r="K53" s="10">
        <f t="shared" si="15"/>
        <v>125</v>
      </c>
      <c r="L53" s="170">
        <v>16</v>
      </c>
      <c r="M53" s="11">
        <f t="shared" si="27"/>
        <v>1877.9999999999993</v>
      </c>
      <c r="N53" s="11">
        <f t="shared" si="16"/>
        <v>117.37499999999996</v>
      </c>
      <c r="O53" s="12">
        <f t="shared" si="17"/>
        <v>0</v>
      </c>
      <c r="P53" s="13">
        <f t="shared" si="18"/>
        <v>-7.6250000000000426</v>
      </c>
      <c r="Q53" s="172">
        <f t="shared" si="19"/>
        <v>0.93899999999999961</v>
      </c>
      <c r="R53" s="442"/>
      <c r="S53" s="28">
        <v>0.41736111111111107</v>
      </c>
      <c r="T53" s="28">
        <v>0.43124999999999997</v>
      </c>
      <c r="U53" s="168">
        <f>IF(S53=TIME(17,0,0),"",(S53-T52)*24*60)</f>
        <v>6.9999999999999751</v>
      </c>
      <c r="V53" s="169">
        <f t="shared" si="28"/>
        <v>20.000000000000007</v>
      </c>
      <c r="W53" s="16"/>
      <c r="X53" s="16"/>
      <c r="Y53" s="173"/>
      <c r="Z53" s="174"/>
      <c r="AA53" s="12">
        <f t="shared" si="20"/>
        <v>-122.00000000000068</v>
      </c>
      <c r="AB53" s="172">
        <f t="shared" si="21"/>
        <v>0.93899999999999961</v>
      </c>
      <c r="AC53" s="442"/>
    </row>
    <row r="54" spans="1:29" ht="15.75" customHeight="1">
      <c r="A54" s="451" t="s">
        <v>516</v>
      </c>
      <c r="B54" s="31" t="s">
        <v>58</v>
      </c>
      <c r="C54" s="175" t="s">
        <v>89</v>
      </c>
      <c r="D54" s="176"/>
      <c r="E54" s="31">
        <v>55.56</v>
      </c>
      <c r="F54" s="35">
        <v>2448</v>
      </c>
      <c r="G54" s="168">
        <f t="shared" si="26"/>
        <v>136010.88</v>
      </c>
      <c r="H54" s="179" t="s">
        <v>103</v>
      </c>
      <c r="I54" s="170">
        <v>17</v>
      </c>
      <c r="J54" s="26">
        <v>2000</v>
      </c>
      <c r="K54" s="10">
        <f t="shared" si="15"/>
        <v>117.64705882352941</v>
      </c>
      <c r="L54" s="170">
        <v>17</v>
      </c>
      <c r="M54" s="11">
        <f t="shared" si="27"/>
        <v>1883.0769230769222</v>
      </c>
      <c r="N54" s="11">
        <f t="shared" si="16"/>
        <v>110.76923076923072</v>
      </c>
      <c r="O54" s="12">
        <f t="shared" si="17"/>
        <v>0</v>
      </c>
      <c r="P54" s="13">
        <f t="shared" si="18"/>
        <v>-6.8778280542986892</v>
      </c>
      <c r="Q54" s="172">
        <f t="shared" si="19"/>
        <v>0.9415384615384611</v>
      </c>
      <c r="R54" s="442"/>
      <c r="S54" s="28">
        <v>0.70833333333333337</v>
      </c>
      <c r="T54" s="28">
        <v>0.76250000000000007</v>
      </c>
      <c r="U54" s="168" t="str">
        <f>IF(S54=TIME(17,0,0),"",(S54-T53)*24*60)</f>
        <v/>
      </c>
      <c r="V54" s="169">
        <f t="shared" si="28"/>
        <v>78.000000000000043</v>
      </c>
      <c r="W54" s="16"/>
      <c r="X54" s="16"/>
      <c r="Y54" s="173"/>
      <c r="Z54" s="174"/>
      <c r="AA54" s="12">
        <f t="shared" si="20"/>
        <v>-116.92307692307782</v>
      </c>
      <c r="AB54" s="172">
        <f t="shared" si="21"/>
        <v>0.9415384615384611</v>
      </c>
      <c r="AC54" s="442"/>
    </row>
    <row r="55" spans="1:29" ht="15.75" customHeight="1">
      <c r="A55" s="451" t="s">
        <v>516</v>
      </c>
      <c r="B55" s="31" t="s">
        <v>58</v>
      </c>
      <c r="C55" s="175" t="s">
        <v>90</v>
      </c>
      <c r="D55" s="176"/>
      <c r="E55" s="31">
        <v>55.32</v>
      </c>
      <c r="F55" s="35">
        <v>1843</v>
      </c>
      <c r="G55" s="168">
        <f t="shared" si="26"/>
        <v>101954.76</v>
      </c>
      <c r="H55" s="179" t="s">
        <v>103</v>
      </c>
      <c r="I55" s="170">
        <v>15</v>
      </c>
      <c r="J55" s="26">
        <v>2000</v>
      </c>
      <c r="K55" s="10">
        <f t="shared" si="15"/>
        <v>133.33333333333334</v>
      </c>
      <c r="L55" s="170">
        <v>15</v>
      </c>
      <c r="M55" s="11">
        <f t="shared" si="27"/>
        <v>1874.2372881355948</v>
      </c>
      <c r="N55" s="11">
        <f t="shared" si="16"/>
        <v>124.94915254237299</v>
      </c>
      <c r="O55" s="12">
        <f t="shared" si="17"/>
        <v>0</v>
      </c>
      <c r="P55" s="13">
        <f t="shared" si="18"/>
        <v>-8.3841807909603574</v>
      </c>
      <c r="Q55" s="172">
        <f t="shared" si="19"/>
        <v>0.93711864406779732</v>
      </c>
      <c r="R55" s="442"/>
      <c r="S55" s="28">
        <v>0.76666666666666672</v>
      </c>
      <c r="T55" s="28">
        <v>0.80763888888888891</v>
      </c>
      <c r="U55" s="168">
        <f>IF(S55=TIME(17,0,0),"",(S55-T54)*24*60)</f>
        <v>5.9999999999999787</v>
      </c>
      <c r="V55" s="169">
        <f t="shared" si="28"/>
        <v>58.99999999999995</v>
      </c>
      <c r="W55" s="16"/>
      <c r="X55" s="16"/>
      <c r="Y55" s="173"/>
      <c r="Z55" s="174"/>
      <c r="AA55" s="12">
        <f t="shared" si="20"/>
        <v>-125.76271186440522</v>
      </c>
      <c r="AB55" s="172">
        <f t="shared" si="21"/>
        <v>0.93711864406779743</v>
      </c>
      <c r="AC55" s="442"/>
    </row>
    <row r="56" spans="1:29" ht="15.75" customHeight="1">
      <c r="A56" s="451" t="s">
        <v>516</v>
      </c>
      <c r="B56" s="31" t="s">
        <v>58</v>
      </c>
      <c r="C56" s="444" t="s">
        <v>91</v>
      </c>
      <c r="D56" s="445"/>
      <c r="E56" s="31">
        <v>57.73</v>
      </c>
      <c r="F56" s="35">
        <v>1488</v>
      </c>
      <c r="G56" s="168">
        <f t="shared" si="26"/>
        <v>85902.239999999991</v>
      </c>
      <c r="H56" s="179" t="s">
        <v>103</v>
      </c>
      <c r="I56" s="170">
        <v>16</v>
      </c>
      <c r="J56" s="26">
        <v>1500</v>
      </c>
      <c r="K56" s="10">
        <f t="shared" si="15"/>
        <v>93.75</v>
      </c>
      <c r="L56" s="170">
        <v>16</v>
      </c>
      <c r="M56" s="11">
        <f t="shared" si="27"/>
        <v>1417.1428571428585</v>
      </c>
      <c r="N56" s="11">
        <f t="shared" si="16"/>
        <v>88.571428571428655</v>
      </c>
      <c r="O56" s="12">
        <f t="shared" si="17"/>
        <v>0</v>
      </c>
      <c r="P56" s="13">
        <f t="shared" si="18"/>
        <v>-5.1785714285713453</v>
      </c>
      <c r="Q56" s="172">
        <f t="shared" si="19"/>
        <v>0.94476190476190569</v>
      </c>
      <c r="R56" s="442"/>
      <c r="S56" s="28">
        <v>0.81319444444444444</v>
      </c>
      <c r="T56" s="28">
        <v>0.8569444444444444</v>
      </c>
      <c r="U56" s="168">
        <f>IF(S56=TIME(17,0,0),"",(S56-T55)*24*60)</f>
        <v>7.9999999999999716</v>
      </c>
      <c r="V56" s="169">
        <f t="shared" si="28"/>
        <v>62.999999999999936</v>
      </c>
      <c r="W56" s="16"/>
      <c r="X56" s="16"/>
      <c r="Y56" s="447"/>
      <c r="Z56" s="448"/>
      <c r="AA56" s="12">
        <f t="shared" si="20"/>
        <v>-82.857142857141525</v>
      </c>
      <c r="AB56" s="172">
        <f t="shared" si="21"/>
        <v>0.94476190476190569</v>
      </c>
      <c r="AC56" s="442"/>
    </row>
    <row r="57" spans="1:29">
      <c r="A57" s="452" t="s">
        <v>516</v>
      </c>
      <c r="B57" s="31" t="s">
        <v>510</v>
      </c>
      <c r="C57" s="446"/>
      <c r="D57" s="446"/>
      <c r="E57" s="171"/>
      <c r="F57" s="33"/>
      <c r="G57" s="10"/>
      <c r="H57" s="178"/>
      <c r="I57" s="19">
        <v>16.5</v>
      </c>
      <c r="J57" s="26">
        <v>1916.6666666666667</v>
      </c>
      <c r="K57" s="10">
        <f t="shared" si="15"/>
        <v>116.16161616161617</v>
      </c>
      <c r="L57" s="19">
        <v>16.5</v>
      </c>
      <c r="M57" s="11">
        <f>AVERAGE(M51:M56)</f>
        <v>1803.7596460597422</v>
      </c>
      <c r="N57" s="10">
        <f t="shared" si="16"/>
        <v>109.31876642786317</v>
      </c>
      <c r="O57" s="12">
        <f t="shared" si="17"/>
        <v>0</v>
      </c>
      <c r="P57" s="13">
        <f t="shared" si="18"/>
        <v>-6.842849733752999</v>
      </c>
      <c r="Q57" s="172">
        <f t="shared" si="19"/>
        <v>0.94109198924856119</v>
      </c>
      <c r="R57" s="442"/>
      <c r="S57" s="29"/>
      <c r="T57" s="28"/>
      <c r="U57" s="10"/>
      <c r="V57" s="169"/>
      <c r="W57" s="10"/>
      <c r="X57" s="10"/>
      <c r="Y57" s="443"/>
      <c r="Z57" s="443"/>
      <c r="AA57" s="12">
        <f t="shared" si="20"/>
        <v>-112.90702060692456</v>
      </c>
      <c r="AB57" s="172">
        <f t="shared" si="21"/>
        <v>0.94109198924856108</v>
      </c>
      <c r="AC57" s="442"/>
    </row>
    <row r="58" spans="1:29" ht="15.75" customHeight="1">
      <c r="A58" s="449" t="s">
        <v>517</v>
      </c>
      <c r="B58" s="178" t="s">
        <v>92</v>
      </c>
      <c r="C58" s="441" t="s">
        <v>93</v>
      </c>
      <c r="D58" s="441"/>
      <c r="E58" s="31">
        <v>84.51</v>
      </c>
      <c r="F58" s="35">
        <v>1954</v>
      </c>
      <c r="G58" s="168">
        <f t="shared" ref="G58:G63" si="29">E58*F58</f>
        <v>165132.54</v>
      </c>
      <c r="H58" s="179" t="s">
        <v>103</v>
      </c>
      <c r="I58" s="170">
        <v>17</v>
      </c>
      <c r="J58" s="26">
        <v>2400</v>
      </c>
      <c r="K58" s="10">
        <f t="shared" si="15"/>
        <v>141.1764705882353</v>
      </c>
      <c r="L58" s="19">
        <v>17</v>
      </c>
      <c r="M58" s="11">
        <f t="shared" ref="M58:M63" si="30">F58/V58*60</f>
        <v>2254.6153846153838</v>
      </c>
      <c r="N58" s="10">
        <f t="shared" si="16"/>
        <v>132.62443438914022</v>
      </c>
      <c r="O58" s="12">
        <f t="shared" si="17"/>
        <v>0</v>
      </c>
      <c r="P58" s="13">
        <f t="shared" si="18"/>
        <v>-8.5520361990950846</v>
      </c>
      <c r="Q58" s="172">
        <f t="shared" si="19"/>
        <v>0.93942307692307647</v>
      </c>
      <c r="R58" s="442">
        <f>Q64</f>
        <v>0.94691852549676647</v>
      </c>
      <c r="S58" s="28">
        <v>0.125</v>
      </c>
      <c r="T58" s="28">
        <v>0.16111111111111112</v>
      </c>
      <c r="U58" s="168"/>
      <c r="V58" s="169">
        <f t="shared" ref="V58:V63" si="31">(T58-S58)*24*60</f>
        <v>52.000000000000014</v>
      </c>
      <c r="W58" s="18"/>
      <c r="X58" s="18"/>
      <c r="Y58" s="443"/>
      <c r="Z58" s="443"/>
      <c r="AA58" s="12">
        <f t="shared" si="20"/>
        <v>-145.38461538461615</v>
      </c>
      <c r="AB58" s="172">
        <f t="shared" si="21"/>
        <v>0.93942307692307658</v>
      </c>
      <c r="AC58" s="442">
        <f>AB64</f>
        <v>0.94691852549676647</v>
      </c>
    </row>
    <row r="59" spans="1:29" ht="15.75" customHeight="1">
      <c r="A59" s="449" t="s">
        <v>517</v>
      </c>
      <c r="B59" s="178" t="s">
        <v>79</v>
      </c>
      <c r="C59" s="441" t="s">
        <v>94</v>
      </c>
      <c r="D59" s="441"/>
      <c r="E59" s="31">
        <v>26.78</v>
      </c>
      <c r="F59" s="35">
        <v>2855</v>
      </c>
      <c r="G59" s="168">
        <f t="shared" si="29"/>
        <v>76456.900000000009</v>
      </c>
      <c r="H59" s="179" t="s">
        <v>103</v>
      </c>
      <c r="I59" s="170">
        <v>10</v>
      </c>
      <c r="J59" s="26">
        <v>3000</v>
      </c>
      <c r="K59" s="10">
        <f t="shared" si="15"/>
        <v>300</v>
      </c>
      <c r="L59" s="19">
        <v>10</v>
      </c>
      <c r="M59" s="11">
        <f t="shared" si="30"/>
        <v>2855.0000000000005</v>
      </c>
      <c r="N59" s="10">
        <f t="shared" si="16"/>
        <v>285.50000000000006</v>
      </c>
      <c r="O59" s="12">
        <f t="shared" si="17"/>
        <v>0</v>
      </c>
      <c r="P59" s="13">
        <f t="shared" si="18"/>
        <v>-14.499999999999943</v>
      </c>
      <c r="Q59" s="172">
        <f t="shared" si="19"/>
        <v>0.95166666666666688</v>
      </c>
      <c r="R59" s="442"/>
      <c r="S59" s="28">
        <v>0.16458333333333333</v>
      </c>
      <c r="T59" s="28">
        <v>0.20624999999999999</v>
      </c>
      <c r="U59" s="168">
        <f>(S59-T58)*24*60</f>
        <v>4.9999999999999822</v>
      </c>
      <c r="V59" s="169">
        <f t="shared" si="31"/>
        <v>59.999999999999986</v>
      </c>
      <c r="W59" s="16">
        <f>T59</f>
        <v>0.20624999999999999</v>
      </c>
      <c r="X59" s="16">
        <f>S60</f>
        <v>0.22430555555555554</v>
      </c>
      <c r="Y59" s="443"/>
      <c r="Z59" s="443"/>
      <c r="AA59" s="12">
        <f t="shared" si="20"/>
        <v>-144.99999999999955</v>
      </c>
      <c r="AB59" s="172">
        <f t="shared" si="21"/>
        <v>0.95166666666666677</v>
      </c>
      <c r="AC59" s="442"/>
    </row>
    <row r="60" spans="1:29" ht="15.75" customHeight="1">
      <c r="A60" s="449" t="s">
        <v>517</v>
      </c>
      <c r="B60" s="178" t="s">
        <v>79</v>
      </c>
      <c r="C60" s="441" t="s">
        <v>95</v>
      </c>
      <c r="D60" s="441"/>
      <c r="E60" s="31">
        <v>35.369999999999997</v>
      </c>
      <c r="F60" s="35">
        <v>1753</v>
      </c>
      <c r="G60" s="168">
        <f t="shared" si="29"/>
        <v>62003.609999999993</v>
      </c>
      <c r="H60" s="179" t="s">
        <v>103</v>
      </c>
      <c r="I60" s="170">
        <v>10</v>
      </c>
      <c r="J60" s="26">
        <v>3000</v>
      </c>
      <c r="K60" s="10">
        <f t="shared" si="15"/>
        <v>300</v>
      </c>
      <c r="L60" s="19">
        <v>10</v>
      </c>
      <c r="M60" s="11">
        <f t="shared" si="30"/>
        <v>2842.7027027027034</v>
      </c>
      <c r="N60" s="10">
        <f t="shared" si="16"/>
        <v>284.27027027027032</v>
      </c>
      <c r="O60" s="12">
        <f t="shared" si="17"/>
        <v>0</v>
      </c>
      <c r="P60" s="13">
        <f t="shared" si="18"/>
        <v>-15.729729729729684</v>
      </c>
      <c r="Q60" s="172">
        <f t="shared" si="19"/>
        <v>0.94756756756756777</v>
      </c>
      <c r="R60" s="442"/>
      <c r="S60" s="28">
        <v>0.22430555555555554</v>
      </c>
      <c r="T60" s="28">
        <v>0.24999999999999997</v>
      </c>
      <c r="U60" s="168">
        <f>(S60-T59)*24*60</f>
        <v>25.999999999999986</v>
      </c>
      <c r="V60" s="169">
        <f t="shared" si="31"/>
        <v>36.999999999999986</v>
      </c>
      <c r="W60" s="168"/>
      <c r="X60" s="168"/>
      <c r="Y60" s="443"/>
      <c r="Z60" s="443"/>
      <c r="AA60" s="12">
        <f t="shared" si="20"/>
        <v>-157.29729729729661</v>
      </c>
      <c r="AB60" s="172">
        <f t="shared" si="21"/>
        <v>0.94756756756756777</v>
      </c>
      <c r="AC60" s="442"/>
    </row>
    <row r="61" spans="1:29" ht="15.75" customHeight="1">
      <c r="A61" s="449" t="s">
        <v>517</v>
      </c>
      <c r="B61" s="178" t="s">
        <v>53</v>
      </c>
      <c r="C61" s="441" t="s">
        <v>96</v>
      </c>
      <c r="D61" s="441"/>
      <c r="E61" s="31">
        <v>26.97</v>
      </c>
      <c r="F61" s="35">
        <v>3581</v>
      </c>
      <c r="G61" s="168">
        <f t="shared" si="29"/>
        <v>96579.569999999992</v>
      </c>
      <c r="H61" s="179" t="s">
        <v>103</v>
      </c>
      <c r="I61" s="170">
        <v>8</v>
      </c>
      <c r="J61" s="26">
        <v>1500</v>
      </c>
      <c r="K61" s="10">
        <f t="shared" si="15"/>
        <v>187.5</v>
      </c>
      <c r="L61" s="19">
        <v>8</v>
      </c>
      <c r="M61" s="11">
        <f t="shared" si="30"/>
        <v>1413.5526315789471</v>
      </c>
      <c r="N61" s="10">
        <f t="shared" si="16"/>
        <v>176.69407894736838</v>
      </c>
      <c r="O61" s="12">
        <f t="shared" si="17"/>
        <v>0</v>
      </c>
      <c r="P61" s="13">
        <f t="shared" si="18"/>
        <v>-10.805921052631618</v>
      </c>
      <c r="Q61" s="172">
        <f t="shared" si="19"/>
        <v>0.94236842105263141</v>
      </c>
      <c r="R61" s="442"/>
      <c r="S61" s="28">
        <v>0.25486111111111109</v>
      </c>
      <c r="T61" s="28">
        <v>0.36041666666666666</v>
      </c>
      <c r="U61" s="168">
        <f>(S61-T60)*24*60</f>
        <v>7.0000000000000151</v>
      </c>
      <c r="V61" s="169">
        <f t="shared" si="31"/>
        <v>152.00000000000003</v>
      </c>
      <c r="W61" s="168"/>
      <c r="X61" s="168"/>
      <c r="Y61" s="443"/>
      <c r="Z61" s="443"/>
      <c r="AA61" s="12">
        <f t="shared" si="20"/>
        <v>-86.447368421052943</v>
      </c>
      <c r="AB61" s="172">
        <f t="shared" si="21"/>
        <v>0.94236842105263141</v>
      </c>
      <c r="AC61" s="442"/>
    </row>
    <row r="62" spans="1:29">
      <c r="A62" s="450" t="s">
        <v>521</v>
      </c>
      <c r="B62" s="178" t="s">
        <v>79</v>
      </c>
      <c r="C62" s="441" t="s">
        <v>97</v>
      </c>
      <c r="D62" s="441"/>
      <c r="E62" s="31">
        <v>35.119999999999997</v>
      </c>
      <c r="F62" s="35">
        <v>1198</v>
      </c>
      <c r="G62" s="168">
        <f t="shared" si="29"/>
        <v>42073.759999999995</v>
      </c>
      <c r="H62" s="179" t="s">
        <v>103</v>
      </c>
      <c r="I62" s="170">
        <v>13</v>
      </c>
      <c r="J62" s="26">
        <v>2000</v>
      </c>
      <c r="K62" s="10">
        <f t="shared" si="15"/>
        <v>153.84615384615384</v>
      </c>
      <c r="L62" s="19">
        <v>13</v>
      </c>
      <c r="M62" s="11">
        <f t="shared" si="30"/>
        <v>1891.5789473684197</v>
      </c>
      <c r="N62" s="10">
        <f t="shared" si="16"/>
        <v>145.50607287449381</v>
      </c>
      <c r="O62" s="12">
        <f t="shared" si="17"/>
        <v>0</v>
      </c>
      <c r="P62" s="13">
        <f t="shared" si="18"/>
        <v>-8.3400809716600293</v>
      </c>
      <c r="Q62" s="172">
        <f t="shared" si="19"/>
        <v>0.94578947368420985</v>
      </c>
      <c r="R62" s="442"/>
      <c r="S62" s="28">
        <v>0.36388888888888887</v>
      </c>
      <c r="T62" s="28">
        <v>0.39027777777777778</v>
      </c>
      <c r="U62" s="168">
        <f>(S62-T61)*24*60</f>
        <v>4.9999999999999822</v>
      </c>
      <c r="V62" s="169">
        <f t="shared" si="31"/>
        <v>38.000000000000028</v>
      </c>
      <c r="W62" s="16"/>
      <c r="X62" s="16"/>
      <c r="Y62" s="443"/>
      <c r="Z62" s="443"/>
      <c r="AA62" s="12">
        <f t="shared" si="20"/>
        <v>-108.42105263158032</v>
      </c>
      <c r="AB62" s="172">
        <f t="shared" si="21"/>
        <v>0.94578947368420985</v>
      </c>
      <c r="AC62" s="442"/>
    </row>
    <row r="63" spans="1:29" ht="15" customHeight="1">
      <c r="A63" s="450" t="s">
        <v>521</v>
      </c>
      <c r="B63" s="178" t="s">
        <v>79</v>
      </c>
      <c r="C63" s="444" t="s">
        <v>98</v>
      </c>
      <c r="D63" s="445"/>
      <c r="E63" s="31">
        <v>35.869999999999997</v>
      </c>
      <c r="F63" s="35">
        <v>2614</v>
      </c>
      <c r="G63" s="168">
        <f t="shared" si="29"/>
        <v>93764.18</v>
      </c>
      <c r="H63" s="179" t="s">
        <v>103</v>
      </c>
      <c r="I63" s="170">
        <v>10</v>
      </c>
      <c r="J63" s="26">
        <v>3000</v>
      </c>
      <c r="K63" s="10">
        <f t="shared" si="15"/>
        <v>300</v>
      </c>
      <c r="L63" s="19">
        <v>10</v>
      </c>
      <c r="M63" s="11">
        <f t="shared" si="30"/>
        <v>2851.6363636363658</v>
      </c>
      <c r="N63" s="10">
        <f t="shared" si="16"/>
        <v>285.16363636363656</v>
      </c>
      <c r="O63" s="12">
        <f t="shared" si="17"/>
        <v>0</v>
      </c>
      <c r="P63" s="13">
        <f t="shared" si="18"/>
        <v>-14.836363636363444</v>
      </c>
      <c r="Q63" s="172">
        <f t="shared" si="19"/>
        <v>0.95054545454545514</v>
      </c>
      <c r="R63" s="442"/>
      <c r="S63" s="28">
        <v>0.39513888888888887</v>
      </c>
      <c r="T63" s="28">
        <v>0.43333333333333329</v>
      </c>
      <c r="U63" s="168">
        <f>(S63-T62)*24*60</f>
        <v>6.9999999999999751</v>
      </c>
      <c r="V63" s="169">
        <f t="shared" si="31"/>
        <v>54.999999999999964</v>
      </c>
      <c r="W63" s="168"/>
      <c r="X63" s="168"/>
      <c r="Y63" s="447"/>
      <c r="Z63" s="448"/>
      <c r="AA63" s="12">
        <f t="shared" si="20"/>
        <v>-148.36363636363421</v>
      </c>
      <c r="AB63" s="172">
        <f t="shared" si="21"/>
        <v>0.95054545454545525</v>
      </c>
      <c r="AC63" s="442"/>
    </row>
    <row r="64" spans="1:29">
      <c r="A64" s="450" t="s">
        <v>521</v>
      </c>
      <c r="B64" s="31" t="s">
        <v>519</v>
      </c>
      <c r="C64" s="446"/>
      <c r="D64" s="446"/>
      <c r="E64" s="171"/>
      <c r="F64" s="33"/>
      <c r="G64" s="10"/>
      <c r="H64" s="178"/>
      <c r="I64" s="19">
        <v>11.333333333333334</v>
      </c>
      <c r="J64" s="26">
        <v>2483.3333333333335</v>
      </c>
      <c r="K64" s="10">
        <f t="shared" si="15"/>
        <v>219.11764705882354</v>
      </c>
      <c r="L64" s="19">
        <v>11.333333333333334</v>
      </c>
      <c r="M64" s="11">
        <f>AVERAGE(M58:M63)</f>
        <v>2351.5143383169702</v>
      </c>
      <c r="N64" s="10">
        <f t="shared" si="16"/>
        <v>207.48655926326208</v>
      </c>
      <c r="O64" s="12">
        <f t="shared" si="17"/>
        <v>0</v>
      </c>
      <c r="P64" s="13">
        <f t="shared" si="18"/>
        <v>-11.631087795561456</v>
      </c>
      <c r="Q64" s="172">
        <f t="shared" si="19"/>
        <v>0.94691852549676647</v>
      </c>
      <c r="R64" s="442"/>
      <c r="S64" s="28"/>
      <c r="T64" s="28"/>
      <c r="U64" s="10"/>
      <c r="V64" s="169"/>
      <c r="W64" s="10"/>
      <c r="X64" s="10"/>
      <c r="Y64" s="443"/>
      <c r="Z64" s="443"/>
      <c r="AA64" s="12">
        <f t="shared" si="20"/>
        <v>-131.81899501636326</v>
      </c>
      <c r="AB64" s="172">
        <f t="shared" si="21"/>
        <v>0.94691852549676647</v>
      </c>
      <c r="AC64" s="442"/>
    </row>
    <row r="65" spans="1:29" ht="15.75" customHeight="1">
      <c r="A65" s="439" t="s">
        <v>520</v>
      </c>
      <c r="B65" s="178" t="s">
        <v>67</v>
      </c>
      <c r="C65" s="441" t="s">
        <v>99</v>
      </c>
      <c r="D65" s="441"/>
      <c r="E65" s="31">
        <v>20.2</v>
      </c>
      <c r="F65" s="178">
        <v>3212</v>
      </c>
      <c r="G65" s="168">
        <f t="shared" ref="G65:G70" si="32">E65*F65</f>
        <v>64882.399999999994</v>
      </c>
      <c r="H65" s="179" t="s">
        <v>103</v>
      </c>
      <c r="I65" s="170">
        <v>19</v>
      </c>
      <c r="J65" s="26">
        <v>2400</v>
      </c>
      <c r="K65" s="10">
        <f t="shared" si="15"/>
        <v>126.31578947368421</v>
      </c>
      <c r="L65" s="19">
        <v>19</v>
      </c>
      <c r="M65" s="11">
        <f t="shared" ref="M65:M70" si="33">F65/V65*60</f>
        <v>2267.2941176470595</v>
      </c>
      <c r="N65" s="10">
        <f t="shared" si="16"/>
        <v>119.33126934984523</v>
      </c>
      <c r="O65" s="12">
        <f t="shared" si="17"/>
        <v>0</v>
      </c>
      <c r="P65" s="13">
        <f t="shared" si="18"/>
        <v>-6.9845201238389762</v>
      </c>
      <c r="Q65" s="172">
        <f t="shared" si="19"/>
        <v>0.9447058823529414</v>
      </c>
      <c r="R65" s="442">
        <f>Q71</f>
        <v>0.94055727042278914</v>
      </c>
      <c r="S65" s="28">
        <v>8.3333333333333329E-2</v>
      </c>
      <c r="T65" s="28">
        <v>0.1423611111111111</v>
      </c>
      <c r="U65" s="18"/>
      <c r="V65" s="169">
        <f t="shared" ref="V65:V70" si="34">(T65-S65)*24*60</f>
        <v>84.999999999999986</v>
      </c>
      <c r="W65" s="16">
        <f>T65</f>
        <v>0.1423611111111111</v>
      </c>
      <c r="X65" s="16">
        <f>S66</f>
        <v>0.15972222222222218</v>
      </c>
      <c r="Y65" s="443"/>
      <c r="Z65" s="443"/>
      <c r="AA65" s="12">
        <f t="shared" si="20"/>
        <v>-132.70588235294053</v>
      </c>
      <c r="AB65" s="172">
        <f t="shared" si="21"/>
        <v>0.9447058823529414</v>
      </c>
      <c r="AC65" s="442">
        <f>AB71</f>
        <v>0.94055727042278914</v>
      </c>
    </row>
    <row r="66" spans="1:29" ht="15.75" customHeight="1">
      <c r="A66" s="439" t="s">
        <v>520</v>
      </c>
      <c r="B66" s="178" t="s">
        <v>67</v>
      </c>
      <c r="C66" s="441" t="s">
        <v>100</v>
      </c>
      <c r="D66" s="441"/>
      <c r="E66" s="31">
        <v>19.02</v>
      </c>
      <c r="F66" s="178">
        <v>6000</v>
      </c>
      <c r="G66" s="168">
        <f t="shared" si="32"/>
        <v>114120</v>
      </c>
      <c r="H66" s="179">
        <v>2</v>
      </c>
      <c r="I66" s="170">
        <v>15</v>
      </c>
      <c r="J66" s="26">
        <v>2400</v>
      </c>
      <c r="K66" s="10">
        <f t="shared" si="15"/>
        <v>160</v>
      </c>
      <c r="L66" s="19">
        <v>15</v>
      </c>
      <c r="M66" s="11">
        <f t="shared" si="33"/>
        <v>2250.0000000000005</v>
      </c>
      <c r="N66" s="10">
        <f t="shared" si="16"/>
        <v>150.00000000000003</v>
      </c>
      <c r="O66" s="12">
        <f t="shared" si="17"/>
        <v>0</v>
      </c>
      <c r="P66" s="13">
        <f t="shared" si="18"/>
        <v>-9.9999999999999716</v>
      </c>
      <c r="Q66" s="172">
        <f t="shared" si="19"/>
        <v>0.93750000000000022</v>
      </c>
      <c r="R66" s="442"/>
      <c r="S66" s="28">
        <v>0.15972222222222218</v>
      </c>
      <c r="T66" s="28">
        <v>0.27083333333333326</v>
      </c>
      <c r="U66" s="168">
        <f>(S66-T65)*24*60</f>
        <v>24.99999999999995</v>
      </c>
      <c r="V66" s="169">
        <f t="shared" si="34"/>
        <v>159.99999999999997</v>
      </c>
      <c r="W66" s="16"/>
      <c r="X66" s="16"/>
      <c r="Y66" s="443"/>
      <c r="Z66" s="443"/>
      <c r="AA66" s="12">
        <f t="shared" si="20"/>
        <v>-149.99999999999955</v>
      </c>
      <c r="AB66" s="172">
        <f t="shared" si="21"/>
        <v>0.93750000000000022</v>
      </c>
      <c r="AC66" s="442"/>
    </row>
    <row r="67" spans="1:29" ht="15.75" customHeight="1">
      <c r="A67" s="439" t="s">
        <v>520</v>
      </c>
      <c r="B67" s="178" t="s">
        <v>67</v>
      </c>
      <c r="C67" s="441" t="s">
        <v>101</v>
      </c>
      <c r="D67" s="441"/>
      <c r="E67" s="31">
        <v>25</v>
      </c>
      <c r="F67" s="178">
        <v>4736</v>
      </c>
      <c r="G67" s="168">
        <f t="shared" si="32"/>
        <v>118400</v>
      </c>
      <c r="H67" s="179" t="s">
        <v>103</v>
      </c>
      <c r="I67" s="170">
        <v>15</v>
      </c>
      <c r="J67" s="26">
        <v>2400</v>
      </c>
      <c r="K67" s="10">
        <f t="shared" si="15"/>
        <v>160</v>
      </c>
      <c r="L67" s="19">
        <v>15</v>
      </c>
      <c r="M67" s="11">
        <f t="shared" si="33"/>
        <v>2255.238095238095</v>
      </c>
      <c r="N67" s="10">
        <f t="shared" si="16"/>
        <v>150.34920634920633</v>
      </c>
      <c r="O67" s="12">
        <f t="shared" si="17"/>
        <v>0</v>
      </c>
      <c r="P67" s="13">
        <f t="shared" si="18"/>
        <v>-9.6507936507936734</v>
      </c>
      <c r="Q67" s="172">
        <f t="shared" si="19"/>
        <v>0.93968253968253956</v>
      </c>
      <c r="R67" s="442"/>
      <c r="S67" s="28">
        <v>0.27430555555555547</v>
      </c>
      <c r="T67" s="28">
        <v>0.36180555555555549</v>
      </c>
      <c r="U67" s="168">
        <f>(S67-T66)*24*60</f>
        <v>4.9999999999999822</v>
      </c>
      <c r="V67" s="169">
        <f t="shared" si="34"/>
        <v>126.00000000000003</v>
      </c>
      <c r="W67" s="16"/>
      <c r="X67" s="16"/>
      <c r="Y67" s="443"/>
      <c r="Z67" s="443"/>
      <c r="AA67" s="12">
        <f t="shared" si="20"/>
        <v>-144.76190476190504</v>
      </c>
      <c r="AB67" s="172">
        <f t="shared" si="21"/>
        <v>0.93968253968253956</v>
      </c>
      <c r="AC67" s="442"/>
    </row>
    <row r="68" spans="1:29" ht="15.75" customHeight="1">
      <c r="A68" s="439" t="s">
        <v>520</v>
      </c>
      <c r="B68" s="178" t="s">
        <v>67</v>
      </c>
      <c r="C68" s="441" t="s">
        <v>102</v>
      </c>
      <c r="D68" s="441"/>
      <c r="E68" s="31">
        <v>20.52</v>
      </c>
      <c r="F68" s="178">
        <v>5017</v>
      </c>
      <c r="G68" s="168">
        <f t="shared" si="32"/>
        <v>102948.84</v>
      </c>
      <c r="H68" s="179" t="s">
        <v>103</v>
      </c>
      <c r="I68" s="170">
        <v>18</v>
      </c>
      <c r="J68" s="26">
        <v>2400</v>
      </c>
      <c r="K68" s="10">
        <f t="shared" si="15"/>
        <v>133.33333333333334</v>
      </c>
      <c r="L68" s="19">
        <v>18</v>
      </c>
      <c r="M68" s="11">
        <f t="shared" si="33"/>
        <v>2263.3082706766918</v>
      </c>
      <c r="N68" s="10">
        <f t="shared" si="16"/>
        <v>125.73934837092732</v>
      </c>
      <c r="O68" s="12">
        <f t="shared" si="17"/>
        <v>0</v>
      </c>
      <c r="P68" s="13">
        <f t="shared" si="18"/>
        <v>-7.5939849624060258</v>
      </c>
      <c r="Q68" s="172">
        <f t="shared" si="19"/>
        <v>0.9430451127819548</v>
      </c>
      <c r="R68" s="442"/>
      <c r="S68" s="28">
        <v>0.36736111111111103</v>
      </c>
      <c r="T68" s="28">
        <v>0.45972222222222214</v>
      </c>
      <c r="U68" s="168">
        <f>(S68-T67)*24*60</f>
        <v>7.9999999999999716</v>
      </c>
      <c r="V68" s="169">
        <f t="shared" si="34"/>
        <v>133</v>
      </c>
      <c r="W68" s="16"/>
      <c r="X68" s="16"/>
      <c r="Y68" s="443"/>
      <c r="Z68" s="443"/>
      <c r="AA68" s="12">
        <f t="shared" si="20"/>
        <v>-136.69172932330821</v>
      </c>
      <c r="AB68" s="172">
        <f t="shared" si="21"/>
        <v>0.94304511278195491</v>
      </c>
      <c r="AC68" s="442"/>
    </row>
    <row r="69" spans="1:29" ht="15.75" customHeight="1">
      <c r="A69" s="439" t="s">
        <v>520</v>
      </c>
      <c r="B69" s="178" t="s">
        <v>67</v>
      </c>
      <c r="C69" s="441" t="s">
        <v>71</v>
      </c>
      <c r="D69" s="441"/>
      <c r="E69" s="31">
        <v>22.35</v>
      </c>
      <c r="F69" s="178">
        <v>2257</v>
      </c>
      <c r="G69" s="168">
        <f t="shared" si="32"/>
        <v>50443.950000000004</v>
      </c>
      <c r="H69" s="179" t="s">
        <v>103</v>
      </c>
      <c r="I69" s="170">
        <v>16</v>
      </c>
      <c r="J69" s="26">
        <v>2400</v>
      </c>
      <c r="K69" s="10">
        <f t="shared" ref="K69:K71" si="35">J69/I69</f>
        <v>150</v>
      </c>
      <c r="L69" s="19">
        <v>16</v>
      </c>
      <c r="M69" s="11">
        <f t="shared" si="33"/>
        <v>2257.0000000000023</v>
      </c>
      <c r="N69" s="10">
        <f t="shared" ref="N69:N71" si="36">M69/L69</f>
        <v>141.06250000000014</v>
      </c>
      <c r="O69" s="12">
        <f t="shared" si="17"/>
        <v>0</v>
      </c>
      <c r="P69" s="13">
        <f t="shared" si="18"/>
        <v>-8.9374999999998579</v>
      </c>
      <c r="Q69" s="172">
        <f t="shared" si="19"/>
        <v>0.94041666666666757</v>
      </c>
      <c r="R69" s="442"/>
      <c r="S69" s="28">
        <v>0.46319444444444435</v>
      </c>
      <c r="T69" s="28">
        <v>0.50486111111111098</v>
      </c>
      <c r="U69" s="168">
        <f>(S69-T68)*24*60</f>
        <v>4.9999999999999822</v>
      </c>
      <c r="V69" s="169">
        <f t="shared" si="34"/>
        <v>59.999999999999943</v>
      </c>
      <c r="W69" s="16">
        <f>T69</f>
        <v>0.50486111111111098</v>
      </c>
      <c r="X69" s="16">
        <f>S70</f>
        <v>0.54513888888888873</v>
      </c>
      <c r="Y69" s="443"/>
      <c r="Z69" s="443"/>
      <c r="AA69" s="12">
        <f t="shared" si="20"/>
        <v>-142.99999999999773</v>
      </c>
      <c r="AB69" s="172">
        <f t="shared" si="21"/>
        <v>0.94041666666666757</v>
      </c>
      <c r="AC69" s="442"/>
    </row>
    <row r="70" spans="1:29" ht="15.75" customHeight="1">
      <c r="A70" s="439" t="s">
        <v>520</v>
      </c>
      <c r="B70" s="178" t="s">
        <v>67</v>
      </c>
      <c r="C70" s="441" t="s">
        <v>100</v>
      </c>
      <c r="D70" s="441"/>
      <c r="E70" s="31">
        <v>19.02</v>
      </c>
      <c r="F70" s="178">
        <v>5703</v>
      </c>
      <c r="G70" s="168">
        <f t="shared" si="32"/>
        <v>108471.06</v>
      </c>
      <c r="H70" s="179" t="s">
        <v>103</v>
      </c>
      <c r="I70" s="170">
        <v>15</v>
      </c>
      <c r="J70" s="26">
        <v>2400</v>
      </c>
      <c r="K70" s="10">
        <f t="shared" si="35"/>
        <v>160</v>
      </c>
      <c r="L70" s="19">
        <v>15</v>
      </c>
      <c r="M70" s="11">
        <f t="shared" si="33"/>
        <v>2251.1842105263163</v>
      </c>
      <c r="N70" s="10">
        <f t="shared" si="36"/>
        <v>150.0789473684211</v>
      </c>
      <c r="O70" s="12">
        <f t="shared" si="17"/>
        <v>0</v>
      </c>
      <c r="P70" s="13">
        <f t="shared" si="18"/>
        <v>-9.9210526315789025</v>
      </c>
      <c r="Q70" s="172">
        <f t="shared" si="19"/>
        <v>0.93799342105263184</v>
      </c>
      <c r="R70" s="442"/>
      <c r="S70" s="28">
        <v>0.54513888888888873</v>
      </c>
      <c r="T70" s="28">
        <v>0.65069444444444424</v>
      </c>
      <c r="U70" s="168">
        <f>(S70-T69)*24*60</f>
        <v>57.999999999999957</v>
      </c>
      <c r="V70" s="169">
        <f t="shared" si="34"/>
        <v>151.99999999999994</v>
      </c>
      <c r="W70" s="16"/>
      <c r="X70" s="16"/>
      <c r="Y70" s="443"/>
      <c r="Z70" s="443"/>
      <c r="AA70" s="12">
        <f t="shared" si="20"/>
        <v>-148.81578947368371</v>
      </c>
      <c r="AB70" s="172">
        <f t="shared" si="21"/>
        <v>0.93799342105263184</v>
      </c>
      <c r="AC70" s="442"/>
    </row>
    <row r="71" spans="1:29" ht="16.5" customHeight="1">
      <c r="A71" s="440" t="s">
        <v>518</v>
      </c>
      <c r="B71" s="31" t="s">
        <v>519</v>
      </c>
      <c r="C71" s="446"/>
      <c r="D71" s="446"/>
      <c r="E71" s="171"/>
      <c r="F71" s="33"/>
      <c r="G71" s="10"/>
      <c r="H71" s="178"/>
      <c r="I71" s="19">
        <v>16.333333333333332</v>
      </c>
      <c r="J71" s="26">
        <v>2400</v>
      </c>
      <c r="K71" s="10">
        <f t="shared" si="35"/>
        <v>146.9387755102041</v>
      </c>
      <c r="L71" s="19">
        <v>16.333333333333332</v>
      </c>
      <c r="M71" s="11">
        <f>AVERAGE(M65:M70)</f>
        <v>2257.3374490146939</v>
      </c>
      <c r="N71" s="10">
        <f t="shared" si="36"/>
        <v>138.20433361314454</v>
      </c>
      <c r="O71" s="12">
        <f t="shared" si="17"/>
        <v>0</v>
      </c>
      <c r="P71" s="13">
        <f t="shared" si="18"/>
        <v>-8.7344418970595541</v>
      </c>
      <c r="Q71" s="172">
        <f t="shared" si="19"/>
        <v>0.94055727042278914</v>
      </c>
      <c r="R71" s="442"/>
      <c r="S71" s="28"/>
      <c r="T71" s="28"/>
      <c r="U71" s="10"/>
      <c r="V71" s="169"/>
      <c r="W71" s="10"/>
      <c r="X71" s="10"/>
      <c r="Y71" s="443"/>
      <c r="Z71" s="443"/>
      <c r="AA71" s="12">
        <f t="shared" si="20"/>
        <v>-142.6625509853061</v>
      </c>
      <c r="AB71" s="172">
        <f t="shared" si="21"/>
        <v>0.94055727042278914</v>
      </c>
      <c r="AC71" s="442"/>
    </row>
    <row r="72" spans="1:29">
      <c r="D72" s="22"/>
      <c r="E72" s="22"/>
    </row>
  </sheetData>
  <mergeCells count="190">
    <mergeCell ref="AC65:AC71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A65:A71"/>
    <mergeCell ref="C65:D65"/>
    <mergeCell ref="R65:R71"/>
    <mergeCell ref="Y65:Z65"/>
    <mergeCell ref="Y70:Z70"/>
    <mergeCell ref="C71:D71"/>
    <mergeCell ref="Y71:Z71"/>
    <mergeCell ref="A51:A57"/>
    <mergeCell ref="C51:D51"/>
    <mergeCell ref="R51:R57"/>
    <mergeCell ref="Y51:Z51"/>
    <mergeCell ref="Y61:Z61"/>
    <mergeCell ref="C62:D62"/>
    <mergeCell ref="Y62:Z62"/>
    <mergeCell ref="C63:D63"/>
    <mergeCell ref="Y63:Z63"/>
    <mergeCell ref="A58:A64"/>
    <mergeCell ref="C58:D58"/>
    <mergeCell ref="R58:R64"/>
    <mergeCell ref="Y58:Z58"/>
    <mergeCell ref="C64:D64"/>
    <mergeCell ref="Y64:Z64"/>
    <mergeCell ref="AC51:AC57"/>
    <mergeCell ref="C52:D52"/>
    <mergeCell ref="Y52:Z52"/>
    <mergeCell ref="C53:D53"/>
    <mergeCell ref="C56:D56"/>
    <mergeCell ref="Y56:Z56"/>
    <mergeCell ref="Y47:Z47"/>
    <mergeCell ref="C48:D48"/>
    <mergeCell ref="AC58:AC64"/>
    <mergeCell ref="C59:D59"/>
    <mergeCell ref="Y59:Z59"/>
    <mergeCell ref="C60:D60"/>
    <mergeCell ref="Y60:Z60"/>
    <mergeCell ref="C61:D61"/>
    <mergeCell ref="C57:D57"/>
    <mergeCell ref="Y57:Z57"/>
    <mergeCell ref="C50:D50"/>
    <mergeCell ref="Y50:Z50"/>
    <mergeCell ref="AC43:AC50"/>
    <mergeCell ref="C44:D44"/>
    <mergeCell ref="Y44:Z44"/>
    <mergeCell ref="C45:D45"/>
    <mergeCell ref="Y45:Z45"/>
    <mergeCell ref="C46:D46"/>
    <mergeCell ref="Y46:Z46"/>
    <mergeCell ref="C47:D47"/>
    <mergeCell ref="Y42:Z42"/>
    <mergeCell ref="A43:A50"/>
    <mergeCell ref="C43:D43"/>
    <mergeCell ref="R43:R50"/>
    <mergeCell ref="Y43:Z43"/>
    <mergeCell ref="Y48:Z48"/>
    <mergeCell ref="C49:D49"/>
    <mergeCell ref="Y49:Z49"/>
    <mergeCell ref="A33:A42"/>
    <mergeCell ref="C33:D33"/>
    <mergeCell ref="Y36:Z36"/>
    <mergeCell ref="C37:D37"/>
    <mergeCell ref="Y37:Z37"/>
    <mergeCell ref="C38:D38"/>
    <mergeCell ref="Y38:Z38"/>
    <mergeCell ref="C39:D39"/>
    <mergeCell ref="Y39:Z39"/>
    <mergeCell ref="R33:R42"/>
    <mergeCell ref="Y33:Z33"/>
    <mergeCell ref="C42:D42"/>
    <mergeCell ref="AC25:AC32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AC33:AC42"/>
    <mergeCell ref="C34:D34"/>
    <mergeCell ref="Y34:Z34"/>
    <mergeCell ref="C35:D35"/>
    <mergeCell ref="Y35:Z35"/>
    <mergeCell ref="C36:D36"/>
    <mergeCell ref="C40:D40"/>
    <mergeCell ref="Y40:Z40"/>
    <mergeCell ref="C41:D41"/>
    <mergeCell ref="Y41:Z41"/>
    <mergeCell ref="A25:A32"/>
    <mergeCell ref="C25:D25"/>
    <mergeCell ref="R25:R32"/>
    <mergeCell ref="Y25:Z25"/>
    <mergeCell ref="Y30:Z30"/>
    <mergeCell ref="C31:D31"/>
    <mergeCell ref="Y31:Z31"/>
    <mergeCell ref="C32:D32"/>
    <mergeCell ref="Y32:Z32"/>
    <mergeCell ref="AC19:AC24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C14:AC18"/>
    <mergeCell ref="C15:D15"/>
    <mergeCell ref="Y15:Z15"/>
    <mergeCell ref="C16:D16"/>
    <mergeCell ref="Y16:Z16"/>
    <mergeCell ref="C17:D17"/>
    <mergeCell ref="Y17:Z17"/>
    <mergeCell ref="C18:D18"/>
    <mergeCell ref="Y18:Z18"/>
    <mergeCell ref="A19:A24"/>
    <mergeCell ref="C19:D19"/>
    <mergeCell ref="R19:R24"/>
    <mergeCell ref="Y19:Z19"/>
    <mergeCell ref="Y24:Z24"/>
    <mergeCell ref="A14:A18"/>
    <mergeCell ref="C14:D14"/>
    <mergeCell ref="R14:R18"/>
    <mergeCell ref="Y14:Z14"/>
    <mergeCell ref="AC5:AC8"/>
    <mergeCell ref="C6:D6"/>
    <mergeCell ref="Y6:Z6"/>
    <mergeCell ref="C7:D7"/>
    <mergeCell ref="Y7:Z7"/>
    <mergeCell ref="C8:D8"/>
    <mergeCell ref="Y8:Z8"/>
    <mergeCell ref="AC9:AC13"/>
    <mergeCell ref="C10:D10"/>
    <mergeCell ref="Y10:Z10"/>
    <mergeCell ref="C11:D11"/>
    <mergeCell ref="Y11:Z11"/>
    <mergeCell ref="C12:D12"/>
    <mergeCell ref="A9:A13"/>
    <mergeCell ref="C9:D9"/>
    <mergeCell ref="R9:R13"/>
    <mergeCell ref="Y9:Z9"/>
    <mergeCell ref="C13:D13"/>
    <mergeCell ref="Y13:Z13"/>
    <mergeCell ref="Y12:Z12"/>
    <mergeCell ref="H3:H4"/>
    <mergeCell ref="I3:I4"/>
    <mergeCell ref="J3:J4"/>
    <mergeCell ref="K3:K4"/>
    <mergeCell ref="L3:L4"/>
    <mergeCell ref="M3:M4"/>
    <mergeCell ref="A5:A8"/>
    <mergeCell ref="C5:D5"/>
    <mergeCell ref="R5:R8"/>
    <mergeCell ref="Y5:Z5"/>
    <mergeCell ref="U3:U4"/>
    <mergeCell ref="V3:V4"/>
    <mergeCell ref="W3:X3"/>
    <mergeCell ref="Y3:Z4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AA3:AA4"/>
    <mergeCell ref="AB3:AB4"/>
    <mergeCell ref="AC3:AC4"/>
  </mergeCells>
  <phoneticPr fontId="3" type="noConversion"/>
  <conditionalFormatting sqref="O61:O71 O5:O9 O13:O15 O50:O58 O18:O48">
    <cfRule type="cellIs" dxfId="344" priority="39" operator="greaterThan">
      <formula>0</formula>
    </cfRule>
  </conditionalFormatting>
  <conditionalFormatting sqref="P5:P7 P61:P63 AA61:AA63 P65:P70 P25:P31 P58 P9 P13:P15 P19:P23 P51:P56 P33:P48 AA65:AA71 AA5:AA58">
    <cfRule type="cellIs" dxfId="343" priority="43" operator="lessThan">
      <formula>0</formula>
    </cfRule>
  </conditionalFormatting>
  <conditionalFormatting sqref="AB61:AB63 Q61:Q71 Q5:Q9 Q13:Q15 Q50:Q58 Q18:Q48 AB65:AB71 AB5:AB58">
    <cfRule type="cellIs" dxfId="342" priority="40" operator="greaterThan">
      <formula>1</formula>
    </cfRule>
    <cfRule type="cellIs" dxfId="341" priority="41" operator="lessThan">
      <formula>0.8</formula>
    </cfRule>
  </conditionalFormatting>
  <conditionalFormatting sqref="AC14:AC15 R14:R15 AC61 R18:R40 AC18:AC40 R61:R71 AC5:AC9 R5:R9 R42:R48 AC42:AC48 AC50:AC58 R50:R58">
    <cfRule type="cellIs" dxfId="340" priority="45" operator="lessThan">
      <formula>0.8</formula>
    </cfRule>
  </conditionalFormatting>
  <conditionalFormatting sqref="AC43">
    <cfRule type="cellIs" dxfId="339" priority="47" operator="lessThan">
      <formula>0.8</formula>
    </cfRule>
  </conditionalFormatting>
  <conditionalFormatting sqref="AC19:AC23">
    <cfRule type="cellIs" dxfId="338" priority="44" operator="lessThan">
      <formula>0.8</formula>
    </cfRule>
  </conditionalFormatting>
  <conditionalFormatting sqref="AC25">
    <cfRule type="cellIs" dxfId="337" priority="46" operator="lessThan">
      <formula>0.8</formula>
    </cfRule>
  </conditionalFormatting>
  <conditionalFormatting sqref="AC33:AC40">
    <cfRule type="cellIs" dxfId="336" priority="42" operator="lessThan">
      <formula>0.8</formula>
    </cfRule>
  </conditionalFormatting>
  <conditionalFormatting sqref="AA64">
    <cfRule type="cellIs" dxfId="335" priority="38" operator="lessThan">
      <formula>0</formula>
    </cfRule>
  </conditionalFormatting>
  <conditionalFormatting sqref="AB64">
    <cfRule type="cellIs" dxfId="334" priority="36" operator="greaterThan">
      <formula>1</formula>
    </cfRule>
    <cfRule type="cellIs" dxfId="333" priority="37" operator="lessThan">
      <formula>0.8</formula>
    </cfRule>
  </conditionalFormatting>
  <conditionalFormatting sqref="O16:O17">
    <cfRule type="cellIs" dxfId="332" priority="31" operator="greaterThan">
      <formula>0</formula>
    </cfRule>
  </conditionalFormatting>
  <conditionalFormatting sqref="P16:P17">
    <cfRule type="cellIs" dxfId="331" priority="34" operator="lessThan">
      <formula>0</formula>
    </cfRule>
  </conditionalFormatting>
  <conditionalFormatting sqref="Q16:Q17">
    <cfRule type="cellIs" dxfId="330" priority="32" operator="greaterThan">
      <formula>1</formula>
    </cfRule>
    <cfRule type="cellIs" dxfId="329" priority="33" operator="lessThan">
      <formula>0.8</formula>
    </cfRule>
  </conditionalFormatting>
  <conditionalFormatting sqref="R16:R17 AC16:AC17">
    <cfRule type="cellIs" dxfId="328" priority="35" operator="lessThan">
      <formula>0.8</formula>
    </cfRule>
  </conditionalFormatting>
  <conditionalFormatting sqref="O10:O12">
    <cfRule type="cellIs" dxfId="327" priority="27" operator="greaterThan">
      <formula>0</formula>
    </cfRule>
  </conditionalFormatting>
  <conditionalFormatting sqref="P10:P12">
    <cfRule type="cellIs" dxfId="326" priority="30" operator="lessThan">
      <formula>0</formula>
    </cfRule>
  </conditionalFormatting>
  <conditionalFormatting sqref="Q10:Q12">
    <cfRule type="cellIs" dxfId="325" priority="28" operator="greaterThan">
      <formula>1</formula>
    </cfRule>
    <cfRule type="cellIs" dxfId="324" priority="29" operator="lessThan">
      <formula>0.8</formula>
    </cfRule>
  </conditionalFormatting>
  <conditionalFormatting sqref="R41 AC41">
    <cfRule type="cellIs" dxfId="323" priority="26" operator="lessThan">
      <formula>0.8</formula>
    </cfRule>
  </conditionalFormatting>
  <conditionalFormatting sqref="AC41">
    <cfRule type="cellIs" dxfId="322" priority="25" operator="lessThan">
      <formula>0.8</formula>
    </cfRule>
  </conditionalFormatting>
  <conditionalFormatting sqref="O60">
    <cfRule type="cellIs" dxfId="321" priority="20" operator="greaterThan">
      <formula>0</formula>
    </cfRule>
  </conditionalFormatting>
  <conditionalFormatting sqref="P60 AA60">
    <cfRule type="cellIs" dxfId="320" priority="23" operator="lessThan">
      <formula>0</formula>
    </cfRule>
  </conditionalFormatting>
  <conditionalFormatting sqref="Q60 AB60">
    <cfRule type="cellIs" dxfId="319" priority="21" operator="greaterThan">
      <formula>1</formula>
    </cfRule>
    <cfRule type="cellIs" dxfId="318" priority="22" operator="lessThan">
      <formula>0.8</formula>
    </cfRule>
  </conditionalFormatting>
  <conditionalFormatting sqref="R60 AC60">
    <cfRule type="cellIs" dxfId="317" priority="24" operator="lessThan">
      <formula>0.8</formula>
    </cfRule>
  </conditionalFormatting>
  <conditionalFormatting sqref="O49">
    <cfRule type="cellIs" dxfId="316" priority="14" operator="greaterThan">
      <formula>0</formula>
    </cfRule>
  </conditionalFormatting>
  <conditionalFormatting sqref="P49">
    <cfRule type="cellIs" dxfId="315" priority="18" operator="lessThan">
      <formula>0</formula>
    </cfRule>
  </conditionalFormatting>
  <conditionalFormatting sqref="Q49">
    <cfRule type="cellIs" dxfId="314" priority="15" operator="greaterThan">
      <formula>1</formula>
    </cfRule>
    <cfRule type="cellIs" dxfId="313" priority="16" operator="lessThan">
      <formula>0.8</formula>
    </cfRule>
  </conditionalFormatting>
  <conditionalFormatting sqref="R49 AC49">
    <cfRule type="cellIs" dxfId="312" priority="19" operator="lessThan">
      <formula>0.8</formula>
    </cfRule>
  </conditionalFormatting>
  <conditionalFormatting sqref="AC49">
    <cfRule type="cellIs" dxfId="311" priority="17" operator="lessThan">
      <formula>0.8</formula>
    </cfRule>
  </conditionalFormatting>
  <conditionalFormatting sqref="O59">
    <cfRule type="cellIs" dxfId="310" priority="9" operator="greaterThan">
      <formula>0</formula>
    </cfRule>
  </conditionalFormatting>
  <conditionalFormatting sqref="P59 AA59">
    <cfRule type="cellIs" dxfId="309" priority="12" operator="lessThan">
      <formula>0</formula>
    </cfRule>
  </conditionalFormatting>
  <conditionalFormatting sqref="Q59 AB59">
    <cfRule type="cellIs" dxfId="308" priority="10" operator="greaterThan">
      <formula>1</formula>
    </cfRule>
    <cfRule type="cellIs" dxfId="307" priority="11" operator="lessThan">
      <formula>0.8</formula>
    </cfRule>
  </conditionalFormatting>
  <conditionalFormatting sqref="R59 AC59">
    <cfRule type="cellIs" dxfId="306" priority="13" operator="lessThan">
      <formula>0.8</formula>
    </cfRule>
  </conditionalFormatting>
  <conditionalFormatting sqref="P8">
    <cfRule type="cellIs" dxfId="305" priority="8" operator="lessThan">
      <formula>0</formula>
    </cfRule>
  </conditionalFormatting>
  <conditionalFormatting sqref="P18">
    <cfRule type="cellIs" dxfId="304" priority="7" operator="lessThan">
      <formula>0</formula>
    </cfRule>
  </conditionalFormatting>
  <conditionalFormatting sqref="P24">
    <cfRule type="cellIs" dxfId="303" priority="6" operator="lessThan">
      <formula>0</formula>
    </cfRule>
  </conditionalFormatting>
  <conditionalFormatting sqref="P32">
    <cfRule type="cellIs" dxfId="302" priority="5" operator="lessThan">
      <formula>0</formula>
    </cfRule>
  </conditionalFormatting>
  <conditionalFormatting sqref="P50">
    <cfRule type="cellIs" dxfId="301" priority="4" operator="lessThan">
      <formula>0</formula>
    </cfRule>
  </conditionalFormatting>
  <conditionalFormatting sqref="P57">
    <cfRule type="cellIs" dxfId="300" priority="3" operator="lessThan">
      <formula>0</formula>
    </cfRule>
  </conditionalFormatting>
  <conditionalFormatting sqref="P64">
    <cfRule type="cellIs" dxfId="299" priority="2" operator="lessThan">
      <formula>0</formula>
    </cfRule>
  </conditionalFormatting>
  <conditionalFormatting sqref="P71">
    <cfRule type="cellIs" dxfId="298" priority="1" operator="lessThan">
      <formula>0</formula>
    </cfRule>
  </conditionalFormatting>
  <dataValidations count="1">
    <dataValidation type="list" allowBlank="1" showInputMessage="1" showErrorMessage="1" sqref="Z8 Z62:Z63 Y5:Z7 Y64:Z71 Y8:Y63 Z10:Z5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B1:Q28"/>
  <sheetViews>
    <sheetView zoomScale="70" zoomScaleNormal="70" workbookViewId="0">
      <selection activeCell="B3" sqref="B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411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51" t="s">
        <v>171</v>
      </c>
      <c r="C3" s="493" t="str">
        <f>TEXT('0906 4度C'!A2,"yyyy.mm.ddaaaa")</f>
        <v>2025.09.06星期六</v>
      </c>
      <c r="D3" s="493"/>
      <c r="E3" s="151" t="s">
        <v>412</v>
      </c>
      <c r="F3" s="494">
        <f>'0906 4度C'!D1</f>
        <v>139507</v>
      </c>
      <c r="G3" s="494"/>
      <c r="H3" s="151" t="s">
        <v>413</v>
      </c>
      <c r="I3" s="495">
        <f>'0906 4度C'!F1</f>
        <v>4788156.05</v>
      </c>
      <c r="J3" s="495"/>
      <c r="K3" s="45"/>
      <c r="L3" s="46"/>
      <c r="M3" s="47"/>
      <c r="N3" s="47"/>
    </row>
    <row r="4" spans="2:17" ht="28.5" customHeight="1">
      <c r="B4" s="496" t="s">
        <v>414</v>
      </c>
      <c r="C4" s="496" t="s">
        <v>415</v>
      </c>
      <c r="D4" s="496"/>
      <c r="E4" s="497" t="s">
        <v>416</v>
      </c>
      <c r="F4" s="497"/>
      <c r="G4" s="497" t="s">
        <v>417</v>
      </c>
      <c r="H4" s="497"/>
      <c r="I4" s="497" t="s">
        <v>418</v>
      </c>
      <c r="J4" s="497"/>
      <c r="L4" s="47"/>
      <c r="M4" s="47"/>
      <c r="N4" s="47"/>
    </row>
    <row r="5" spans="2:17" ht="28.5" customHeight="1">
      <c r="B5" s="496"/>
      <c r="C5" s="496" t="s">
        <v>419</v>
      </c>
      <c r="D5" s="496"/>
      <c r="E5" s="496" t="s">
        <v>420</v>
      </c>
      <c r="F5" s="496"/>
      <c r="G5" s="498" t="s">
        <v>421</v>
      </c>
      <c r="H5" s="498"/>
      <c r="I5" s="499" t="s">
        <v>422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144.90532092720258</v>
      </c>
      <c r="F6" s="496">
        <f>AVERAGE(D27:O27,D13:J13)</f>
        <v>148.55593752652575</v>
      </c>
      <c r="G6" s="501">
        <f>AVERAGE(D13:J13)</f>
        <v>148.55593752652575</v>
      </c>
      <c r="H6" s="501"/>
      <c r="I6" s="501">
        <f>AVERAGE(K13:M13)</f>
        <v>136.38721552878181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136.83103484640051</v>
      </c>
      <c r="F7" s="506">
        <f>AVERAGE(D28:O28,D14:J14)</f>
        <v>140.41958597460479</v>
      </c>
      <c r="G7" s="507">
        <f>AVERAGE(D14:J14)</f>
        <v>140.41958597460479</v>
      </c>
      <c r="H7" s="507"/>
      <c r="I7" s="507">
        <f>AVERAGE(K14:M14)</f>
        <v>128.45774888059051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0.94312640213463328</v>
      </c>
      <c r="F8" s="504">
        <f>AVERAGE(D15:J15,D29:O29)</f>
        <v>0.94369158945806431</v>
      </c>
      <c r="G8" s="509">
        <f>AVERAGE(D15:J15)</f>
        <v>0.94369158945806431</v>
      </c>
      <c r="H8" s="509"/>
      <c r="I8" s="509">
        <f>AVERAGE(K15:M15)</f>
        <v>0.9418076317132944</v>
      </c>
      <c r="J8" s="509"/>
      <c r="K8" s="48" t="s">
        <v>423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424</v>
      </c>
      <c r="C10" s="414"/>
      <c r="D10" s="415" t="s">
        <v>425</v>
      </c>
      <c r="E10" s="416"/>
      <c r="F10" s="416"/>
      <c r="G10" s="416"/>
      <c r="H10" s="416"/>
      <c r="I10" s="416"/>
      <c r="J10" s="417"/>
      <c r="K10" s="389" t="s">
        <v>426</v>
      </c>
      <c r="L10" s="390"/>
      <c r="M10" s="391"/>
      <c r="P10" s="51"/>
      <c r="Q10" s="51"/>
    </row>
    <row r="11" spans="2:17" ht="17.25" customHeight="1">
      <c r="B11" s="503" t="s">
        <v>427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428</v>
      </c>
      <c r="C13" s="58" t="s">
        <v>429</v>
      </c>
      <c r="D13" s="59">
        <f>SUMIFS('0906 4度C'!$K:$K,'0906 4度C'!$A:$A,"新豐6線",'0906 4度C'!$B:$B,"平均")</f>
        <v>117.64705882352941</v>
      </c>
      <c r="E13" s="60">
        <f>SUMIFS('0906 4度C'!$K:$K,'0906 4度C'!$A:$A,"新豐2線",'0906 4度C'!$B:$B,"平均")</f>
        <v>81.818181818181827</v>
      </c>
      <c r="F13" s="61">
        <f>SUMIFS('0906 4度C'!$K:$K,'0906 4度C'!$A:$A,"新豐5線",'0906 4度C'!$B:$B,"平均")</f>
        <v>87.5</v>
      </c>
      <c r="G13" s="61">
        <f>SUMIFS('0906 4度C'!$K:$K,'0906 4度C'!$A:$A,"新豐7線",'0906 4度C'!$B:$B,"平均")</f>
        <v>117.64705882352941</v>
      </c>
      <c r="H13" s="61">
        <f>SUMIFS('0906 4度C'!$K:$K,'0906 4度C'!$A:$A,"新豐3線",'0906 4度C'!$B:$B,"平均")</f>
        <v>300</v>
      </c>
      <c r="I13" s="61">
        <f>SUMIFS('0906 4度C'!$K:$K,'0906 4度C'!$A:$A,"新豐1線",'0906 4度C'!$B:$B,"平均")</f>
        <v>116.16161616161617</v>
      </c>
      <c r="J13" s="62">
        <f>SUMIFS('0906 4度C'!$K:$K,'0906 4度C'!$A:$A,"新豐10線",'0906 4度C'!$B:$B,"平均")</f>
        <v>219.11764705882354</v>
      </c>
      <c r="K13" s="63">
        <f>SUMIFS('0906 4度C'!$K:$K,'0906 4度C'!$A:$A,"新豐8線",'0906 4度C'!$B:$B,"平均")</f>
        <v>133.33333333333334</v>
      </c>
      <c r="L13" s="64">
        <f>SUMIFS('0906 4度C'!$K:$K,'0906 4度C'!$A:$A,"新豐9線",'0906 4度C'!$B:$B,"平均")</f>
        <v>131.25</v>
      </c>
      <c r="M13" s="62">
        <f>SUMIFS('0906 4度C'!$K:$K,'0906 4度C'!$A:$A,"新豐4線",'0906 4度C'!$B:$B,"平均")</f>
        <v>144.57831325301203</v>
      </c>
    </row>
    <row r="14" spans="2:17" ht="39.6" customHeight="1">
      <c r="B14" s="515"/>
      <c r="C14" s="65" t="s">
        <v>430</v>
      </c>
      <c r="D14" s="66">
        <f>SUMIFS('0906 4度C'!$N:$N,'0906 4度C'!$A:$A,"新豐6線",'0906 4度C'!$B:$B,"平均")</f>
        <v>110.94982613015401</v>
      </c>
      <c r="E14" s="67">
        <f>SUMIFS('0906 4度C'!$N:$N,'0906 4度C'!$A:$A,"新豐2線",'0906 4度C'!$B:$B,"平均")</f>
        <v>76.925399772052799</v>
      </c>
      <c r="F14" s="67">
        <f>SUMIFS('0906 4度C'!$N:$N,'0906 4度C'!$A:$A,"新豐5線",'0906 4度C'!$B:$B,"平均")</f>
        <v>82.310640556876407</v>
      </c>
      <c r="G14" s="67">
        <f>SUMIFS('0906 4度C'!$N:$N,'0906 4度C'!$A:$A,"新豐7線",'0906 4度C'!$B:$B,"平均")</f>
        <v>110.89400705822392</v>
      </c>
      <c r="H14" s="67">
        <f>SUMIFS('0906 4度C'!$N:$N,'0906 4度C'!$A:$A,"新豐3線",'0906 4度C'!$B:$B,"平均")</f>
        <v>284.02837107763764</v>
      </c>
      <c r="I14" s="67">
        <f>SUMIFS('0906 4度C'!$N:$N,'0906 4度C'!$A:$A,"新豐1線",'0906 4度C'!$B:$B,"平均")</f>
        <v>109.27754856152977</v>
      </c>
      <c r="J14" s="68">
        <f>SUMIFS('0906 4度C'!$N:$N,'0906 4度C'!$A:$A,"新豐10線",'0906 4度C'!$B:$B,"平均")</f>
        <v>208.5513086657588</v>
      </c>
      <c r="K14" s="69">
        <f>SUMIFS('0906 4度C'!$N:$N,'0906 4度C'!$A:$A,"新豐8線",'0906 4度C'!$B:$B,"平均")</f>
        <v>125.21795843885801</v>
      </c>
      <c r="L14" s="70">
        <f>SUMIFS('0906 4度C'!$N:$N,'0906 4度C'!$A:$A,"新豐9線",'0906 4度C'!$B:$B,"平均")</f>
        <v>123.69469371825232</v>
      </c>
      <c r="M14" s="68">
        <f>SUMIFS('0906 4度C'!$N:$N,'0906 4度C'!$A:$A,"新豐4線",'0906 4度C'!$B:$B,"平均")</f>
        <v>136.46059448466121</v>
      </c>
    </row>
    <row r="15" spans="2:17" ht="40.15" customHeight="1">
      <c r="B15" s="515"/>
      <c r="C15" s="71" t="s">
        <v>431</v>
      </c>
      <c r="D15" s="72">
        <f t="shared" ref="D15:M15" si="0">D14/D13</f>
        <v>0.94307352210630913</v>
      </c>
      <c r="E15" s="73">
        <f t="shared" si="0"/>
        <v>0.94019933054731186</v>
      </c>
      <c r="F15" s="73">
        <f t="shared" si="0"/>
        <v>0.94069303493573042</v>
      </c>
      <c r="G15" s="73">
        <f t="shared" si="0"/>
        <v>0.94259905999490334</v>
      </c>
      <c r="H15" s="73">
        <f t="shared" si="0"/>
        <v>0.94676123692545877</v>
      </c>
      <c r="I15" s="73">
        <f t="shared" si="0"/>
        <v>0.9407371571818649</v>
      </c>
      <c r="J15" s="74">
        <f t="shared" si="0"/>
        <v>0.95177778451487238</v>
      </c>
      <c r="K15" s="72">
        <f t="shared" si="0"/>
        <v>0.93913468829143498</v>
      </c>
      <c r="L15" s="73">
        <f t="shared" si="0"/>
        <v>0.9424357616628749</v>
      </c>
      <c r="M15" s="74">
        <f t="shared" si="0"/>
        <v>0.94385244518557354</v>
      </c>
    </row>
    <row r="16" spans="2:17" ht="17.25" customHeight="1">
      <c r="B16" s="502" t="s">
        <v>432</v>
      </c>
      <c r="C16" s="150" t="s">
        <v>433</v>
      </c>
      <c r="D16" s="76">
        <f>VLOOKUP("新豐6線",'0906 4度C'!$A:$T,19,0)</f>
        <v>0.70833333333333337</v>
      </c>
      <c r="E16" s="28">
        <f>VLOOKUP("新豐2線",'0906 4度C'!$A:$T,19,0)</f>
        <v>8.3333333333333329E-2</v>
      </c>
      <c r="F16" s="28">
        <f>VLOOKUP("新豐5線",'0906 4度C'!$A:$T,19,0)</f>
        <v>0.20833333333333334</v>
      </c>
      <c r="G16" s="28">
        <f>VLOOKUP("新豐7線",'0906 4度C'!$A:$T,19,0)</f>
        <v>0.20833333333333334</v>
      </c>
      <c r="H16" s="28">
        <f>VLOOKUP("新豐3線",'0906 4度C'!$A:$T,19,0)</f>
        <v>8.3333333333333329E-2</v>
      </c>
      <c r="I16" s="28">
        <f>VLOOKUP("新豐1線",'0906 4度C'!$A:$T,19,0)</f>
        <v>0.25</v>
      </c>
      <c r="J16" s="77">
        <f>VLOOKUP("新豐10線",'0906 4度C'!$A:$T,19,0)</f>
        <v>0.125</v>
      </c>
      <c r="K16" s="78">
        <f>VLOOKUP("新豐8線",'0906 4度C'!$A:$T,19,0)</f>
        <v>8.3333333333333329E-2</v>
      </c>
      <c r="L16" s="79">
        <f>VLOOKUP("新豐9線",'0906 4度C'!$A:$T,19,0)</f>
        <v>0.125</v>
      </c>
      <c r="M16" s="80">
        <f>VLOOKUP("新豐4線",'0906 4度C'!$A:$T,19,0)</f>
        <v>8.3333333333333329E-2</v>
      </c>
    </row>
    <row r="17" spans="2:13" ht="17.25" customHeight="1">
      <c r="B17" s="503"/>
      <c r="C17" s="150" t="s">
        <v>434</v>
      </c>
      <c r="D17" s="78">
        <f>LOOKUP(2,1/(('0906 4度C'!$A:$A="新豐6線")*('0906 4度C'!$T:$T&lt;&gt;"")),'0906 4度C'!$T:$T)</f>
        <v>0.82777777777777772</v>
      </c>
      <c r="E17" s="28">
        <f>LOOKUP(2,1/(('0906 4度C'!$A:$A="新豐2線")*('0906 4度C'!$T:$T&lt;&gt;"")),'0906 4度C'!$T:$T)</f>
        <v>0.45069444444444445</v>
      </c>
      <c r="F17" s="28">
        <f>LOOKUP(2,1/(('0906 4度C'!$A:$A="新豐5線")*('0906 4度C'!$T:$T&lt;&gt;"")),'0906 4度C'!$T:$T)</f>
        <v>0.82847222222222228</v>
      </c>
      <c r="G17" s="28">
        <f>LOOKUP(2,1/(('0906 4度C'!$A:$A="新豐7線")*('0906 4度C'!$T:$T&lt;&gt;"")),'0906 4度C'!$T:$T)</f>
        <v>0.79305555555555551</v>
      </c>
      <c r="H17" s="28">
        <f>LOOKUP(2,1/(('0906 4度C'!$A:$A="新豐3線")*('0906 4度C'!$T:$T&lt;&gt;"")),'0906 4度C'!$T:$T)</f>
        <v>0.41736111111111102</v>
      </c>
      <c r="I17" s="28">
        <f>LOOKUP(2,1/(('0906 4度C'!$A:$A="新豐1線")*('0906 4度C'!$T:$T&lt;&gt;"")),'0906 4度C'!$T:$T)</f>
        <v>0.83888888888888891</v>
      </c>
      <c r="J17" s="77">
        <f>LOOKUP(2,1/(('0906 4度C'!$A:$A="新豐10線")*('0906 4度C'!$T:$T&lt;&gt;"")),'0906 4度C'!$T:$T)</f>
        <v>0.37777777777777777</v>
      </c>
      <c r="K17" s="76">
        <f>LOOKUP(2,1/(('0906 4度C'!$A:$A="新豐8線")*('0906 4度C'!$T:$T&lt;&gt;"")),'0906 4度C'!$T:$T)</f>
        <v>0.52986111111111112</v>
      </c>
      <c r="L17" s="28">
        <f>LOOKUP(2,1/(('0906 4度C'!$A:$A="新豐9線")*('0906 4度C'!$T:$T&lt;&gt;"")),'0906 4度C'!$T:$T)</f>
        <v>0.57847222222222205</v>
      </c>
      <c r="M17" s="77">
        <f>LOOKUP(2,1/(('0906 4度C'!$A:$A="新豐4線")*('0906 4度C'!$T:$T&lt;&gt;"")),'0906 4度C'!$T:$T)</f>
        <v>0.44652777777777775</v>
      </c>
    </row>
    <row r="18" spans="2:13" ht="17.25" customHeight="1">
      <c r="B18" s="503" t="s">
        <v>435</v>
      </c>
      <c r="C18" s="514"/>
      <c r="D18" s="81">
        <f>SUMIFS('0906 4度C'!$I:$I,'0906 4度C'!$A:$A,"新豐6線",'0906 4度C'!$B:$B,"平均")</f>
        <v>17</v>
      </c>
      <c r="E18" s="82">
        <f>SUMIFS('0906 4度C'!$I:$I,'0906 4度C'!$A:$A,"新豐2線",'0906 4度C'!$B:$B,"平均")</f>
        <v>18.333333333333332</v>
      </c>
      <c r="F18" s="82">
        <f>SUMIFS('0906 4度C'!$I:$I,'0906 4度C'!$A:$A,"新豐5線",'0906 4度C'!$B:$B,"平均")</f>
        <v>20</v>
      </c>
      <c r="G18" s="82">
        <f>SUMIFS('0906 4度C'!$I:$I,'0906 4度C'!$A:$A,"新豐7線",'0906 4度C'!$B:$B,"平均")</f>
        <v>17</v>
      </c>
      <c r="H18" s="82">
        <f>SUMIFS('0906 4度C'!$I:$I,'0906 4度C'!$A:$A,"新豐3線",'0906 4度C'!$B:$B,"平均")</f>
        <v>10</v>
      </c>
      <c r="I18" s="82">
        <f>SUMIFS('0906 4度C'!$I:$I,'0906 4度C'!$A:$A,"新豐1線",'0906 4度C'!$B:$B,"平均")</f>
        <v>16.5</v>
      </c>
      <c r="J18" s="83">
        <f>SUMIFS('0906 4度C'!$I:$I,'0906 4度C'!$A:$A,"新豐10線",'0906 4度C'!$B:$B,"平均")</f>
        <v>11.333333333333334</v>
      </c>
      <c r="K18" s="81">
        <f>SUMIFS('0906 4度C'!$I:$I,'0906 4度C'!$A:$A,"新豐8線",'0906 4度C'!$B:$B,"平均")</f>
        <v>18</v>
      </c>
      <c r="L18" s="82">
        <f>SUMIFS('0906 4度C'!$I:$I,'0906 4度C'!$A:$A,"新豐9線",'0906 4度C'!$B:$B,"平均")</f>
        <v>18.285714285714285</v>
      </c>
      <c r="M18" s="83">
        <f>SUMIFS('0906 4度C'!$I:$I,'0906 4度C'!$A:$A,"新豐4線",'0906 4度C'!$B:$B,"平均")</f>
        <v>16.600000000000001</v>
      </c>
    </row>
    <row r="19" spans="2:13" ht="17.25" customHeight="1">
      <c r="B19" s="510" t="s">
        <v>147</v>
      </c>
      <c r="C19" s="511"/>
      <c r="D19" s="84" t="s">
        <v>148</v>
      </c>
      <c r="E19" s="85" t="s">
        <v>149</v>
      </c>
      <c r="F19" s="85" t="s">
        <v>436</v>
      </c>
      <c r="G19" s="85" t="s">
        <v>436</v>
      </c>
      <c r="H19" s="85" t="s">
        <v>151</v>
      </c>
      <c r="I19" s="85" t="s">
        <v>148</v>
      </c>
      <c r="J19" s="86" t="s">
        <v>151</v>
      </c>
      <c r="K19" s="84" t="s">
        <v>437</v>
      </c>
      <c r="L19" s="85" t="s">
        <v>437</v>
      </c>
      <c r="M19" s="86" t="s">
        <v>438</v>
      </c>
    </row>
    <row r="20" spans="2:13" ht="17.25" customHeight="1">
      <c r="B20" s="510" t="s">
        <v>439</v>
      </c>
      <c r="C20" s="511"/>
      <c r="D20" s="84"/>
      <c r="E20" s="85"/>
      <c r="F20" s="85" t="s">
        <v>440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441</v>
      </c>
      <c r="C21" s="513"/>
      <c r="D21" s="87"/>
      <c r="E21" s="88" t="s">
        <v>442</v>
      </c>
      <c r="F21" s="387" t="s">
        <v>443</v>
      </c>
      <c r="G21" s="388"/>
      <c r="H21" s="88" t="s">
        <v>444</v>
      </c>
      <c r="I21" s="88" t="s">
        <v>445</v>
      </c>
      <c r="J21" s="89" t="s">
        <v>446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9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>
    <pageSetUpPr fitToPage="1"/>
  </sheetPr>
  <dimension ref="A1:AC66"/>
  <sheetViews>
    <sheetView zoomScale="80" zoomScaleNormal="80" workbookViewId="0">
      <pane ySplit="4" topLeftCell="A56" activePane="bottomLeft" state="frozen"/>
      <selection activeCell="K26" sqref="K26"/>
      <selection pane="bottomLeft" activeCell="H1" sqref="H1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447</v>
      </c>
      <c r="B1" s="1"/>
      <c r="C1" s="2" t="s">
        <v>448</v>
      </c>
      <c r="D1" s="3">
        <f>SUM(F5:F65)</f>
        <v>139507</v>
      </c>
      <c r="E1" s="153" t="s">
        <v>449</v>
      </c>
      <c r="F1" s="1">
        <f>SUM(G5:G65)</f>
        <v>4788156.05</v>
      </c>
      <c r="G1" s="1" t="s">
        <v>450</v>
      </c>
      <c r="H1" s="106">
        <f>L8+L12+L45+L52+L17+L59+L29+L37+L23+L65</f>
        <v>163.05238095238093</v>
      </c>
      <c r="I1" s="482" t="s">
        <v>451</v>
      </c>
      <c r="J1" s="482"/>
      <c r="K1" s="482"/>
      <c r="L1" s="482" t="s">
        <v>452</v>
      </c>
      <c r="M1" s="482"/>
      <c r="N1" s="482"/>
      <c r="O1" s="482" t="s">
        <v>453</v>
      </c>
      <c r="P1" s="482"/>
      <c r="Q1" s="482"/>
      <c r="R1" s="482"/>
      <c r="S1" s="482" t="s">
        <v>454</v>
      </c>
      <c r="T1" s="482"/>
      <c r="U1" s="482"/>
      <c r="V1" s="482"/>
      <c r="W1" s="482"/>
      <c r="X1" s="482"/>
      <c r="Y1" s="482" t="s">
        <v>455</v>
      </c>
      <c r="Z1" s="482"/>
      <c r="AA1" s="482" t="s">
        <v>456</v>
      </c>
      <c r="AB1" s="483"/>
      <c r="AC1" s="483"/>
    </row>
    <row r="2" spans="1:29" ht="26.25" customHeight="1">
      <c r="A2" s="24">
        <v>45906</v>
      </c>
      <c r="B2" s="25" t="s">
        <v>457</v>
      </c>
      <c r="C2" s="2" t="s">
        <v>458</v>
      </c>
      <c r="D2" s="6">
        <f>AVERAGE(N8,N12,N45,N52,N17,N59,N23,N29,N37,N65)</f>
        <v>136.83103484640051</v>
      </c>
      <c r="E2" s="7" t="s">
        <v>11</v>
      </c>
      <c r="F2" s="8">
        <f>F1/D1</f>
        <v>34.321977033410505</v>
      </c>
      <c r="G2" s="1" t="s">
        <v>459</v>
      </c>
      <c r="H2" s="163">
        <f>COUNT(H5:H65)</f>
        <v>1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460</v>
      </c>
      <c r="B3" s="443" t="s">
        <v>461</v>
      </c>
      <c r="C3" s="443" t="s">
        <v>462</v>
      </c>
      <c r="D3" s="443"/>
      <c r="E3" s="484" t="s">
        <v>463</v>
      </c>
      <c r="F3" s="443" t="s">
        <v>464</v>
      </c>
      <c r="G3" s="484" t="s">
        <v>465</v>
      </c>
      <c r="H3" s="476" t="s">
        <v>466</v>
      </c>
      <c r="I3" s="474" t="s">
        <v>467</v>
      </c>
      <c r="J3" s="479" t="s">
        <v>468</v>
      </c>
      <c r="K3" s="481" t="s">
        <v>458</v>
      </c>
      <c r="L3" s="474" t="s">
        <v>467</v>
      </c>
      <c r="M3" s="479" t="s">
        <v>469</v>
      </c>
      <c r="N3" s="481" t="s">
        <v>470</v>
      </c>
      <c r="O3" s="474" t="s">
        <v>467</v>
      </c>
      <c r="P3" s="481" t="s">
        <v>470</v>
      </c>
      <c r="Q3" s="480" t="s">
        <v>471</v>
      </c>
      <c r="R3" s="451" t="s">
        <v>472</v>
      </c>
      <c r="S3" s="443" t="s">
        <v>25</v>
      </c>
      <c r="T3" s="443"/>
      <c r="U3" s="476" t="s">
        <v>26</v>
      </c>
      <c r="V3" s="476" t="s">
        <v>473</v>
      </c>
      <c r="W3" s="443" t="s">
        <v>474</v>
      </c>
      <c r="X3" s="443"/>
      <c r="Y3" s="477" t="s">
        <v>475</v>
      </c>
      <c r="Z3" s="478"/>
      <c r="AA3" s="479" t="s">
        <v>468</v>
      </c>
      <c r="AB3" s="480" t="s">
        <v>476</v>
      </c>
      <c r="AC3" s="451" t="s">
        <v>477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153" t="s">
        <v>31</v>
      </c>
      <c r="T4" s="153" t="s">
        <v>32</v>
      </c>
      <c r="U4" s="476"/>
      <c r="V4" s="476"/>
      <c r="W4" s="153" t="s">
        <v>478</v>
      </c>
      <c r="X4" s="153" t="s">
        <v>479</v>
      </c>
      <c r="Y4" s="478"/>
      <c r="Z4" s="478"/>
      <c r="AA4" s="479"/>
      <c r="AB4" s="480"/>
      <c r="AC4" s="451"/>
    </row>
    <row r="5" spans="1:29">
      <c r="A5" s="473" t="s">
        <v>480</v>
      </c>
      <c r="B5" s="31" t="s">
        <v>58</v>
      </c>
      <c r="C5" s="475" t="s">
        <v>104</v>
      </c>
      <c r="D5" s="475"/>
      <c r="E5" s="31">
        <v>46.93</v>
      </c>
      <c r="F5" s="164">
        <v>947</v>
      </c>
      <c r="G5" s="153">
        <f>E5*F5</f>
        <v>44442.71</v>
      </c>
      <c r="H5" s="160" t="s">
        <v>103</v>
      </c>
      <c r="I5" s="161">
        <v>17</v>
      </c>
      <c r="J5" s="26">
        <v>2000</v>
      </c>
      <c r="K5" s="10">
        <f>J5/I5</f>
        <v>117.64705882352941</v>
      </c>
      <c r="L5" s="161">
        <v>17</v>
      </c>
      <c r="M5" s="11">
        <f>F5/V5*60</f>
        <v>1893.9999999999966</v>
      </c>
      <c r="N5" s="10">
        <f>M5/L5</f>
        <v>111.41176470588215</v>
      </c>
      <c r="O5" s="12">
        <f t="shared" ref="O5:O7" si="0">L5-I5</f>
        <v>0</v>
      </c>
      <c r="P5" s="13">
        <f t="shared" ref="P5:P7" si="1">N5-K5</f>
        <v>-6.2352941176472569</v>
      </c>
      <c r="Q5" s="152">
        <f>N5/K5</f>
        <v>0.94699999999999829</v>
      </c>
      <c r="R5" s="442">
        <f>Q8</f>
        <v>0.94307352210630913</v>
      </c>
      <c r="S5" s="28">
        <v>0.70833333333333337</v>
      </c>
      <c r="T5" s="28">
        <v>0.72916666666666674</v>
      </c>
      <c r="U5" s="153"/>
      <c r="V5" s="162">
        <f>(T5-S5)*24*60</f>
        <v>30.000000000000053</v>
      </c>
      <c r="W5" s="16"/>
      <c r="X5" s="17"/>
      <c r="Y5" s="443"/>
      <c r="Z5" s="443"/>
      <c r="AA5" s="12">
        <f t="shared" ref="AA5:AA65" si="2">M5-J5</f>
        <v>-106.00000000000341</v>
      </c>
      <c r="AB5" s="152">
        <f t="shared" ref="AB5:AB7" si="3">M5/J5</f>
        <v>0.94699999999999829</v>
      </c>
      <c r="AC5" s="442">
        <f>AB8</f>
        <v>0.94307352210630901</v>
      </c>
    </row>
    <row r="6" spans="1:29">
      <c r="A6" s="474" t="s">
        <v>481</v>
      </c>
      <c r="B6" s="31" t="s">
        <v>58</v>
      </c>
      <c r="C6" s="475" t="s">
        <v>105</v>
      </c>
      <c r="D6" s="475"/>
      <c r="E6" s="31">
        <v>50.49</v>
      </c>
      <c r="F6" s="164">
        <v>2070</v>
      </c>
      <c r="G6" s="153">
        <f t="shared" ref="G6:G7" si="4">E6*F6</f>
        <v>104514.3</v>
      </c>
      <c r="H6" s="160" t="s">
        <v>103</v>
      </c>
      <c r="I6" s="161">
        <v>16</v>
      </c>
      <c r="J6" s="26">
        <v>2000</v>
      </c>
      <c r="K6" s="10">
        <f t="shared" ref="K6:K7" si="5">J6/I6</f>
        <v>125</v>
      </c>
      <c r="L6" s="161">
        <v>16</v>
      </c>
      <c r="M6" s="11">
        <f>F6/V6*60</f>
        <v>1881.818181818184</v>
      </c>
      <c r="N6" s="10">
        <f t="shared" ref="N6:N7" si="6">M6/L6</f>
        <v>117.6136363636365</v>
      </c>
      <c r="O6" s="12">
        <f t="shared" si="0"/>
        <v>0</v>
      </c>
      <c r="P6" s="13">
        <f t="shared" si="1"/>
        <v>-7.3863636363634981</v>
      </c>
      <c r="Q6" s="152">
        <f t="shared" ref="Q6:Q7" si="7">N6/K6</f>
        <v>0.94090909090909203</v>
      </c>
      <c r="R6" s="442"/>
      <c r="S6" s="28">
        <v>0.73402777777777783</v>
      </c>
      <c r="T6" s="28">
        <v>0.77986111111111112</v>
      </c>
      <c r="U6" s="153">
        <f>(S6-T5)*24*60</f>
        <v>6.9999999999999751</v>
      </c>
      <c r="V6" s="162">
        <f>(T6-S6)*24*60</f>
        <v>65.999999999999929</v>
      </c>
      <c r="W6" s="16"/>
      <c r="X6" s="16"/>
      <c r="Y6" s="443"/>
      <c r="Z6" s="443"/>
      <c r="AA6" s="12">
        <f t="shared" si="2"/>
        <v>-118.18181818181597</v>
      </c>
      <c r="AB6" s="152">
        <f t="shared" si="3"/>
        <v>0.94090909090909203</v>
      </c>
      <c r="AC6" s="442"/>
    </row>
    <row r="7" spans="1:29">
      <c r="A7" s="474" t="s">
        <v>482</v>
      </c>
      <c r="B7" s="31" t="s">
        <v>58</v>
      </c>
      <c r="C7" s="471" t="s">
        <v>106</v>
      </c>
      <c r="D7" s="472"/>
      <c r="E7" s="31">
        <v>50.67</v>
      </c>
      <c r="F7" s="164">
        <v>1914</v>
      </c>
      <c r="G7" s="153">
        <f t="shared" si="4"/>
        <v>96982.38</v>
      </c>
      <c r="H7" s="160" t="s">
        <v>103</v>
      </c>
      <c r="I7" s="161">
        <v>18</v>
      </c>
      <c r="J7" s="26">
        <v>2000</v>
      </c>
      <c r="K7" s="10">
        <f t="shared" si="5"/>
        <v>111.11111111111111</v>
      </c>
      <c r="L7" s="161">
        <v>18</v>
      </c>
      <c r="M7" s="11">
        <f t="shared" ref="M7" si="8">F7/V7*60</f>
        <v>1882.6229508196739</v>
      </c>
      <c r="N7" s="10">
        <f t="shared" si="6"/>
        <v>104.59016393442633</v>
      </c>
      <c r="O7" s="12">
        <f t="shared" si="0"/>
        <v>0</v>
      </c>
      <c r="P7" s="13">
        <f t="shared" si="1"/>
        <v>-6.5209471766847855</v>
      </c>
      <c r="Q7" s="152">
        <f t="shared" si="7"/>
        <v>0.94131147540983695</v>
      </c>
      <c r="R7" s="442"/>
      <c r="S7" s="28">
        <v>0.78541666666666665</v>
      </c>
      <c r="T7" s="28">
        <v>0.82777777777777772</v>
      </c>
      <c r="U7" s="153">
        <f t="shared" ref="U7" si="9">(S7-T6)*24*60</f>
        <v>7.9999999999999716</v>
      </c>
      <c r="V7" s="162">
        <f t="shared" ref="V7" si="10">(T7-S7)*24*60</f>
        <v>60.999999999999943</v>
      </c>
      <c r="W7" s="16"/>
      <c r="X7" s="16"/>
      <c r="Y7" s="447"/>
      <c r="Z7" s="448"/>
      <c r="AA7" s="12">
        <f t="shared" si="2"/>
        <v>-117.37704918032614</v>
      </c>
      <c r="AB7" s="152">
        <f t="shared" si="3"/>
        <v>0.94131147540983695</v>
      </c>
      <c r="AC7" s="442"/>
    </row>
    <row r="8" spans="1:29">
      <c r="A8" s="474" t="s">
        <v>480</v>
      </c>
      <c r="B8" s="31" t="s">
        <v>483</v>
      </c>
      <c r="C8" s="446"/>
      <c r="D8" s="446"/>
      <c r="E8" s="158"/>
      <c r="F8" s="33"/>
      <c r="G8" s="10"/>
      <c r="H8" s="164"/>
      <c r="I8" s="19">
        <v>17</v>
      </c>
      <c r="J8" s="26">
        <v>2000</v>
      </c>
      <c r="K8" s="10">
        <f>J8/I8</f>
        <v>117.64705882352941</v>
      </c>
      <c r="L8" s="19">
        <v>17</v>
      </c>
      <c r="M8" s="11">
        <f>AVERAGE(M5:M7)</f>
        <v>1886.1470442126181</v>
      </c>
      <c r="N8" s="10">
        <f>M8/L8</f>
        <v>110.94982613015401</v>
      </c>
      <c r="O8" s="12">
        <f>L8-I8</f>
        <v>0</v>
      </c>
      <c r="P8" s="13">
        <f>N8-K8</f>
        <v>-6.6972326933753976</v>
      </c>
      <c r="Q8" s="152">
        <f>N8/K8</f>
        <v>0.94307352210630913</v>
      </c>
      <c r="R8" s="442"/>
      <c r="S8" s="28"/>
      <c r="T8" s="28"/>
      <c r="U8" s="153"/>
      <c r="V8" s="162"/>
      <c r="W8" s="10"/>
      <c r="X8" s="10"/>
      <c r="Y8" s="443"/>
      <c r="Z8" s="443"/>
      <c r="AA8" s="12">
        <f t="shared" si="2"/>
        <v>-113.85295578738192</v>
      </c>
      <c r="AB8" s="152">
        <f>M8/J8</f>
        <v>0.94307352210630901</v>
      </c>
      <c r="AC8" s="442"/>
    </row>
    <row r="9" spans="1:29" ht="15.75" customHeight="1">
      <c r="A9" s="439" t="s">
        <v>484</v>
      </c>
      <c r="B9" s="31" t="s">
        <v>53</v>
      </c>
      <c r="C9" s="471" t="s">
        <v>107</v>
      </c>
      <c r="D9" s="472"/>
      <c r="E9" s="31">
        <v>39.619999999999997</v>
      </c>
      <c r="F9" s="164">
        <v>3706</v>
      </c>
      <c r="G9" s="153">
        <f t="shared" ref="G9:G11" si="11">E9*F9</f>
        <v>146831.72</v>
      </c>
      <c r="H9" s="160" t="s">
        <v>103</v>
      </c>
      <c r="I9" s="161">
        <v>19</v>
      </c>
      <c r="J9" s="26">
        <v>1500</v>
      </c>
      <c r="K9" s="10">
        <f t="shared" ref="K9:K11" si="12">J9/I9</f>
        <v>78.94736842105263</v>
      </c>
      <c r="L9" s="161">
        <v>19</v>
      </c>
      <c r="M9" s="11">
        <f t="shared" ref="M9:M11" si="13">F9/V9*60</f>
        <v>1407.341772151899</v>
      </c>
      <c r="N9" s="10">
        <f t="shared" ref="N9:N11" si="14">M9/L9</f>
        <v>74.070619586942058</v>
      </c>
      <c r="O9" s="12">
        <f t="shared" ref="O9:O11" si="15">L9-I9</f>
        <v>0</v>
      </c>
      <c r="P9" s="13">
        <f>N9-K9</f>
        <v>-4.8767488341105718</v>
      </c>
      <c r="Q9" s="152">
        <f>N9/K9</f>
        <v>0.93822784810126614</v>
      </c>
      <c r="R9" s="442">
        <f>Q12</f>
        <v>0.94019933054731186</v>
      </c>
      <c r="S9" s="28">
        <v>8.3333333333333329E-2</v>
      </c>
      <c r="T9" s="28">
        <v>0.19305555555555554</v>
      </c>
      <c r="U9" s="153"/>
      <c r="V9" s="162">
        <f t="shared" ref="V9:V11" si="16">(T9-S9)*24*60</f>
        <v>157.99999999999997</v>
      </c>
      <c r="W9" s="16">
        <f>T9</f>
        <v>0.19305555555555554</v>
      </c>
      <c r="X9" s="16">
        <f>S10</f>
        <v>0.21458333333333332</v>
      </c>
      <c r="Y9" s="443"/>
      <c r="Z9" s="443"/>
      <c r="AA9" s="12">
        <f t="shared" si="2"/>
        <v>-92.658227848100978</v>
      </c>
      <c r="AB9" s="152">
        <f>M9/J9</f>
        <v>0.93822784810126603</v>
      </c>
      <c r="AC9" s="442">
        <f>AB12</f>
        <v>0.94019933054731197</v>
      </c>
    </row>
    <row r="10" spans="1:29" ht="15.75" customHeight="1">
      <c r="A10" s="439" t="s">
        <v>484</v>
      </c>
      <c r="B10" s="31" t="s">
        <v>53</v>
      </c>
      <c r="C10" s="471" t="s">
        <v>54</v>
      </c>
      <c r="D10" s="472"/>
      <c r="E10" s="31">
        <v>39.799999999999997</v>
      </c>
      <c r="F10" s="164">
        <v>4908</v>
      </c>
      <c r="G10" s="153">
        <f t="shared" si="11"/>
        <v>195338.4</v>
      </c>
      <c r="H10" s="160" t="s">
        <v>103</v>
      </c>
      <c r="I10" s="161">
        <v>17</v>
      </c>
      <c r="J10" s="26">
        <v>1500</v>
      </c>
      <c r="K10" s="10">
        <f t="shared" si="12"/>
        <v>88.235294117647058</v>
      </c>
      <c r="L10" s="161">
        <v>17</v>
      </c>
      <c r="M10" s="11">
        <f t="shared" si="13"/>
        <v>1408.9952153110048</v>
      </c>
      <c r="N10" s="10">
        <f t="shared" si="14"/>
        <v>82.88207148888263</v>
      </c>
      <c r="O10" s="12">
        <f t="shared" si="15"/>
        <v>0</v>
      </c>
      <c r="P10" s="13">
        <f t="shared" ref="P10:P11" si="17">N10-K10</f>
        <v>-5.3532226287644278</v>
      </c>
      <c r="Q10" s="152">
        <f t="shared" ref="Q10:Q11" si="18">N10/K10</f>
        <v>0.93933014354066979</v>
      </c>
      <c r="R10" s="442"/>
      <c r="S10" s="28">
        <v>0.21458333333333332</v>
      </c>
      <c r="T10" s="28">
        <v>0.35972222222222222</v>
      </c>
      <c r="U10" s="153">
        <f>(S10-T9)*24*60</f>
        <v>31.000000000000011</v>
      </c>
      <c r="V10" s="162">
        <f t="shared" si="16"/>
        <v>209</v>
      </c>
      <c r="W10" s="16"/>
      <c r="X10" s="16"/>
      <c r="Y10" s="443"/>
      <c r="Z10" s="443"/>
      <c r="AA10" s="12">
        <f t="shared" si="2"/>
        <v>-91.004784688995187</v>
      </c>
      <c r="AB10" s="152">
        <f t="shared" ref="AB10:AB23" si="19">M10/J10</f>
        <v>0.9393301435406699</v>
      </c>
      <c r="AC10" s="442"/>
    </row>
    <row r="11" spans="1:29" ht="15.75" customHeight="1">
      <c r="A11" s="439" t="s">
        <v>484</v>
      </c>
      <c r="B11" s="31" t="s">
        <v>53</v>
      </c>
      <c r="C11" s="471" t="s">
        <v>55</v>
      </c>
      <c r="D11" s="472"/>
      <c r="E11" s="31">
        <v>39.29</v>
      </c>
      <c r="F11" s="164">
        <v>2947</v>
      </c>
      <c r="G11" s="153">
        <f t="shared" si="11"/>
        <v>115787.63</v>
      </c>
      <c r="H11" s="160" t="s">
        <v>103</v>
      </c>
      <c r="I11" s="161">
        <v>19</v>
      </c>
      <c r="J11" s="26">
        <v>1500</v>
      </c>
      <c r="K11" s="10">
        <f t="shared" si="12"/>
        <v>78.94736842105263</v>
      </c>
      <c r="L11" s="161">
        <v>19</v>
      </c>
      <c r="M11" s="11">
        <f t="shared" si="13"/>
        <v>1414.5599999999995</v>
      </c>
      <c r="N11" s="10">
        <f t="shared" si="14"/>
        <v>74.450526315789446</v>
      </c>
      <c r="O11" s="12">
        <f t="shared" si="15"/>
        <v>0</v>
      </c>
      <c r="P11" s="13">
        <f t="shared" si="17"/>
        <v>-4.496842105263184</v>
      </c>
      <c r="Q11" s="152">
        <f t="shared" si="18"/>
        <v>0.94303999999999966</v>
      </c>
      <c r="R11" s="442"/>
      <c r="S11" s="28">
        <v>0.36388888888888887</v>
      </c>
      <c r="T11" s="28">
        <v>0.45069444444444445</v>
      </c>
      <c r="U11" s="153">
        <f t="shared" ref="U11" si="20">(S11-T10)*24*60</f>
        <v>5.9999999999999787</v>
      </c>
      <c r="V11" s="162">
        <f t="shared" si="16"/>
        <v>125.00000000000003</v>
      </c>
      <c r="W11" s="16"/>
      <c r="X11" s="16"/>
      <c r="Y11" s="443"/>
      <c r="Z11" s="443"/>
      <c r="AA11" s="12">
        <f t="shared" si="2"/>
        <v>-85.440000000000509</v>
      </c>
      <c r="AB11" s="152">
        <f t="shared" si="19"/>
        <v>0.94303999999999966</v>
      </c>
      <c r="AC11" s="442"/>
    </row>
    <row r="12" spans="1:29" ht="16.5" customHeight="1">
      <c r="A12" s="439" t="s">
        <v>485</v>
      </c>
      <c r="B12" s="31" t="s">
        <v>486</v>
      </c>
      <c r="C12" s="446"/>
      <c r="D12" s="446"/>
      <c r="E12" s="158"/>
      <c r="F12" s="26"/>
      <c r="G12" s="11"/>
      <c r="H12" s="164"/>
      <c r="I12" s="19">
        <v>18.333333333333332</v>
      </c>
      <c r="J12" s="26">
        <v>1500</v>
      </c>
      <c r="K12" s="10">
        <f>J12/I12</f>
        <v>81.818181818181827</v>
      </c>
      <c r="L12" s="19">
        <v>18.333333333333332</v>
      </c>
      <c r="M12" s="11">
        <f>AVERAGE(M9:M11)</f>
        <v>1410.298995820968</v>
      </c>
      <c r="N12" s="10">
        <f>M12/L12</f>
        <v>76.925399772052799</v>
      </c>
      <c r="O12" s="12">
        <f>L12-I12</f>
        <v>0</v>
      </c>
      <c r="P12" s="13">
        <f>N12-K12</f>
        <v>-4.8927820461290281</v>
      </c>
      <c r="Q12" s="152">
        <f>N12/K12</f>
        <v>0.94019933054731186</v>
      </c>
      <c r="R12" s="442"/>
      <c r="S12" s="28"/>
      <c r="T12" s="28"/>
      <c r="U12" s="10"/>
      <c r="V12" s="162"/>
      <c r="W12" s="10"/>
      <c r="X12" s="10"/>
      <c r="Y12" s="443"/>
      <c r="Z12" s="443"/>
      <c r="AA12" s="12">
        <f t="shared" si="2"/>
        <v>-89.701004179031997</v>
      </c>
      <c r="AB12" s="152">
        <f t="shared" si="19"/>
        <v>0.94019933054731197</v>
      </c>
      <c r="AC12" s="442"/>
    </row>
    <row r="13" spans="1:29" ht="16.5" customHeight="1">
      <c r="A13" s="469" t="s">
        <v>487</v>
      </c>
      <c r="B13" s="164" t="s">
        <v>56</v>
      </c>
      <c r="C13" s="464" t="s">
        <v>57</v>
      </c>
      <c r="D13" s="464"/>
      <c r="E13" s="31">
        <v>41</v>
      </c>
      <c r="F13" s="164">
        <v>1722</v>
      </c>
      <c r="G13" s="153">
        <f t="shared" ref="G13:G16" si="21">E13*F13</f>
        <v>70602</v>
      </c>
      <c r="H13" s="160" t="s">
        <v>103</v>
      </c>
      <c r="I13" s="161">
        <v>26</v>
      </c>
      <c r="J13" s="26">
        <v>1500</v>
      </c>
      <c r="K13" s="10">
        <f>J13/I13</f>
        <v>57.692307692307693</v>
      </c>
      <c r="L13" s="161">
        <v>26</v>
      </c>
      <c r="M13" s="11">
        <f>F13/V13*60</f>
        <v>1415.3424657534242</v>
      </c>
      <c r="N13" s="10">
        <f t="shared" ref="N13:N22" si="22">M13/L13</f>
        <v>54.436248682824008</v>
      </c>
      <c r="O13" s="12">
        <f t="shared" ref="O13" si="23">L13-I13</f>
        <v>0</v>
      </c>
      <c r="P13" s="13">
        <f t="shared" ref="P13" si="24">N13-K13</f>
        <v>-3.2560590094836854</v>
      </c>
      <c r="Q13" s="152">
        <f>N13/K13</f>
        <v>0.94356164383561614</v>
      </c>
      <c r="R13" s="442">
        <f>Q17</f>
        <v>0.94069303493573042</v>
      </c>
      <c r="S13" s="28">
        <v>0.20833333333333334</v>
      </c>
      <c r="T13" s="28">
        <v>0.2590277777777778</v>
      </c>
      <c r="U13" s="153"/>
      <c r="V13" s="162">
        <f>(T13-S13)*24*60</f>
        <v>73.000000000000014</v>
      </c>
      <c r="W13" s="18"/>
      <c r="X13" s="18"/>
      <c r="Y13" s="443"/>
      <c r="Z13" s="443"/>
      <c r="AA13" s="12">
        <f t="shared" si="2"/>
        <v>-84.657534246575779</v>
      </c>
      <c r="AB13" s="152">
        <f t="shared" si="19"/>
        <v>0.94356164383561614</v>
      </c>
      <c r="AC13" s="442">
        <f>AB17</f>
        <v>0.94069303493573042</v>
      </c>
    </row>
    <row r="14" spans="1:29" ht="16.5" customHeight="1">
      <c r="A14" s="470" t="s">
        <v>488</v>
      </c>
      <c r="B14" s="164" t="s">
        <v>53</v>
      </c>
      <c r="C14" s="464" t="s">
        <v>163</v>
      </c>
      <c r="D14" s="464"/>
      <c r="E14" s="31">
        <v>39.36</v>
      </c>
      <c r="F14" s="164">
        <v>6169</v>
      </c>
      <c r="G14" s="153">
        <f t="shared" si="21"/>
        <v>242811.84</v>
      </c>
      <c r="H14" s="160" t="s">
        <v>103</v>
      </c>
      <c r="I14" s="161">
        <v>21</v>
      </c>
      <c r="J14" s="26">
        <v>1500</v>
      </c>
      <c r="K14" s="10">
        <f>J14/I14</f>
        <v>71.428571428571431</v>
      </c>
      <c r="L14" s="161">
        <v>21</v>
      </c>
      <c r="M14" s="11">
        <f>F14/V14*60</f>
        <v>1407.3764258555134</v>
      </c>
      <c r="N14" s="10">
        <f t="shared" si="22"/>
        <v>67.017925040738731</v>
      </c>
      <c r="O14" s="12">
        <f>L14-I14</f>
        <v>0</v>
      </c>
      <c r="P14" s="13">
        <f>N14-K14</f>
        <v>-4.4106463878326991</v>
      </c>
      <c r="Q14" s="152">
        <f>N14/K14</f>
        <v>0.93825095057034225</v>
      </c>
      <c r="R14" s="442"/>
      <c r="S14" s="28">
        <v>0.26250000000000001</v>
      </c>
      <c r="T14" s="28">
        <v>0.44513888888888892</v>
      </c>
      <c r="U14" s="153">
        <f>IF(S14=TIME(17,0,0),"",(S14-T13)*24*60)</f>
        <v>4.9999999999999822</v>
      </c>
      <c r="V14" s="162">
        <f>(T14-S14)*24*60</f>
        <v>263</v>
      </c>
      <c r="W14" s="16"/>
      <c r="X14" s="16"/>
      <c r="Y14" s="443"/>
      <c r="Z14" s="443"/>
      <c r="AA14" s="12">
        <f t="shared" si="2"/>
        <v>-92.623574144486611</v>
      </c>
      <c r="AB14" s="152">
        <f t="shared" si="19"/>
        <v>0.93825095057034225</v>
      </c>
      <c r="AC14" s="442"/>
    </row>
    <row r="15" spans="1:29" ht="16.5" customHeight="1">
      <c r="A15" s="470" t="s">
        <v>488</v>
      </c>
      <c r="B15" s="164" t="s">
        <v>58</v>
      </c>
      <c r="C15" s="464" t="s">
        <v>59</v>
      </c>
      <c r="D15" s="464"/>
      <c r="E15" s="31">
        <v>50.98</v>
      </c>
      <c r="F15" s="164">
        <v>2507</v>
      </c>
      <c r="G15" s="153">
        <f t="shared" si="21"/>
        <v>127806.85999999999</v>
      </c>
      <c r="H15" s="160" t="s">
        <v>103</v>
      </c>
      <c r="I15" s="161">
        <v>17</v>
      </c>
      <c r="J15" s="26">
        <v>2000</v>
      </c>
      <c r="K15" s="10">
        <f t="shared" ref="K15:K16" si="25">J15/I15</f>
        <v>117.64705882352941</v>
      </c>
      <c r="L15" s="161">
        <v>17</v>
      </c>
      <c r="M15" s="11">
        <f t="shared" ref="M15:M16" si="26">F15/V15*60</f>
        <v>1880.2499999999993</v>
      </c>
      <c r="N15" s="10">
        <f t="shared" si="22"/>
        <v>110.60294117647055</v>
      </c>
      <c r="O15" s="12">
        <f t="shared" ref="O15:O16" si="27">L15-I15</f>
        <v>0</v>
      </c>
      <c r="P15" s="13">
        <f t="shared" ref="P15:P16" si="28">N15-K15</f>
        <v>-7.0441176470588545</v>
      </c>
      <c r="Q15" s="152">
        <f t="shared" ref="Q15:Q22" si="29">N15/K15</f>
        <v>0.94012499999999977</v>
      </c>
      <c r="R15" s="442"/>
      <c r="S15" s="28">
        <v>0.70833333333333337</v>
      </c>
      <c r="T15" s="28">
        <v>0.76388888888888895</v>
      </c>
      <c r="U15" s="153" t="str">
        <f t="shared" ref="U15:U16" si="30">IF(S15=TIME(17,0,0),"",(S15-T14)*24*60)</f>
        <v/>
      </c>
      <c r="V15" s="162">
        <f t="shared" ref="V15:V16" si="31">(T15-S15)*24*60</f>
        <v>80.000000000000028</v>
      </c>
      <c r="W15" s="16"/>
      <c r="X15" s="16"/>
      <c r="Y15" s="443"/>
      <c r="Z15" s="443"/>
      <c r="AA15" s="12">
        <f t="shared" si="2"/>
        <v>-119.75000000000068</v>
      </c>
      <c r="AB15" s="152">
        <f t="shared" si="19"/>
        <v>0.94012499999999966</v>
      </c>
      <c r="AC15" s="442"/>
    </row>
    <row r="16" spans="1:29" ht="16.5" customHeight="1">
      <c r="A16" s="470" t="s">
        <v>488</v>
      </c>
      <c r="B16" s="164" t="s">
        <v>58</v>
      </c>
      <c r="C16" s="464" t="s">
        <v>60</v>
      </c>
      <c r="D16" s="464"/>
      <c r="E16" s="31">
        <v>50.92</v>
      </c>
      <c r="F16" s="164">
        <v>2666</v>
      </c>
      <c r="G16" s="153">
        <f t="shared" si="21"/>
        <v>135752.72</v>
      </c>
      <c r="H16" s="160" t="s">
        <v>103</v>
      </c>
      <c r="I16" s="161">
        <v>16</v>
      </c>
      <c r="J16" s="26">
        <v>2000</v>
      </c>
      <c r="K16" s="10">
        <f t="shared" si="25"/>
        <v>125</v>
      </c>
      <c r="L16" s="161">
        <v>16</v>
      </c>
      <c r="M16" s="11">
        <f t="shared" si="26"/>
        <v>1881.8823529411761</v>
      </c>
      <c r="N16" s="10">
        <f t="shared" si="22"/>
        <v>117.61764705882351</v>
      </c>
      <c r="O16" s="12">
        <f t="shared" si="27"/>
        <v>0</v>
      </c>
      <c r="P16" s="13">
        <f t="shared" si="28"/>
        <v>-7.3823529411764923</v>
      </c>
      <c r="Q16" s="152">
        <f t="shared" si="29"/>
        <v>0.94094117647058806</v>
      </c>
      <c r="R16" s="442"/>
      <c r="S16" s="28">
        <v>0.76944444444444449</v>
      </c>
      <c r="T16" s="28">
        <v>0.82847222222222228</v>
      </c>
      <c r="U16" s="153">
        <f t="shared" si="30"/>
        <v>7.9999999999999716</v>
      </c>
      <c r="V16" s="162">
        <f t="shared" si="31"/>
        <v>85.000000000000014</v>
      </c>
      <c r="W16" s="16"/>
      <c r="X16" s="16"/>
      <c r="Y16" s="443"/>
      <c r="Z16" s="443"/>
      <c r="AA16" s="12">
        <f t="shared" si="2"/>
        <v>-118.11764705882388</v>
      </c>
      <c r="AB16" s="152">
        <f t="shared" si="19"/>
        <v>0.94094117647058806</v>
      </c>
      <c r="AC16" s="442"/>
    </row>
    <row r="17" spans="1:29" ht="16.5" customHeight="1">
      <c r="A17" s="470" t="s">
        <v>489</v>
      </c>
      <c r="B17" s="31" t="s">
        <v>490</v>
      </c>
      <c r="C17" s="446"/>
      <c r="D17" s="446"/>
      <c r="E17" s="158"/>
      <c r="F17" s="33"/>
      <c r="G17" s="10"/>
      <c r="H17" s="164"/>
      <c r="I17" s="19">
        <v>20</v>
      </c>
      <c r="J17" s="26">
        <v>1750</v>
      </c>
      <c r="K17" s="10">
        <f>J17/I17</f>
        <v>87.5</v>
      </c>
      <c r="L17" s="19">
        <v>20</v>
      </c>
      <c r="M17" s="11">
        <f>AVERAGE(M13:M16)</f>
        <v>1646.2128111375282</v>
      </c>
      <c r="N17" s="10">
        <f t="shared" si="22"/>
        <v>82.310640556876407</v>
      </c>
      <c r="O17" s="12">
        <f>L17-I17</f>
        <v>0</v>
      </c>
      <c r="P17" s="13">
        <f>N17-K17</f>
        <v>-5.1893594431235925</v>
      </c>
      <c r="Q17" s="152">
        <f t="shared" si="29"/>
        <v>0.94069303493573042</v>
      </c>
      <c r="R17" s="442"/>
      <c r="S17" s="28"/>
      <c r="T17" s="28"/>
      <c r="U17" s="153"/>
      <c r="V17" s="162"/>
      <c r="W17" s="10"/>
      <c r="X17" s="10"/>
      <c r="Y17" s="443"/>
      <c r="Z17" s="443"/>
      <c r="AA17" s="12">
        <f t="shared" si="2"/>
        <v>-103.78718886247179</v>
      </c>
      <c r="AB17" s="152">
        <f t="shared" si="19"/>
        <v>0.94069303493573042</v>
      </c>
      <c r="AC17" s="442"/>
    </row>
    <row r="18" spans="1:29" ht="15.75" customHeight="1">
      <c r="A18" s="467" t="s">
        <v>491</v>
      </c>
      <c r="B18" s="31" t="s">
        <v>56</v>
      </c>
      <c r="C18" s="464" t="s">
        <v>61</v>
      </c>
      <c r="D18" s="464"/>
      <c r="E18" s="31">
        <v>43.14</v>
      </c>
      <c r="F18" s="164">
        <v>1279</v>
      </c>
      <c r="G18" s="153">
        <f t="shared" ref="G18:G22" si="32">E18*F18</f>
        <v>55176.06</v>
      </c>
      <c r="H18" s="160" t="s">
        <v>103</v>
      </c>
      <c r="I18" s="161">
        <v>17</v>
      </c>
      <c r="J18" s="26">
        <v>2000</v>
      </c>
      <c r="K18" s="10">
        <f t="shared" ref="K18:K23" si="33">J18/I18</f>
        <v>117.64705882352941</v>
      </c>
      <c r="L18" s="161">
        <v>17</v>
      </c>
      <c r="M18" s="11">
        <f t="shared" ref="M18:M22" si="34">F18/V18*60</f>
        <v>1871.7073170731701</v>
      </c>
      <c r="N18" s="10">
        <f t="shared" si="22"/>
        <v>110.10043041606883</v>
      </c>
      <c r="O18" s="12">
        <f t="shared" ref="O18:O22" si="35">L18-I18</f>
        <v>0</v>
      </c>
      <c r="P18" s="13">
        <f t="shared" ref="P18:P22" si="36">N18-K18</f>
        <v>-7.5466284074605738</v>
      </c>
      <c r="Q18" s="152">
        <f t="shared" si="29"/>
        <v>0.93585365853658509</v>
      </c>
      <c r="R18" s="442">
        <f>Q23</f>
        <v>0.94259905999490334</v>
      </c>
      <c r="S18" s="28">
        <v>0.20833333333333334</v>
      </c>
      <c r="T18" s="28">
        <v>0.23680555555555557</v>
      </c>
      <c r="U18" s="153"/>
      <c r="V18" s="162">
        <f>(T18-S18)*24*60</f>
        <v>41.000000000000014</v>
      </c>
      <c r="W18" s="18"/>
      <c r="X18" s="18"/>
      <c r="Y18" s="443"/>
      <c r="Z18" s="443"/>
      <c r="AA18" s="12">
        <f t="shared" si="2"/>
        <v>-128.29268292682991</v>
      </c>
      <c r="AB18" s="152">
        <f t="shared" si="19"/>
        <v>0.93585365853658509</v>
      </c>
      <c r="AC18" s="442">
        <f>AB23</f>
        <v>0.94259905999490334</v>
      </c>
    </row>
    <row r="19" spans="1:29" ht="15.75" customHeight="1">
      <c r="A19" s="468" t="s">
        <v>491</v>
      </c>
      <c r="B19" s="31" t="s">
        <v>58</v>
      </c>
      <c r="C19" s="464" t="s">
        <v>62</v>
      </c>
      <c r="D19" s="464"/>
      <c r="E19" s="31">
        <v>57.73</v>
      </c>
      <c r="F19" s="164">
        <v>2069</v>
      </c>
      <c r="G19" s="153">
        <f t="shared" si="32"/>
        <v>119443.37</v>
      </c>
      <c r="H19" s="160" t="s">
        <v>103</v>
      </c>
      <c r="I19" s="161">
        <v>16</v>
      </c>
      <c r="J19" s="26">
        <v>2000</v>
      </c>
      <c r="K19" s="10">
        <f t="shared" si="33"/>
        <v>125</v>
      </c>
      <c r="L19" s="161">
        <v>16</v>
      </c>
      <c r="M19" s="11">
        <f t="shared" si="34"/>
        <v>1880.9090909090917</v>
      </c>
      <c r="N19" s="10">
        <f t="shared" si="22"/>
        <v>117.55681818181823</v>
      </c>
      <c r="O19" s="12">
        <f t="shared" si="35"/>
        <v>0</v>
      </c>
      <c r="P19" s="13">
        <f t="shared" si="36"/>
        <v>-7.4431818181817704</v>
      </c>
      <c r="Q19" s="152">
        <f t="shared" si="29"/>
        <v>0.94045454545454588</v>
      </c>
      <c r="R19" s="442"/>
      <c r="S19" s="28">
        <v>0.24027777777777778</v>
      </c>
      <c r="T19" s="28">
        <v>0.28611111111111109</v>
      </c>
      <c r="U19" s="153">
        <f>IF(S19=TIME(17,0,0),"",(S19-T18)*24*60)</f>
        <v>4.9999999999999822</v>
      </c>
      <c r="V19" s="162">
        <f t="shared" ref="V19:V22" si="37">(T19-S19)*24*60</f>
        <v>65.999999999999972</v>
      </c>
      <c r="W19" s="16"/>
      <c r="X19" s="153"/>
      <c r="Y19" s="443"/>
      <c r="Z19" s="443"/>
      <c r="AA19" s="12">
        <f t="shared" si="2"/>
        <v>-119.09090909090833</v>
      </c>
      <c r="AB19" s="152">
        <f t="shared" si="19"/>
        <v>0.94045454545454588</v>
      </c>
      <c r="AC19" s="442"/>
    </row>
    <row r="20" spans="1:29" ht="15.75" customHeight="1">
      <c r="A20" s="468" t="s">
        <v>492</v>
      </c>
      <c r="B20" s="31" t="s">
        <v>58</v>
      </c>
      <c r="C20" s="464" t="s">
        <v>63</v>
      </c>
      <c r="D20" s="464"/>
      <c r="E20" s="31">
        <v>53.68</v>
      </c>
      <c r="F20" s="164">
        <v>1495</v>
      </c>
      <c r="G20" s="153">
        <f t="shared" si="32"/>
        <v>80251.600000000006</v>
      </c>
      <c r="H20" s="160" t="s">
        <v>103</v>
      </c>
      <c r="I20" s="161">
        <v>17</v>
      </c>
      <c r="J20" s="26">
        <v>2000</v>
      </c>
      <c r="K20" s="10">
        <f t="shared" si="33"/>
        <v>117.64705882352941</v>
      </c>
      <c r="L20" s="161">
        <v>17</v>
      </c>
      <c r="M20" s="11">
        <f t="shared" si="34"/>
        <v>1908.5106382978727</v>
      </c>
      <c r="N20" s="10">
        <f t="shared" si="22"/>
        <v>112.26533166458074</v>
      </c>
      <c r="O20" s="12">
        <f t="shared" si="35"/>
        <v>0</v>
      </c>
      <c r="P20" s="13">
        <f t="shared" si="36"/>
        <v>-5.3817271589486637</v>
      </c>
      <c r="Q20" s="152">
        <f t="shared" si="29"/>
        <v>0.95425531914893635</v>
      </c>
      <c r="R20" s="442"/>
      <c r="S20" s="28">
        <v>0.29166666666666663</v>
      </c>
      <c r="T20" s="28">
        <v>0.32430555555555551</v>
      </c>
      <c r="U20" s="153">
        <f t="shared" ref="U20:U22" si="38">IF(S20=TIME(17,0,0),"",(S20-T19)*24*60)</f>
        <v>7.9999999999999716</v>
      </c>
      <c r="V20" s="162">
        <f t="shared" si="37"/>
        <v>46.999999999999993</v>
      </c>
      <c r="W20" s="16"/>
      <c r="X20" s="153"/>
      <c r="Y20" s="443"/>
      <c r="Z20" s="443"/>
      <c r="AA20" s="12">
        <f t="shared" si="2"/>
        <v>-91.489361702127326</v>
      </c>
      <c r="AB20" s="152">
        <f t="shared" si="19"/>
        <v>0.95425531914893635</v>
      </c>
      <c r="AC20" s="442"/>
    </row>
    <row r="21" spans="1:29" ht="15.75" customHeight="1">
      <c r="A21" s="468" t="s">
        <v>491</v>
      </c>
      <c r="B21" s="31" t="s">
        <v>58</v>
      </c>
      <c r="C21" s="464" t="s">
        <v>65</v>
      </c>
      <c r="D21" s="464"/>
      <c r="E21" s="31">
        <v>54.09</v>
      </c>
      <c r="F21" s="164">
        <v>3051</v>
      </c>
      <c r="G21" s="153">
        <f t="shared" si="32"/>
        <v>165028.59</v>
      </c>
      <c r="H21" s="160" t="s">
        <v>103</v>
      </c>
      <c r="I21" s="161">
        <v>20</v>
      </c>
      <c r="J21" s="26">
        <v>2000</v>
      </c>
      <c r="K21" s="10">
        <f t="shared" si="33"/>
        <v>100</v>
      </c>
      <c r="L21" s="161">
        <v>20</v>
      </c>
      <c r="M21" s="11">
        <f t="shared" si="34"/>
        <v>1887.2164948453615</v>
      </c>
      <c r="N21" s="10">
        <f t="shared" si="22"/>
        <v>94.360824742268079</v>
      </c>
      <c r="O21" s="12">
        <f t="shared" si="35"/>
        <v>0</v>
      </c>
      <c r="P21" s="13">
        <f t="shared" si="36"/>
        <v>-5.639175257731921</v>
      </c>
      <c r="Q21" s="152">
        <f t="shared" si="29"/>
        <v>0.94360824742268079</v>
      </c>
      <c r="R21" s="442"/>
      <c r="S21" s="28">
        <v>0.70833333333333337</v>
      </c>
      <c r="T21" s="28">
        <v>0.77569444444444446</v>
      </c>
      <c r="U21" s="153" t="str">
        <f t="shared" si="38"/>
        <v/>
      </c>
      <c r="V21" s="162">
        <f t="shared" si="37"/>
        <v>96.999999999999972</v>
      </c>
      <c r="W21" s="16"/>
      <c r="X21" s="153"/>
      <c r="Y21" s="443"/>
      <c r="Z21" s="443"/>
      <c r="AA21" s="12">
        <f t="shared" si="2"/>
        <v>-112.78350515463853</v>
      </c>
      <c r="AB21" s="152">
        <f t="shared" si="19"/>
        <v>0.94360824742268068</v>
      </c>
      <c r="AC21" s="442"/>
    </row>
    <row r="22" spans="1:29" ht="15.75" customHeight="1">
      <c r="A22" s="468" t="s">
        <v>491</v>
      </c>
      <c r="B22" s="31" t="s">
        <v>58</v>
      </c>
      <c r="C22" s="464" t="s">
        <v>66</v>
      </c>
      <c r="D22" s="464"/>
      <c r="E22" s="31">
        <v>53.27</v>
      </c>
      <c r="F22" s="164">
        <v>532</v>
      </c>
      <c r="G22" s="153">
        <f t="shared" si="32"/>
        <v>28339.640000000003</v>
      </c>
      <c r="H22" s="160" t="s">
        <v>103</v>
      </c>
      <c r="I22" s="161">
        <v>15</v>
      </c>
      <c r="J22" s="26">
        <v>2000</v>
      </c>
      <c r="K22" s="10">
        <f t="shared" si="33"/>
        <v>133.33333333333334</v>
      </c>
      <c r="L22" s="161">
        <v>15</v>
      </c>
      <c r="M22" s="11">
        <f t="shared" si="34"/>
        <v>1877.6470588235361</v>
      </c>
      <c r="N22" s="10">
        <f t="shared" si="22"/>
        <v>125.17647058823574</v>
      </c>
      <c r="O22" s="12">
        <f t="shared" si="35"/>
        <v>0</v>
      </c>
      <c r="P22" s="13">
        <f t="shared" si="36"/>
        <v>-8.1568627450975981</v>
      </c>
      <c r="Q22" s="152">
        <f t="shared" si="29"/>
        <v>0.93882352941176805</v>
      </c>
      <c r="R22" s="442"/>
      <c r="S22" s="28">
        <v>0.78125</v>
      </c>
      <c r="T22" s="28">
        <v>0.79305555555555551</v>
      </c>
      <c r="U22" s="153">
        <f t="shared" si="38"/>
        <v>7.9999999999999716</v>
      </c>
      <c r="V22" s="162">
        <f t="shared" si="37"/>
        <v>16.99999999999994</v>
      </c>
      <c r="W22" s="16"/>
      <c r="X22" s="153"/>
      <c r="Y22" s="443"/>
      <c r="Z22" s="443"/>
      <c r="AA22" s="12">
        <f t="shared" si="2"/>
        <v>-122.3529411764639</v>
      </c>
      <c r="AB22" s="152">
        <f t="shared" si="19"/>
        <v>0.93882352941176805</v>
      </c>
      <c r="AC22" s="442"/>
    </row>
    <row r="23" spans="1:29" ht="15.75" customHeight="1">
      <c r="A23" s="468" t="s">
        <v>491</v>
      </c>
      <c r="B23" s="31" t="s">
        <v>493</v>
      </c>
      <c r="C23" s="446"/>
      <c r="D23" s="446"/>
      <c r="E23" s="158"/>
      <c r="F23" s="164"/>
      <c r="G23" s="153"/>
      <c r="H23" s="164"/>
      <c r="I23" s="19">
        <v>17</v>
      </c>
      <c r="J23" s="26">
        <v>2000</v>
      </c>
      <c r="K23" s="10">
        <f t="shared" si="33"/>
        <v>117.64705882352941</v>
      </c>
      <c r="L23" s="19">
        <v>17</v>
      </c>
      <c r="M23" s="11">
        <f>AVERAGE(M18:M22)</f>
        <v>1885.1981199898066</v>
      </c>
      <c r="N23" s="10">
        <f>M23/L23</f>
        <v>110.89400705822392</v>
      </c>
      <c r="O23" s="12">
        <f>L23-I23</f>
        <v>0</v>
      </c>
      <c r="P23" s="13">
        <f>N23-K23</f>
        <v>-6.7530517653054858</v>
      </c>
      <c r="Q23" s="152">
        <f>N23/K23</f>
        <v>0.94259905999490334</v>
      </c>
      <c r="R23" s="442"/>
      <c r="S23" s="28"/>
      <c r="T23" s="28"/>
      <c r="U23" s="10"/>
      <c r="V23" s="162"/>
      <c r="W23" s="10"/>
      <c r="X23" s="10"/>
      <c r="Y23" s="443"/>
      <c r="Z23" s="443"/>
      <c r="AA23" s="12">
        <f t="shared" si="2"/>
        <v>-114.80188001019337</v>
      </c>
      <c r="AB23" s="152">
        <f t="shared" si="19"/>
        <v>0.94259905999490334</v>
      </c>
      <c r="AC23" s="442"/>
    </row>
    <row r="24" spans="1:29" ht="15.75" customHeight="1">
      <c r="A24" s="463" t="s">
        <v>494</v>
      </c>
      <c r="B24" s="31" t="s">
        <v>67</v>
      </c>
      <c r="C24" s="464" t="s">
        <v>68</v>
      </c>
      <c r="D24" s="464"/>
      <c r="E24" s="31">
        <v>26.2</v>
      </c>
      <c r="F24" s="164">
        <v>3055</v>
      </c>
      <c r="G24" s="153">
        <f t="shared" ref="G24:G28" si="39">E24*F24</f>
        <v>80041</v>
      </c>
      <c r="H24" s="160" t="s">
        <v>103</v>
      </c>
      <c r="I24" s="161">
        <v>20</v>
      </c>
      <c r="J24" s="26">
        <v>2400</v>
      </c>
      <c r="K24" s="10">
        <f>J24/I24</f>
        <v>120</v>
      </c>
      <c r="L24" s="161">
        <v>20</v>
      </c>
      <c r="M24" s="11">
        <f t="shared" ref="M24:M28" si="40">F24/V24*60</f>
        <v>2262.962962962963</v>
      </c>
      <c r="N24" s="10">
        <f t="shared" ref="N24:N28" si="41">M24/L24</f>
        <v>113.14814814814815</v>
      </c>
      <c r="O24" s="12">
        <f t="shared" ref="O24:O28" si="42">L24-I24</f>
        <v>0</v>
      </c>
      <c r="P24" s="13">
        <f t="shared" ref="P24:P28" si="43">N24-K24</f>
        <v>-6.8518518518518476</v>
      </c>
      <c r="Q24" s="152">
        <f t="shared" ref="Q24:Q28" si="44">N24/K24</f>
        <v>0.94290123456790131</v>
      </c>
      <c r="R24" s="442">
        <f>Q29</f>
        <v>0.93913468829143498</v>
      </c>
      <c r="S24" s="28">
        <v>8.3333333333333329E-2</v>
      </c>
      <c r="T24" s="28">
        <v>0.13958333333333334</v>
      </c>
      <c r="U24" s="153"/>
      <c r="V24" s="162">
        <f t="shared" ref="V24:V28" si="45">(T24-S24)*24*60</f>
        <v>81</v>
      </c>
      <c r="W24" s="16">
        <f>T24</f>
        <v>0.13958333333333334</v>
      </c>
      <c r="X24" s="16">
        <f>S25</f>
        <v>0.16041666666666668</v>
      </c>
      <c r="Y24" s="443"/>
      <c r="Z24" s="443"/>
      <c r="AA24" s="12">
        <f t="shared" si="2"/>
        <v>-137.03703703703695</v>
      </c>
      <c r="AB24" s="152">
        <f>M24/J24</f>
        <v>0.94290123456790131</v>
      </c>
      <c r="AC24" s="442">
        <f>AB29</f>
        <v>0.93913468829143498</v>
      </c>
    </row>
    <row r="25" spans="1:29" ht="15.75" customHeight="1">
      <c r="A25" s="463" t="s">
        <v>494</v>
      </c>
      <c r="B25" s="31" t="s">
        <v>67</v>
      </c>
      <c r="C25" s="464" t="s">
        <v>69</v>
      </c>
      <c r="D25" s="464"/>
      <c r="E25" s="31">
        <v>31.29</v>
      </c>
      <c r="F25" s="164">
        <v>6271</v>
      </c>
      <c r="G25" s="153">
        <f t="shared" si="39"/>
        <v>196219.59</v>
      </c>
      <c r="H25" s="160" t="s">
        <v>103</v>
      </c>
      <c r="I25" s="161">
        <v>16</v>
      </c>
      <c r="J25" s="26">
        <v>2400</v>
      </c>
      <c r="K25" s="10">
        <f t="shared" ref="K25:K29" si="46">J25/I25</f>
        <v>150</v>
      </c>
      <c r="L25" s="161">
        <v>16</v>
      </c>
      <c r="M25" s="11">
        <f t="shared" si="40"/>
        <v>2253.0538922155688</v>
      </c>
      <c r="N25" s="10">
        <f t="shared" si="41"/>
        <v>140.81586826347305</v>
      </c>
      <c r="O25" s="12">
        <f t="shared" si="42"/>
        <v>0</v>
      </c>
      <c r="P25" s="13">
        <f t="shared" si="43"/>
        <v>-9.1841317365269504</v>
      </c>
      <c r="Q25" s="152">
        <f t="shared" si="44"/>
        <v>0.93877245508982032</v>
      </c>
      <c r="R25" s="442"/>
      <c r="S25" s="28">
        <v>0.16041666666666668</v>
      </c>
      <c r="T25" s="28">
        <v>0.27638888888888891</v>
      </c>
      <c r="U25" s="153">
        <f>(S25-T24)*24*60</f>
        <v>30.000000000000014</v>
      </c>
      <c r="V25" s="162">
        <f t="shared" si="45"/>
        <v>167</v>
      </c>
      <c r="W25" s="16"/>
      <c r="X25" s="16"/>
      <c r="Y25" s="443"/>
      <c r="Z25" s="443"/>
      <c r="AA25" s="12">
        <f t="shared" si="2"/>
        <v>-146.94610778443121</v>
      </c>
      <c r="AB25" s="152">
        <f t="shared" ref="AB25:AB28" si="47">M25/J25</f>
        <v>0.93877245508982032</v>
      </c>
      <c r="AC25" s="442"/>
    </row>
    <row r="26" spans="1:29" ht="15.75" customHeight="1">
      <c r="A26" s="463" t="s">
        <v>495</v>
      </c>
      <c r="B26" s="31" t="s">
        <v>67</v>
      </c>
      <c r="C26" s="464" t="s">
        <v>70</v>
      </c>
      <c r="D26" s="464"/>
      <c r="E26" s="31">
        <v>24.25</v>
      </c>
      <c r="F26" s="164">
        <v>3186</v>
      </c>
      <c r="G26" s="153">
        <f t="shared" si="39"/>
        <v>77260.5</v>
      </c>
      <c r="H26" s="160" t="s">
        <v>103</v>
      </c>
      <c r="I26" s="161">
        <v>18</v>
      </c>
      <c r="J26" s="26">
        <v>2400</v>
      </c>
      <c r="K26" s="10">
        <f t="shared" si="46"/>
        <v>133.33333333333334</v>
      </c>
      <c r="L26" s="161">
        <v>18</v>
      </c>
      <c r="M26" s="11">
        <f t="shared" si="40"/>
        <v>2248.9411764705878</v>
      </c>
      <c r="N26" s="10">
        <f t="shared" si="41"/>
        <v>124.94117647058822</v>
      </c>
      <c r="O26" s="12">
        <f t="shared" si="42"/>
        <v>0</v>
      </c>
      <c r="P26" s="13">
        <f t="shared" si="43"/>
        <v>-8.3921568627451251</v>
      </c>
      <c r="Q26" s="152">
        <f t="shared" si="44"/>
        <v>0.93705882352941161</v>
      </c>
      <c r="R26" s="442"/>
      <c r="S26" s="28">
        <v>0.28194444444444444</v>
      </c>
      <c r="T26" s="28">
        <v>0.34097222222222223</v>
      </c>
      <c r="U26" s="153">
        <f t="shared" ref="U26:U28" si="48">(S26-T25)*24*60</f>
        <v>7.9999999999999716</v>
      </c>
      <c r="V26" s="162">
        <f t="shared" si="45"/>
        <v>85.000000000000014</v>
      </c>
      <c r="W26" s="16"/>
      <c r="X26" s="16"/>
      <c r="Y26" s="443"/>
      <c r="Z26" s="443"/>
      <c r="AA26" s="12">
        <f t="shared" si="2"/>
        <v>-151.05882352941217</v>
      </c>
      <c r="AB26" s="152">
        <f t="shared" si="47"/>
        <v>0.93705882352941161</v>
      </c>
      <c r="AC26" s="442"/>
    </row>
    <row r="27" spans="1:29" ht="15.75" customHeight="1">
      <c r="A27" s="463" t="s">
        <v>494</v>
      </c>
      <c r="B27" s="31" t="s">
        <v>67</v>
      </c>
      <c r="C27" s="464" t="s">
        <v>72</v>
      </c>
      <c r="D27" s="464"/>
      <c r="E27" s="31">
        <v>25.98</v>
      </c>
      <c r="F27" s="164">
        <v>2966</v>
      </c>
      <c r="G27" s="153">
        <f t="shared" si="39"/>
        <v>77056.680000000008</v>
      </c>
      <c r="H27" s="160" t="s">
        <v>103</v>
      </c>
      <c r="I27" s="161">
        <v>17</v>
      </c>
      <c r="J27" s="26">
        <v>2400</v>
      </c>
      <c r="K27" s="10">
        <f t="shared" si="46"/>
        <v>141.1764705882353</v>
      </c>
      <c r="L27" s="161">
        <v>17</v>
      </c>
      <c r="M27" s="11">
        <f t="shared" si="40"/>
        <v>2252.6582278481001</v>
      </c>
      <c r="N27" s="10">
        <f t="shared" si="41"/>
        <v>132.50930752047648</v>
      </c>
      <c r="O27" s="12">
        <f t="shared" si="42"/>
        <v>0</v>
      </c>
      <c r="P27" s="13">
        <f t="shared" si="43"/>
        <v>-8.6671630677588212</v>
      </c>
      <c r="Q27" s="152">
        <f t="shared" si="44"/>
        <v>0.93860759493670831</v>
      </c>
      <c r="R27" s="442"/>
      <c r="S27" s="28">
        <v>0.34583333333333333</v>
      </c>
      <c r="T27" s="28">
        <v>0.40069444444444446</v>
      </c>
      <c r="U27" s="153">
        <f t="shared" si="48"/>
        <v>6.9999999999999751</v>
      </c>
      <c r="V27" s="162">
        <f t="shared" si="45"/>
        <v>79.000000000000043</v>
      </c>
      <c r="W27" s="16"/>
      <c r="X27" s="16"/>
      <c r="Y27" s="443"/>
      <c r="Z27" s="443"/>
      <c r="AA27" s="12">
        <f t="shared" si="2"/>
        <v>-147.34177215189993</v>
      </c>
      <c r="AB27" s="152">
        <f t="shared" si="47"/>
        <v>0.93860759493670831</v>
      </c>
      <c r="AC27" s="442"/>
    </row>
    <row r="28" spans="1:29" ht="15.75" customHeight="1">
      <c r="A28" s="463" t="s">
        <v>494</v>
      </c>
      <c r="B28" s="31" t="s">
        <v>67</v>
      </c>
      <c r="C28" s="464" t="s">
        <v>165</v>
      </c>
      <c r="D28" s="464"/>
      <c r="E28" s="31">
        <v>26.18</v>
      </c>
      <c r="F28" s="164">
        <v>6756</v>
      </c>
      <c r="G28" s="153">
        <f t="shared" si="39"/>
        <v>176872.08</v>
      </c>
      <c r="H28" s="160" t="s">
        <v>103</v>
      </c>
      <c r="I28" s="161">
        <v>19</v>
      </c>
      <c r="J28" s="26">
        <v>2400</v>
      </c>
      <c r="K28" s="10">
        <f t="shared" si="46"/>
        <v>126.31578947368421</v>
      </c>
      <c r="L28" s="161">
        <v>19</v>
      </c>
      <c r="M28" s="11">
        <f t="shared" si="40"/>
        <v>2252</v>
      </c>
      <c r="N28" s="10">
        <f t="shared" si="41"/>
        <v>118.52631578947368</v>
      </c>
      <c r="O28" s="12">
        <f t="shared" si="42"/>
        <v>0</v>
      </c>
      <c r="P28" s="13">
        <f t="shared" si="43"/>
        <v>-7.7894736842105203</v>
      </c>
      <c r="Q28" s="152">
        <f t="shared" si="44"/>
        <v>0.93833333333333335</v>
      </c>
      <c r="R28" s="442"/>
      <c r="S28" s="28">
        <v>0.40486111111111112</v>
      </c>
      <c r="T28" s="28">
        <v>0.52986111111111112</v>
      </c>
      <c r="U28" s="153">
        <f t="shared" si="48"/>
        <v>5.9999999999999787</v>
      </c>
      <c r="V28" s="162">
        <f t="shared" si="45"/>
        <v>180</v>
      </c>
      <c r="W28" s="16"/>
      <c r="X28" s="16"/>
      <c r="Y28" s="443"/>
      <c r="Z28" s="443"/>
      <c r="AA28" s="12">
        <f t="shared" si="2"/>
        <v>-148</v>
      </c>
      <c r="AB28" s="152">
        <f t="shared" si="47"/>
        <v>0.93833333333333335</v>
      </c>
      <c r="AC28" s="442"/>
    </row>
    <row r="29" spans="1:29" ht="15.75" customHeight="1">
      <c r="A29" s="463" t="s">
        <v>496</v>
      </c>
      <c r="B29" s="31" t="s">
        <v>490</v>
      </c>
      <c r="C29" s="446"/>
      <c r="D29" s="446"/>
      <c r="E29" s="158"/>
      <c r="F29" s="164"/>
      <c r="G29" s="153"/>
      <c r="H29" s="164"/>
      <c r="I29" s="19">
        <v>18</v>
      </c>
      <c r="J29" s="26">
        <v>2400</v>
      </c>
      <c r="K29" s="10">
        <f t="shared" si="46"/>
        <v>133.33333333333334</v>
      </c>
      <c r="L29" s="19">
        <v>18</v>
      </c>
      <c r="M29" s="11">
        <f>AVERAGE(M24:M28)</f>
        <v>2253.923251899444</v>
      </c>
      <c r="N29" s="10">
        <f>M29/L29</f>
        <v>125.21795843885801</v>
      </c>
      <c r="O29" s="12">
        <f>L29-I29</f>
        <v>0</v>
      </c>
      <c r="P29" s="13">
        <f>N29-K29</f>
        <v>-8.1153748944753374</v>
      </c>
      <c r="Q29" s="152">
        <f>N29/K29</f>
        <v>0.93913468829143498</v>
      </c>
      <c r="R29" s="442"/>
      <c r="S29" s="28"/>
      <c r="T29" s="28"/>
      <c r="U29" s="153"/>
      <c r="V29" s="162"/>
      <c r="W29" s="153"/>
      <c r="X29" s="153"/>
      <c r="Y29" s="443"/>
      <c r="Z29" s="443"/>
      <c r="AA29" s="12">
        <f t="shared" si="2"/>
        <v>-146.07674810055596</v>
      </c>
      <c r="AB29" s="152">
        <f>M29/J29</f>
        <v>0.93913468829143498</v>
      </c>
      <c r="AC29" s="442"/>
    </row>
    <row r="30" spans="1:29" ht="15.75" customHeight="1">
      <c r="A30" s="461" t="s">
        <v>497</v>
      </c>
      <c r="B30" s="31" t="s">
        <v>67</v>
      </c>
      <c r="C30" s="441" t="s">
        <v>73</v>
      </c>
      <c r="D30" s="441"/>
      <c r="E30" s="31">
        <v>26.2</v>
      </c>
      <c r="F30" s="164">
        <v>4910</v>
      </c>
      <c r="G30" s="153">
        <f t="shared" ref="G30:G36" si="49">E30*F30</f>
        <v>128642</v>
      </c>
      <c r="H30" s="160" t="s">
        <v>103</v>
      </c>
      <c r="I30" s="161">
        <v>18</v>
      </c>
      <c r="J30" s="26">
        <v>2400</v>
      </c>
      <c r="K30" s="10">
        <f>J30/I30</f>
        <v>133.33333333333334</v>
      </c>
      <c r="L30" s="161">
        <v>18</v>
      </c>
      <c r="M30" s="11">
        <f>F30/V30*60</f>
        <v>2248.8549618320612</v>
      </c>
      <c r="N30" s="10">
        <f>M30/L30</f>
        <v>124.93638676844785</v>
      </c>
      <c r="O30" s="12">
        <f t="shared" ref="O30:O36" si="50">L30-I30</f>
        <v>0</v>
      </c>
      <c r="P30" s="13">
        <f t="shared" ref="P30:P45" si="51">N30-K30</f>
        <v>-8.3969465648854964</v>
      </c>
      <c r="Q30" s="152">
        <f t="shared" ref="Q30:Q41" si="52">N30/K30</f>
        <v>0.93702290076335881</v>
      </c>
      <c r="R30" s="442">
        <f>Q37</f>
        <v>0.9424357616628749</v>
      </c>
      <c r="S30" s="28">
        <v>0.125</v>
      </c>
      <c r="T30" s="28">
        <v>0.21597222222222223</v>
      </c>
      <c r="U30" s="153"/>
      <c r="V30" s="162">
        <f t="shared" ref="V30:V36" si="53">(T30-S30)*24*60</f>
        <v>131</v>
      </c>
      <c r="W30" s="18">
        <f>T30</f>
        <v>0.21597222222222223</v>
      </c>
      <c r="X30" s="18">
        <f>S31</f>
        <v>0.23750000000000002</v>
      </c>
      <c r="Y30" s="443"/>
      <c r="Z30" s="443"/>
      <c r="AA30" s="12">
        <f t="shared" si="2"/>
        <v>-151.14503816793876</v>
      </c>
      <c r="AB30" s="152">
        <f>M30/J30</f>
        <v>0.93702290076335881</v>
      </c>
      <c r="AC30" s="442">
        <f>AB37</f>
        <v>0.94243576166287479</v>
      </c>
    </row>
    <row r="31" spans="1:29" ht="15.75" customHeight="1">
      <c r="A31" s="461" t="s">
        <v>498</v>
      </c>
      <c r="B31" s="31" t="s">
        <v>67</v>
      </c>
      <c r="C31" s="441" t="s">
        <v>74</v>
      </c>
      <c r="D31" s="441"/>
      <c r="E31" s="31">
        <v>24.45</v>
      </c>
      <c r="F31" s="164">
        <v>1745</v>
      </c>
      <c r="G31" s="153">
        <f t="shared" si="49"/>
        <v>42665.25</v>
      </c>
      <c r="H31" s="160" t="s">
        <v>103</v>
      </c>
      <c r="I31" s="161">
        <v>20</v>
      </c>
      <c r="J31" s="26">
        <v>2400</v>
      </c>
      <c r="K31" s="10">
        <f t="shared" ref="K31:K44" si="54">J31/I31</f>
        <v>120</v>
      </c>
      <c r="L31" s="161">
        <v>20</v>
      </c>
      <c r="M31" s="11">
        <f t="shared" ref="M31:M36" si="55">F31/V31*60</f>
        <v>2276.0869565217372</v>
      </c>
      <c r="N31" s="10">
        <f t="shared" ref="N31:N36" si="56">M31/L31</f>
        <v>113.80434782608685</v>
      </c>
      <c r="O31" s="12">
        <f t="shared" si="50"/>
        <v>0</v>
      </c>
      <c r="P31" s="13">
        <f t="shared" si="51"/>
        <v>-6.195652173913146</v>
      </c>
      <c r="Q31" s="152">
        <f t="shared" si="52"/>
        <v>0.94836956521739046</v>
      </c>
      <c r="R31" s="442"/>
      <c r="S31" s="28">
        <v>0.23750000000000002</v>
      </c>
      <c r="T31" s="28">
        <v>0.26944444444444449</v>
      </c>
      <c r="U31" s="153">
        <f>(S31-T30)*24*60</f>
        <v>31.000000000000011</v>
      </c>
      <c r="V31" s="162">
        <f t="shared" si="53"/>
        <v>46.000000000000036</v>
      </c>
      <c r="W31" s="153"/>
      <c r="X31" s="153"/>
      <c r="Y31" s="443"/>
      <c r="Z31" s="443"/>
      <c r="AA31" s="12">
        <f t="shared" si="2"/>
        <v>-123.91304347826281</v>
      </c>
      <c r="AB31" s="152">
        <f t="shared" ref="AB31:AB59" si="57">M31/J31</f>
        <v>0.94836956521739046</v>
      </c>
      <c r="AC31" s="442"/>
    </row>
    <row r="32" spans="1:29">
      <c r="A32" s="462" t="s">
        <v>497</v>
      </c>
      <c r="B32" s="31" t="s">
        <v>67</v>
      </c>
      <c r="C32" s="441" t="s">
        <v>75</v>
      </c>
      <c r="D32" s="441"/>
      <c r="E32" s="31">
        <v>26.39</v>
      </c>
      <c r="F32" s="164">
        <v>4309</v>
      </c>
      <c r="G32" s="153">
        <f t="shared" si="49"/>
        <v>113714.51000000001</v>
      </c>
      <c r="H32" s="160" t="s">
        <v>103</v>
      </c>
      <c r="I32" s="161">
        <v>19</v>
      </c>
      <c r="J32" s="26">
        <v>2400</v>
      </c>
      <c r="K32" s="10">
        <f t="shared" si="54"/>
        <v>126.31578947368421</v>
      </c>
      <c r="L32" s="161">
        <v>19</v>
      </c>
      <c r="M32" s="11">
        <f t="shared" si="55"/>
        <v>2248.1739130434785</v>
      </c>
      <c r="N32" s="10">
        <f t="shared" si="56"/>
        <v>118.32494279176203</v>
      </c>
      <c r="O32" s="12">
        <f t="shared" si="50"/>
        <v>0</v>
      </c>
      <c r="P32" s="13">
        <f t="shared" si="51"/>
        <v>-7.9908466819221786</v>
      </c>
      <c r="Q32" s="152">
        <f t="shared" si="52"/>
        <v>0.93673913043478274</v>
      </c>
      <c r="R32" s="442"/>
      <c r="S32" s="28">
        <v>0.27430555555555558</v>
      </c>
      <c r="T32" s="28">
        <v>0.35416666666666669</v>
      </c>
      <c r="U32" s="153">
        <f t="shared" ref="U32:U36" si="58">(S32-T31)*24*60</f>
        <v>6.9999999999999751</v>
      </c>
      <c r="V32" s="162">
        <f t="shared" si="53"/>
        <v>114.99999999999999</v>
      </c>
      <c r="W32" s="153"/>
      <c r="X32" s="153"/>
      <c r="Y32" s="443"/>
      <c r="Z32" s="443"/>
      <c r="AA32" s="12">
        <f t="shared" si="2"/>
        <v>-151.82608695652152</v>
      </c>
      <c r="AB32" s="152">
        <f t="shared" si="57"/>
        <v>0.93673913043478274</v>
      </c>
      <c r="AC32" s="442"/>
    </row>
    <row r="33" spans="1:29">
      <c r="A33" s="462" t="s">
        <v>497</v>
      </c>
      <c r="B33" s="31" t="s">
        <v>67</v>
      </c>
      <c r="C33" s="441" t="s">
        <v>76</v>
      </c>
      <c r="D33" s="441"/>
      <c r="E33" s="31">
        <v>20.52</v>
      </c>
      <c r="F33" s="164">
        <v>2717</v>
      </c>
      <c r="G33" s="153">
        <f t="shared" si="49"/>
        <v>55752.84</v>
      </c>
      <c r="H33" s="160" t="s">
        <v>103</v>
      </c>
      <c r="I33" s="161">
        <v>18</v>
      </c>
      <c r="J33" s="26">
        <v>2400</v>
      </c>
      <c r="K33" s="10">
        <f t="shared" si="54"/>
        <v>133.33333333333334</v>
      </c>
      <c r="L33" s="161">
        <v>18</v>
      </c>
      <c r="M33" s="11">
        <f t="shared" si="55"/>
        <v>2264.1666666666674</v>
      </c>
      <c r="N33" s="10">
        <f t="shared" si="56"/>
        <v>125.78703703703708</v>
      </c>
      <c r="O33" s="12">
        <f t="shared" si="50"/>
        <v>0</v>
      </c>
      <c r="P33" s="13">
        <f t="shared" si="51"/>
        <v>-7.5462962962962621</v>
      </c>
      <c r="Q33" s="152">
        <f t="shared" si="52"/>
        <v>0.94340277777777803</v>
      </c>
      <c r="R33" s="442"/>
      <c r="S33" s="28">
        <v>0.35833333333333334</v>
      </c>
      <c r="T33" s="28">
        <v>0.40833333333333333</v>
      </c>
      <c r="U33" s="153">
        <f t="shared" si="58"/>
        <v>5.9999999999999787</v>
      </c>
      <c r="V33" s="162">
        <f t="shared" si="53"/>
        <v>71.999999999999986</v>
      </c>
      <c r="W33" s="16"/>
      <c r="X33" s="16"/>
      <c r="Y33" s="443"/>
      <c r="Z33" s="443"/>
      <c r="AA33" s="12">
        <f t="shared" si="2"/>
        <v>-135.83333333333258</v>
      </c>
      <c r="AB33" s="152">
        <f t="shared" si="57"/>
        <v>0.94340277777777815</v>
      </c>
      <c r="AC33" s="442"/>
    </row>
    <row r="34" spans="1:29">
      <c r="A34" s="462" t="s">
        <v>497</v>
      </c>
      <c r="B34" s="31" t="s">
        <v>67</v>
      </c>
      <c r="C34" s="441" t="s">
        <v>77</v>
      </c>
      <c r="D34" s="441"/>
      <c r="E34" s="31">
        <v>26.2</v>
      </c>
      <c r="F34" s="164">
        <v>3526</v>
      </c>
      <c r="G34" s="153">
        <f t="shared" si="49"/>
        <v>92381.2</v>
      </c>
      <c r="H34" s="160" t="s">
        <v>103</v>
      </c>
      <c r="I34" s="161">
        <v>19</v>
      </c>
      <c r="J34" s="26">
        <v>2400</v>
      </c>
      <c r="K34" s="10">
        <f t="shared" si="54"/>
        <v>126.31578947368421</v>
      </c>
      <c r="L34" s="161">
        <v>19</v>
      </c>
      <c r="M34" s="11">
        <f t="shared" si="55"/>
        <v>2250.6382978723409</v>
      </c>
      <c r="N34" s="10">
        <f t="shared" si="56"/>
        <v>118.45464725643899</v>
      </c>
      <c r="O34" s="12">
        <f t="shared" si="50"/>
        <v>0</v>
      </c>
      <c r="P34" s="13">
        <f t="shared" si="51"/>
        <v>-7.8611422172452166</v>
      </c>
      <c r="Q34" s="152">
        <f t="shared" si="52"/>
        <v>0.93776595744680868</v>
      </c>
      <c r="R34" s="442"/>
      <c r="S34" s="28">
        <v>0.41180555555555554</v>
      </c>
      <c r="T34" s="28">
        <v>0.4770833333333333</v>
      </c>
      <c r="U34" s="153">
        <f t="shared" si="58"/>
        <v>4.9999999999999822</v>
      </c>
      <c r="V34" s="162">
        <f t="shared" si="53"/>
        <v>93.999999999999986</v>
      </c>
      <c r="W34" s="16"/>
      <c r="X34" s="16"/>
      <c r="Y34" s="443"/>
      <c r="Z34" s="443"/>
      <c r="AA34" s="12">
        <f t="shared" si="2"/>
        <v>-149.3617021276591</v>
      </c>
      <c r="AB34" s="152">
        <f t="shared" si="57"/>
        <v>0.93776595744680868</v>
      </c>
      <c r="AC34" s="442"/>
    </row>
    <row r="35" spans="1:29">
      <c r="A35" s="462" t="s">
        <v>499</v>
      </c>
      <c r="B35" s="31" t="s">
        <v>67</v>
      </c>
      <c r="C35" s="441" t="s">
        <v>78</v>
      </c>
      <c r="D35" s="441"/>
      <c r="E35" s="31">
        <v>25.98</v>
      </c>
      <c r="F35" s="164">
        <v>2400</v>
      </c>
      <c r="G35" s="153">
        <f t="shared" si="49"/>
        <v>62352</v>
      </c>
      <c r="H35" s="160">
        <v>2</v>
      </c>
      <c r="I35" s="161">
        <v>17</v>
      </c>
      <c r="J35" s="26">
        <v>2400</v>
      </c>
      <c r="K35" s="10">
        <f t="shared" si="54"/>
        <v>141.1764705882353</v>
      </c>
      <c r="L35" s="161">
        <v>17</v>
      </c>
      <c r="M35" s="11">
        <f t="shared" si="55"/>
        <v>2250.0000000000027</v>
      </c>
      <c r="N35" s="10">
        <f t="shared" si="56"/>
        <v>132.35294117647075</v>
      </c>
      <c r="O35" s="12">
        <f t="shared" si="50"/>
        <v>0</v>
      </c>
      <c r="P35" s="13">
        <f t="shared" si="51"/>
        <v>-8.8235294117645537</v>
      </c>
      <c r="Q35" s="152">
        <f t="shared" si="52"/>
        <v>0.93750000000000111</v>
      </c>
      <c r="R35" s="442"/>
      <c r="S35" s="28">
        <v>0.48263888888888884</v>
      </c>
      <c r="T35" s="28">
        <v>0.52708333333333324</v>
      </c>
      <c r="U35" s="153">
        <f t="shared" si="58"/>
        <v>7.9999999999999716</v>
      </c>
      <c r="V35" s="162">
        <f t="shared" si="53"/>
        <v>63.999999999999929</v>
      </c>
      <c r="W35" s="16">
        <f>T35</f>
        <v>0.52708333333333324</v>
      </c>
      <c r="X35" s="16">
        <f>S36</f>
        <v>0.56736111111111098</v>
      </c>
      <c r="Y35" s="443"/>
      <c r="Z35" s="443"/>
      <c r="AA35" s="12">
        <f t="shared" si="2"/>
        <v>-149.99999999999727</v>
      </c>
      <c r="AB35" s="152">
        <f t="shared" si="57"/>
        <v>0.93750000000000111</v>
      </c>
      <c r="AC35" s="442"/>
    </row>
    <row r="36" spans="1:29">
      <c r="A36" s="462" t="s">
        <v>497</v>
      </c>
      <c r="B36" s="31" t="s">
        <v>67</v>
      </c>
      <c r="C36" s="441" t="s">
        <v>78</v>
      </c>
      <c r="D36" s="441"/>
      <c r="E36" s="31">
        <v>25.98</v>
      </c>
      <c r="F36" s="164">
        <v>612</v>
      </c>
      <c r="G36" s="153">
        <f t="shared" si="49"/>
        <v>15899.76</v>
      </c>
      <c r="H36" s="160" t="s">
        <v>103</v>
      </c>
      <c r="I36" s="161">
        <v>17</v>
      </c>
      <c r="J36" s="26">
        <v>2400</v>
      </c>
      <c r="K36" s="10">
        <f t="shared" si="54"/>
        <v>141.1764705882353</v>
      </c>
      <c r="L36" s="161">
        <v>17</v>
      </c>
      <c r="M36" s="11">
        <f t="shared" si="55"/>
        <v>2295.0000000000082</v>
      </c>
      <c r="N36" s="10">
        <f t="shared" si="56"/>
        <v>135.00000000000048</v>
      </c>
      <c r="O36" s="12">
        <f t="shared" si="50"/>
        <v>0</v>
      </c>
      <c r="P36" s="13">
        <f t="shared" si="51"/>
        <v>-6.176470588234821</v>
      </c>
      <c r="Q36" s="152">
        <f t="shared" si="52"/>
        <v>0.95625000000000338</v>
      </c>
      <c r="R36" s="442"/>
      <c r="S36" s="28">
        <v>0.56736111111111098</v>
      </c>
      <c r="T36" s="28">
        <v>0.57847222222222205</v>
      </c>
      <c r="U36" s="153">
        <f t="shared" si="58"/>
        <v>57.999999999999957</v>
      </c>
      <c r="V36" s="162">
        <f t="shared" si="53"/>
        <v>15.999999999999943</v>
      </c>
      <c r="W36" s="16"/>
      <c r="X36" s="16"/>
      <c r="Y36" s="447"/>
      <c r="Z36" s="448"/>
      <c r="AA36" s="12">
        <f t="shared" si="2"/>
        <v>-104.99999999999181</v>
      </c>
      <c r="AB36" s="152">
        <f t="shared" si="57"/>
        <v>0.95625000000000338</v>
      </c>
      <c r="AC36" s="442"/>
    </row>
    <row r="37" spans="1:29">
      <c r="A37" s="462" t="s">
        <v>497</v>
      </c>
      <c r="B37" s="33" t="s">
        <v>490</v>
      </c>
      <c r="C37" s="446"/>
      <c r="D37" s="446"/>
      <c r="E37" s="158"/>
      <c r="F37" s="33"/>
      <c r="G37" s="10"/>
      <c r="H37" s="164"/>
      <c r="I37" s="19">
        <v>18.285714285714285</v>
      </c>
      <c r="J37" s="26">
        <v>2400</v>
      </c>
      <c r="K37" s="10">
        <f t="shared" si="54"/>
        <v>131.25</v>
      </c>
      <c r="L37" s="19">
        <v>18.285714285714285</v>
      </c>
      <c r="M37" s="11">
        <f>AVERAGE(M30:M36)</f>
        <v>2261.8458279908996</v>
      </c>
      <c r="N37" s="10">
        <f>M37/L37</f>
        <v>123.69469371825232</v>
      </c>
      <c r="O37" s="12">
        <f>L37-I37</f>
        <v>0</v>
      </c>
      <c r="P37" s="13">
        <f t="shared" si="51"/>
        <v>-7.5553062817476757</v>
      </c>
      <c r="Q37" s="152">
        <f t="shared" si="52"/>
        <v>0.9424357616628749</v>
      </c>
      <c r="R37" s="442"/>
      <c r="S37" s="28"/>
      <c r="T37" s="28"/>
      <c r="U37" s="10"/>
      <c r="V37" s="162"/>
      <c r="W37" s="10"/>
      <c r="X37" s="10"/>
      <c r="Y37" s="443"/>
      <c r="Z37" s="443"/>
      <c r="AA37" s="12">
        <f t="shared" si="2"/>
        <v>-138.15417200910042</v>
      </c>
      <c r="AB37" s="152">
        <f t="shared" si="57"/>
        <v>0.94243576166287479</v>
      </c>
      <c r="AC37" s="442"/>
    </row>
    <row r="38" spans="1:29" ht="15.75" customHeight="1">
      <c r="A38" s="453" t="s">
        <v>500</v>
      </c>
      <c r="B38" s="31" t="s">
        <v>79</v>
      </c>
      <c r="C38" s="444" t="s">
        <v>80</v>
      </c>
      <c r="D38" s="445"/>
      <c r="E38" s="31">
        <v>21.13</v>
      </c>
      <c r="F38" s="164">
        <v>3865</v>
      </c>
      <c r="G38" s="153">
        <f t="shared" ref="G38:G44" si="59">E38*F38</f>
        <v>81667.45</v>
      </c>
      <c r="H38" s="160" t="s">
        <v>103</v>
      </c>
      <c r="I38" s="161">
        <v>10</v>
      </c>
      <c r="J38" s="26">
        <v>3000</v>
      </c>
      <c r="K38" s="10">
        <f t="shared" si="54"/>
        <v>300</v>
      </c>
      <c r="L38" s="161">
        <v>10</v>
      </c>
      <c r="M38" s="11">
        <f t="shared" ref="M38:M39" si="60">F38/V38*60</f>
        <v>2828.0487804878048</v>
      </c>
      <c r="N38" s="11">
        <f t="shared" ref="N38:N45" si="61">M38/L38</f>
        <v>282.80487804878049</v>
      </c>
      <c r="O38" s="12">
        <f t="shared" ref="O38:O45" si="62">L38-I38</f>
        <v>0</v>
      </c>
      <c r="P38" s="13">
        <f t="shared" si="51"/>
        <v>-17.195121951219505</v>
      </c>
      <c r="Q38" s="152">
        <f t="shared" si="52"/>
        <v>0.94268292682926835</v>
      </c>
      <c r="R38" s="456">
        <f>Q45</f>
        <v>0.94676123692545877</v>
      </c>
      <c r="S38" s="28">
        <v>8.3333333333333329E-2</v>
      </c>
      <c r="T38" s="28">
        <v>0.14027777777777778</v>
      </c>
      <c r="U38" s="18"/>
      <c r="V38" s="162">
        <f t="shared" ref="V38:V44" si="63">(T38-S38)*24*60</f>
        <v>82</v>
      </c>
      <c r="W38" s="16">
        <f>T38</f>
        <v>0.14027777777777778</v>
      </c>
      <c r="X38" s="16">
        <f>S39</f>
        <v>0.15972222222222221</v>
      </c>
      <c r="Y38" s="447"/>
      <c r="Z38" s="448"/>
      <c r="AA38" s="12">
        <f t="shared" si="2"/>
        <v>-171.95121951219517</v>
      </c>
      <c r="AB38" s="152">
        <f t="shared" si="57"/>
        <v>0.94268292682926824</v>
      </c>
      <c r="AC38" s="456">
        <f>AB45</f>
        <v>0.94676123692545888</v>
      </c>
    </row>
    <row r="39" spans="1:29" ht="15.75" customHeight="1">
      <c r="A39" s="454" t="s">
        <v>500</v>
      </c>
      <c r="B39" s="31" t="s">
        <v>79</v>
      </c>
      <c r="C39" s="444" t="s">
        <v>81</v>
      </c>
      <c r="D39" s="445"/>
      <c r="E39" s="31">
        <v>27.17</v>
      </c>
      <c r="F39" s="164">
        <v>4818</v>
      </c>
      <c r="G39" s="153">
        <f t="shared" si="59"/>
        <v>130905.06000000001</v>
      </c>
      <c r="H39" s="160" t="s">
        <v>103</v>
      </c>
      <c r="I39" s="161">
        <v>10</v>
      </c>
      <c r="J39" s="26">
        <v>3000</v>
      </c>
      <c r="K39" s="10">
        <f t="shared" si="54"/>
        <v>300</v>
      </c>
      <c r="L39" s="161">
        <v>10</v>
      </c>
      <c r="M39" s="11">
        <f t="shared" si="60"/>
        <v>2834.1176470588234</v>
      </c>
      <c r="N39" s="11">
        <f t="shared" si="61"/>
        <v>283.41176470588232</v>
      </c>
      <c r="O39" s="12">
        <f t="shared" si="62"/>
        <v>0</v>
      </c>
      <c r="P39" s="13">
        <f t="shared" si="51"/>
        <v>-16.58823529411768</v>
      </c>
      <c r="Q39" s="152">
        <f t="shared" si="52"/>
        <v>0.94470588235294106</v>
      </c>
      <c r="R39" s="457"/>
      <c r="S39" s="28">
        <v>0.15972222222222221</v>
      </c>
      <c r="T39" s="28">
        <v>0.23055555555555554</v>
      </c>
      <c r="U39" s="153">
        <f>(S39-T38)*24*60</f>
        <v>27.999999999999979</v>
      </c>
      <c r="V39" s="162">
        <f t="shared" si="63"/>
        <v>102</v>
      </c>
      <c r="W39" s="16"/>
      <c r="X39" s="16"/>
      <c r="Y39" s="447"/>
      <c r="Z39" s="448"/>
      <c r="AA39" s="12">
        <f t="shared" si="2"/>
        <v>-165.88235294117658</v>
      </c>
      <c r="AB39" s="152">
        <f t="shared" si="57"/>
        <v>0.94470588235294117</v>
      </c>
      <c r="AC39" s="457"/>
    </row>
    <row r="40" spans="1:29" ht="15.75" customHeight="1">
      <c r="A40" s="454" t="s">
        <v>500</v>
      </c>
      <c r="B40" s="31" t="s">
        <v>79</v>
      </c>
      <c r="C40" s="444" t="s">
        <v>82</v>
      </c>
      <c r="D40" s="445"/>
      <c r="E40" s="31">
        <v>35.119999999999997</v>
      </c>
      <c r="F40" s="164">
        <v>3506</v>
      </c>
      <c r="G40" s="153">
        <f t="shared" si="59"/>
        <v>123130.71999999999</v>
      </c>
      <c r="H40" s="160" t="s">
        <v>103</v>
      </c>
      <c r="I40" s="161">
        <v>10</v>
      </c>
      <c r="J40" s="26">
        <v>3000</v>
      </c>
      <c r="K40" s="10">
        <f t="shared" si="54"/>
        <v>300</v>
      </c>
      <c r="L40" s="161">
        <v>10</v>
      </c>
      <c r="M40" s="11">
        <f>F40/V40*60</f>
        <v>2842.7027027027034</v>
      </c>
      <c r="N40" s="11">
        <f t="shared" si="61"/>
        <v>284.27027027027032</v>
      </c>
      <c r="O40" s="12">
        <f t="shared" si="62"/>
        <v>0</v>
      </c>
      <c r="P40" s="13">
        <f t="shared" si="51"/>
        <v>-15.729729729729684</v>
      </c>
      <c r="Q40" s="152">
        <f t="shared" si="52"/>
        <v>0.94756756756756777</v>
      </c>
      <c r="R40" s="457"/>
      <c r="S40" s="28">
        <v>0.2361111111111111</v>
      </c>
      <c r="T40" s="28">
        <v>0.28749999999999998</v>
      </c>
      <c r="U40" s="153">
        <f t="shared" ref="U40:U44" si="64">(S40-T39)*24*60</f>
        <v>8.0000000000000107</v>
      </c>
      <c r="V40" s="162">
        <f t="shared" si="63"/>
        <v>73.999999999999972</v>
      </c>
      <c r="W40" s="16"/>
      <c r="X40" s="16"/>
      <c r="Y40" s="447"/>
      <c r="Z40" s="448"/>
      <c r="AA40" s="12">
        <f t="shared" si="2"/>
        <v>-157.29729729729661</v>
      </c>
      <c r="AB40" s="152">
        <f t="shared" si="57"/>
        <v>0.94756756756756777</v>
      </c>
      <c r="AC40" s="457"/>
    </row>
    <row r="41" spans="1:29" ht="15.75" customHeight="1">
      <c r="A41" s="454" t="s">
        <v>500</v>
      </c>
      <c r="B41" s="31" t="s">
        <v>79</v>
      </c>
      <c r="C41" s="444" t="s">
        <v>83</v>
      </c>
      <c r="D41" s="445"/>
      <c r="E41" s="31">
        <v>40.18</v>
      </c>
      <c r="F41" s="164">
        <v>1600</v>
      </c>
      <c r="G41" s="153">
        <f t="shared" si="59"/>
        <v>64288</v>
      </c>
      <c r="H41" s="160" t="s">
        <v>103</v>
      </c>
      <c r="I41" s="161">
        <v>10</v>
      </c>
      <c r="J41" s="26">
        <v>3000</v>
      </c>
      <c r="K41" s="10">
        <f t="shared" si="54"/>
        <v>300</v>
      </c>
      <c r="L41" s="161">
        <v>10</v>
      </c>
      <c r="M41" s="11">
        <f t="shared" ref="M41:M44" si="65">F41/V41*60</f>
        <v>2823.5294117647022</v>
      </c>
      <c r="N41" s="11">
        <f t="shared" si="61"/>
        <v>282.35294117647021</v>
      </c>
      <c r="O41" s="12">
        <f t="shared" si="62"/>
        <v>0</v>
      </c>
      <c r="P41" s="13">
        <f t="shared" si="51"/>
        <v>-17.64705882352979</v>
      </c>
      <c r="Q41" s="152">
        <f t="shared" si="52"/>
        <v>0.94117647058823406</v>
      </c>
      <c r="R41" s="457"/>
      <c r="S41" s="28">
        <v>0.29236111111111107</v>
      </c>
      <c r="T41" s="28">
        <v>0.31597222222222221</v>
      </c>
      <c r="U41" s="153">
        <f t="shared" si="64"/>
        <v>6.9999999999999751</v>
      </c>
      <c r="V41" s="162">
        <f t="shared" si="63"/>
        <v>34.000000000000043</v>
      </c>
      <c r="W41" s="16"/>
      <c r="X41" s="16"/>
      <c r="Y41" s="447"/>
      <c r="Z41" s="448"/>
      <c r="AA41" s="12">
        <f t="shared" si="2"/>
        <v>-176.47058823529778</v>
      </c>
      <c r="AB41" s="152">
        <f t="shared" si="57"/>
        <v>0.94117647058823406</v>
      </c>
      <c r="AC41" s="457"/>
    </row>
    <row r="42" spans="1:29" ht="15.75" customHeight="1">
      <c r="A42" s="454" t="s">
        <v>500</v>
      </c>
      <c r="B42" s="31" t="s">
        <v>79</v>
      </c>
      <c r="C42" s="444" t="s">
        <v>84</v>
      </c>
      <c r="D42" s="445"/>
      <c r="E42" s="31">
        <v>28.5</v>
      </c>
      <c r="F42" s="164">
        <v>921</v>
      </c>
      <c r="G42" s="153">
        <f t="shared" si="59"/>
        <v>26248.5</v>
      </c>
      <c r="H42" s="160" t="s">
        <v>103</v>
      </c>
      <c r="I42" s="161">
        <v>10</v>
      </c>
      <c r="J42" s="26">
        <v>3000</v>
      </c>
      <c r="K42" s="10">
        <f t="shared" si="54"/>
        <v>300</v>
      </c>
      <c r="L42" s="161">
        <v>10</v>
      </c>
      <c r="M42" s="11">
        <f t="shared" si="65"/>
        <v>2908.4210526315769</v>
      </c>
      <c r="N42" s="11">
        <f t="shared" si="61"/>
        <v>290.84210526315769</v>
      </c>
      <c r="O42" s="12">
        <f t="shared" si="62"/>
        <v>0</v>
      </c>
      <c r="P42" s="13">
        <f t="shared" si="51"/>
        <v>-9.1578947368423087</v>
      </c>
      <c r="Q42" s="152">
        <f>N42/K42</f>
        <v>0.9694736842105256</v>
      </c>
      <c r="R42" s="457"/>
      <c r="S42" s="28">
        <v>0.32013888888888886</v>
      </c>
      <c r="T42" s="28">
        <v>0.33333333333333331</v>
      </c>
      <c r="U42" s="153">
        <f t="shared" si="64"/>
        <v>5.9999999999999787</v>
      </c>
      <c r="V42" s="162">
        <f t="shared" si="63"/>
        <v>19.000000000000014</v>
      </c>
      <c r="W42" s="16"/>
      <c r="X42" s="16"/>
      <c r="Y42" s="447"/>
      <c r="Z42" s="448"/>
      <c r="AA42" s="12">
        <f t="shared" si="2"/>
        <v>-91.578947368423087</v>
      </c>
      <c r="AB42" s="152">
        <f t="shared" si="57"/>
        <v>0.9694736842105256</v>
      </c>
      <c r="AC42" s="457"/>
    </row>
    <row r="43" spans="1:29" ht="15.75" customHeight="1">
      <c r="A43" s="454" t="s">
        <v>500</v>
      </c>
      <c r="B43" s="31" t="s">
        <v>79</v>
      </c>
      <c r="C43" s="444" t="s">
        <v>85</v>
      </c>
      <c r="D43" s="445"/>
      <c r="E43" s="31">
        <v>35.869999999999997</v>
      </c>
      <c r="F43" s="164">
        <v>2597</v>
      </c>
      <c r="G43" s="153">
        <f t="shared" si="59"/>
        <v>93154.39</v>
      </c>
      <c r="H43" s="160" t="s">
        <v>103</v>
      </c>
      <c r="I43" s="161">
        <v>10</v>
      </c>
      <c r="J43" s="26">
        <v>3000</v>
      </c>
      <c r="K43" s="10">
        <f t="shared" si="54"/>
        <v>300</v>
      </c>
      <c r="L43" s="161">
        <v>10</v>
      </c>
      <c r="M43" s="11">
        <f t="shared" si="65"/>
        <v>2833.0909090909108</v>
      </c>
      <c r="N43" s="11">
        <f t="shared" si="61"/>
        <v>283.30909090909108</v>
      </c>
      <c r="O43" s="12">
        <f t="shared" si="62"/>
        <v>0</v>
      </c>
      <c r="P43" s="13">
        <f t="shared" si="51"/>
        <v>-16.690909090908917</v>
      </c>
      <c r="Q43" s="152">
        <f t="shared" ref="Q43:Q45" si="66">N43/K43</f>
        <v>0.94436363636363696</v>
      </c>
      <c r="R43" s="457"/>
      <c r="S43" s="28">
        <v>0.33680555555555552</v>
      </c>
      <c r="T43" s="28">
        <v>0.37499999999999994</v>
      </c>
      <c r="U43" s="153">
        <f t="shared" si="64"/>
        <v>4.9999999999999822</v>
      </c>
      <c r="V43" s="162">
        <f t="shared" si="63"/>
        <v>54.999999999999964</v>
      </c>
      <c r="W43" s="16"/>
      <c r="X43" s="16"/>
      <c r="Y43" s="447"/>
      <c r="Z43" s="448"/>
      <c r="AA43" s="12">
        <f t="shared" si="2"/>
        <v>-166.90909090908917</v>
      </c>
      <c r="AB43" s="152">
        <f t="shared" si="57"/>
        <v>0.94436363636363696</v>
      </c>
      <c r="AC43" s="457"/>
    </row>
    <row r="44" spans="1:29" ht="15.75" customHeight="1">
      <c r="A44" s="454" t="s">
        <v>500</v>
      </c>
      <c r="B44" s="31" t="s">
        <v>79</v>
      </c>
      <c r="C44" s="444" t="s">
        <v>86</v>
      </c>
      <c r="D44" s="445"/>
      <c r="E44" s="31">
        <v>36.14</v>
      </c>
      <c r="F44" s="164">
        <v>2484</v>
      </c>
      <c r="G44" s="153">
        <f t="shared" si="59"/>
        <v>89771.76</v>
      </c>
      <c r="H44" s="160" t="s">
        <v>103</v>
      </c>
      <c r="I44" s="161">
        <v>10</v>
      </c>
      <c r="J44" s="26">
        <v>3000</v>
      </c>
      <c r="K44" s="10">
        <f t="shared" si="54"/>
        <v>300</v>
      </c>
      <c r="L44" s="161">
        <v>10</v>
      </c>
      <c r="M44" s="11">
        <f t="shared" si="65"/>
        <v>2812.0754716981146</v>
      </c>
      <c r="N44" s="11">
        <f t="shared" si="61"/>
        <v>281.20754716981145</v>
      </c>
      <c r="O44" s="12">
        <f t="shared" si="62"/>
        <v>0</v>
      </c>
      <c r="P44" s="13">
        <f t="shared" si="51"/>
        <v>-18.792452830188552</v>
      </c>
      <c r="Q44" s="152">
        <f t="shared" si="66"/>
        <v>0.93735849056603815</v>
      </c>
      <c r="R44" s="457"/>
      <c r="S44" s="28">
        <v>0.38055555555555548</v>
      </c>
      <c r="T44" s="28">
        <v>0.41736111111111102</v>
      </c>
      <c r="U44" s="153">
        <f t="shared" si="64"/>
        <v>7.9999999999999716</v>
      </c>
      <c r="V44" s="162">
        <f t="shared" si="63"/>
        <v>52.999999999999972</v>
      </c>
      <c r="W44" s="16"/>
      <c r="X44" s="16"/>
      <c r="Y44" s="447"/>
      <c r="Z44" s="448"/>
      <c r="AA44" s="12">
        <f t="shared" si="2"/>
        <v>-187.9245283018854</v>
      </c>
      <c r="AB44" s="152">
        <f t="shared" si="57"/>
        <v>0.93735849056603815</v>
      </c>
      <c r="AC44" s="457"/>
    </row>
    <row r="45" spans="1:29" ht="15.75" customHeight="1">
      <c r="A45" s="455" t="s">
        <v>500</v>
      </c>
      <c r="B45" s="31" t="s">
        <v>501</v>
      </c>
      <c r="C45" s="459"/>
      <c r="D45" s="460"/>
      <c r="E45" s="159"/>
      <c r="F45" s="164"/>
      <c r="G45" s="153"/>
      <c r="H45" s="164"/>
      <c r="I45" s="19">
        <v>10</v>
      </c>
      <c r="J45" s="26">
        <v>3000</v>
      </c>
      <c r="K45" s="10">
        <f>J45/I45</f>
        <v>300</v>
      </c>
      <c r="L45" s="19">
        <v>10</v>
      </c>
      <c r="M45" s="11">
        <f>AVERAGE(M38:M44)</f>
        <v>2840.2837107763767</v>
      </c>
      <c r="N45" s="10">
        <f t="shared" si="61"/>
        <v>284.02837107763764</v>
      </c>
      <c r="O45" s="12">
        <f t="shared" si="62"/>
        <v>0</v>
      </c>
      <c r="P45" s="13">
        <f t="shared" si="51"/>
        <v>-15.971628922362356</v>
      </c>
      <c r="Q45" s="152">
        <f t="shared" si="66"/>
        <v>0.94676123692545877</v>
      </c>
      <c r="R45" s="458"/>
      <c r="S45" s="28"/>
      <c r="T45" s="28"/>
      <c r="U45" s="153"/>
      <c r="V45" s="162"/>
      <c r="W45" s="16"/>
      <c r="X45" s="16"/>
      <c r="Y45" s="447"/>
      <c r="Z45" s="448"/>
      <c r="AA45" s="12">
        <f t="shared" si="2"/>
        <v>-159.71628922362333</v>
      </c>
      <c r="AB45" s="152">
        <f t="shared" si="57"/>
        <v>0.94676123692545888</v>
      </c>
      <c r="AC45" s="458"/>
    </row>
    <row r="46" spans="1:29" ht="15.75" customHeight="1">
      <c r="A46" s="451" t="s">
        <v>502</v>
      </c>
      <c r="B46" s="31" t="s">
        <v>53</v>
      </c>
      <c r="C46" s="441" t="s">
        <v>87</v>
      </c>
      <c r="D46" s="441"/>
      <c r="E46" s="31">
        <v>46</v>
      </c>
      <c r="F46" s="35">
        <v>2442</v>
      </c>
      <c r="G46" s="153">
        <f t="shared" ref="G46:G51" si="67">E46*F46</f>
        <v>112332</v>
      </c>
      <c r="H46" s="160" t="s">
        <v>103</v>
      </c>
      <c r="I46" s="161">
        <v>17</v>
      </c>
      <c r="J46" s="26">
        <v>2000</v>
      </c>
      <c r="K46" s="10">
        <f t="shared" ref="K46:K51" si="68">J46/I46</f>
        <v>117.64705882352941</v>
      </c>
      <c r="L46" s="161">
        <v>17</v>
      </c>
      <c r="M46" s="11">
        <f t="shared" ref="M46:M51" si="69">F46/V46*60</f>
        <v>1878.4615384615374</v>
      </c>
      <c r="N46" s="11">
        <f>M46/L46</f>
        <v>110.49773755656102</v>
      </c>
      <c r="O46" s="12">
        <f>L46-I46</f>
        <v>0</v>
      </c>
      <c r="P46" s="13">
        <f>N46-K46</f>
        <v>-7.1493212669683857</v>
      </c>
      <c r="Q46" s="152">
        <f>N46/K46</f>
        <v>0.93923076923076876</v>
      </c>
      <c r="R46" s="442">
        <f>Q52</f>
        <v>0.9407371571818649</v>
      </c>
      <c r="S46" s="28">
        <v>0.25</v>
      </c>
      <c r="T46" s="28">
        <v>0.3041666666666667</v>
      </c>
      <c r="U46" s="18"/>
      <c r="V46" s="162">
        <f t="shared" ref="V46:V51" si="70">(T46-S46)*24*60</f>
        <v>78.000000000000043</v>
      </c>
      <c r="W46" s="18"/>
      <c r="X46" s="18"/>
      <c r="Y46" s="443"/>
      <c r="Z46" s="443"/>
      <c r="AA46" s="12">
        <f t="shared" si="2"/>
        <v>-121.53846153846257</v>
      </c>
      <c r="AB46" s="152">
        <f t="shared" si="57"/>
        <v>0.93923076923076876</v>
      </c>
      <c r="AC46" s="442">
        <f>AB52</f>
        <v>0.9407371571818649</v>
      </c>
    </row>
    <row r="47" spans="1:29" ht="15.75" customHeight="1">
      <c r="A47" s="451" t="s">
        <v>502</v>
      </c>
      <c r="B47" s="31" t="s">
        <v>53</v>
      </c>
      <c r="C47" s="441" t="s">
        <v>88</v>
      </c>
      <c r="D47" s="441"/>
      <c r="E47" s="31">
        <v>46</v>
      </c>
      <c r="F47" s="35">
        <v>2668</v>
      </c>
      <c r="G47" s="153">
        <f t="shared" si="67"/>
        <v>122728</v>
      </c>
      <c r="H47" s="160" t="s">
        <v>103</v>
      </c>
      <c r="I47" s="161">
        <v>18</v>
      </c>
      <c r="J47" s="26">
        <v>2000</v>
      </c>
      <c r="K47" s="10">
        <f t="shared" si="68"/>
        <v>111.11111111111111</v>
      </c>
      <c r="L47" s="161">
        <v>18</v>
      </c>
      <c r="M47" s="11">
        <f t="shared" si="69"/>
        <v>1883.2941176470586</v>
      </c>
      <c r="N47" s="11">
        <f t="shared" ref="N47:N51" si="71">M47/L47</f>
        <v>104.62745098039214</v>
      </c>
      <c r="O47" s="12">
        <f t="shared" ref="O47:O51" si="72">L47-I47</f>
        <v>0</v>
      </c>
      <c r="P47" s="13">
        <f t="shared" ref="P47:P51" si="73">N47-K47</f>
        <v>-6.4836601307189738</v>
      </c>
      <c r="Q47" s="152">
        <f t="shared" ref="Q47:Q51" si="74">N47/K47</f>
        <v>0.94164705882352928</v>
      </c>
      <c r="R47" s="442"/>
      <c r="S47" s="28">
        <v>0.30763888888888891</v>
      </c>
      <c r="T47" s="28">
        <v>0.3666666666666667</v>
      </c>
      <c r="U47" s="153">
        <f>IF(S47=TIME(17,0,0),"",(S47-T46)*24*60)</f>
        <v>4.9999999999999822</v>
      </c>
      <c r="V47" s="162">
        <f t="shared" si="70"/>
        <v>85.000000000000014</v>
      </c>
      <c r="W47" s="16"/>
      <c r="X47" s="16"/>
      <c r="Y47" s="443"/>
      <c r="Z47" s="443"/>
      <c r="AA47" s="12">
        <f t="shared" si="2"/>
        <v>-116.70588235294144</v>
      </c>
      <c r="AB47" s="152">
        <f t="shared" si="57"/>
        <v>0.94164705882352928</v>
      </c>
      <c r="AC47" s="442"/>
    </row>
    <row r="48" spans="1:29" ht="15.75" customHeight="1">
      <c r="A48" s="451" t="s">
        <v>502</v>
      </c>
      <c r="B48" s="31" t="s">
        <v>58</v>
      </c>
      <c r="C48" s="444" t="s">
        <v>168</v>
      </c>
      <c r="D48" s="445"/>
      <c r="E48" s="31">
        <v>54.09</v>
      </c>
      <c r="F48" s="35">
        <v>338</v>
      </c>
      <c r="G48" s="153">
        <f t="shared" si="67"/>
        <v>18282.420000000002</v>
      </c>
      <c r="H48" s="160" t="s">
        <v>103</v>
      </c>
      <c r="I48" s="161">
        <v>16</v>
      </c>
      <c r="J48" s="26">
        <v>2000</v>
      </c>
      <c r="K48" s="10">
        <f t="shared" si="68"/>
        <v>125</v>
      </c>
      <c r="L48" s="161">
        <v>16</v>
      </c>
      <c r="M48" s="11">
        <f t="shared" si="69"/>
        <v>1843.6363636363701</v>
      </c>
      <c r="N48" s="11">
        <f t="shared" si="71"/>
        <v>115.22727272727313</v>
      </c>
      <c r="O48" s="12">
        <f t="shared" si="72"/>
        <v>0</v>
      </c>
      <c r="P48" s="13">
        <f t="shared" si="73"/>
        <v>-9.7727272727268684</v>
      </c>
      <c r="Q48" s="152">
        <f t="shared" si="74"/>
        <v>0.92181818181818509</v>
      </c>
      <c r="R48" s="442"/>
      <c r="S48" s="28">
        <v>0.37013888888888891</v>
      </c>
      <c r="T48" s="28">
        <v>0.37777777777777777</v>
      </c>
      <c r="U48" s="153">
        <f t="shared" ref="U48:U51" si="75">IF(S48=TIME(17,0,0),"",(S48-T47)*24*60)</f>
        <v>4.9999999999999822</v>
      </c>
      <c r="V48" s="162">
        <f t="shared" si="70"/>
        <v>10.999999999999961</v>
      </c>
      <c r="W48" s="16"/>
      <c r="X48" s="16"/>
      <c r="Y48" s="156"/>
      <c r="Z48" s="157"/>
      <c r="AA48" s="12">
        <f t="shared" si="2"/>
        <v>-156.36363636362989</v>
      </c>
      <c r="AB48" s="152">
        <f t="shared" si="57"/>
        <v>0.92181818181818509</v>
      </c>
      <c r="AC48" s="442"/>
    </row>
    <row r="49" spans="1:29" ht="15.75" customHeight="1">
      <c r="A49" s="451" t="s">
        <v>502</v>
      </c>
      <c r="B49" s="31" t="s">
        <v>58</v>
      </c>
      <c r="C49" s="154" t="s">
        <v>89</v>
      </c>
      <c r="D49" s="155"/>
      <c r="E49" s="31">
        <v>55.56</v>
      </c>
      <c r="F49" s="35">
        <v>2109</v>
      </c>
      <c r="G49" s="153">
        <f t="shared" si="67"/>
        <v>117176.04000000001</v>
      </c>
      <c r="H49" s="160" t="s">
        <v>103</v>
      </c>
      <c r="I49" s="161">
        <v>17</v>
      </c>
      <c r="J49" s="26">
        <v>2000</v>
      </c>
      <c r="K49" s="10">
        <f t="shared" si="68"/>
        <v>117.64705882352941</v>
      </c>
      <c r="L49" s="161">
        <v>17</v>
      </c>
      <c r="M49" s="11">
        <f t="shared" si="69"/>
        <v>1888.656716417908</v>
      </c>
      <c r="N49" s="11">
        <f t="shared" si="71"/>
        <v>111.09745390693577</v>
      </c>
      <c r="O49" s="12">
        <f t="shared" si="72"/>
        <v>0</v>
      </c>
      <c r="P49" s="13">
        <f t="shared" si="73"/>
        <v>-6.549604916593637</v>
      </c>
      <c r="Q49" s="152">
        <f t="shared" si="74"/>
        <v>0.94432835820895411</v>
      </c>
      <c r="R49" s="442"/>
      <c r="S49" s="28">
        <v>0.70833333333333337</v>
      </c>
      <c r="T49" s="28">
        <v>0.7548611111111112</v>
      </c>
      <c r="U49" s="153" t="str">
        <f t="shared" si="75"/>
        <v/>
      </c>
      <c r="V49" s="162">
        <f t="shared" si="70"/>
        <v>67.000000000000085</v>
      </c>
      <c r="W49" s="16"/>
      <c r="X49" s="16"/>
      <c r="Y49" s="156"/>
      <c r="Z49" s="157"/>
      <c r="AA49" s="12">
        <f t="shared" si="2"/>
        <v>-111.343283582092</v>
      </c>
      <c r="AB49" s="152">
        <f t="shared" si="57"/>
        <v>0.944328358208954</v>
      </c>
      <c r="AC49" s="442"/>
    </row>
    <row r="50" spans="1:29" ht="15.75" customHeight="1">
      <c r="A50" s="451" t="s">
        <v>502</v>
      </c>
      <c r="B50" s="31" t="s">
        <v>58</v>
      </c>
      <c r="C50" s="154" t="s">
        <v>90</v>
      </c>
      <c r="D50" s="155"/>
      <c r="E50" s="31">
        <v>55.32</v>
      </c>
      <c r="F50" s="35">
        <v>1590</v>
      </c>
      <c r="G50" s="153">
        <f t="shared" si="67"/>
        <v>87958.8</v>
      </c>
      <c r="H50" s="160" t="s">
        <v>103</v>
      </c>
      <c r="I50" s="161">
        <v>15</v>
      </c>
      <c r="J50" s="26">
        <v>2000</v>
      </c>
      <c r="K50" s="10">
        <f t="shared" si="68"/>
        <v>133.33333333333334</v>
      </c>
      <c r="L50" s="161">
        <v>15</v>
      </c>
      <c r="M50" s="11">
        <f t="shared" si="69"/>
        <v>1908.0000000000005</v>
      </c>
      <c r="N50" s="11">
        <f t="shared" si="71"/>
        <v>127.20000000000003</v>
      </c>
      <c r="O50" s="12">
        <f t="shared" si="72"/>
        <v>0</v>
      </c>
      <c r="P50" s="13">
        <f t="shared" si="73"/>
        <v>-6.1333333333333115</v>
      </c>
      <c r="Q50" s="152">
        <f t="shared" si="74"/>
        <v>0.95400000000000018</v>
      </c>
      <c r="R50" s="442"/>
      <c r="S50" s="28">
        <v>0.76041666666666674</v>
      </c>
      <c r="T50" s="28">
        <v>0.79513888888888895</v>
      </c>
      <c r="U50" s="153">
        <f t="shared" si="75"/>
        <v>7.9999999999999716</v>
      </c>
      <c r="V50" s="162">
        <f t="shared" si="70"/>
        <v>49.999999999999986</v>
      </c>
      <c r="W50" s="16"/>
      <c r="X50" s="16"/>
      <c r="Y50" s="156"/>
      <c r="Z50" s="157"/>
      <c r="AA50" s="12">
        <f t="shared" si="2"/>
        <v>-91.999999999999545</v>
      </c>
      <c r="AB50" s="152">
        <f t="shared" si="57"/>
        <v>0.95400000000000018</v>
      </c>
      <c r="AC50" s="442"/>
    </row>
    <row r="51" spans="1:29" ht="15.75" customHeight="1">
      <c r="A51" s="451" t="s">
        <v>502</v>
      </c>
      <c r="B51" s="31" t="s">
        <v>58</v>
      </c>
      <c r="C51" s="444" t="s">
        <v>91</v>
      </c>
      <c r="D51" s="445"/>
      <c r="E51" s="31">
        <v>57.73</v>
      </c>
      <c r="F51" s="35">
        <v>1322</v>
      </c>
      <c r="G51" s="153">
        <f t="shared" si="67"/>
        <v>76319.06</v>
      </c>
      <c r="H51" s="160" t="s">
        <v>103</v>
      </c>
      <c r="I51" s="161">
        <v>16</v>
      </c>
      <c r="J51" s="26">
        <v>1500</v>
      </c>
      <c r="K51" s="10">
        <f t="shared" si="68"/>
        <v>93.75</v>
      </c>
      <c r="L51" s="161">
        <v>16</v>
      </c>
      <c r="M51" s="11">
        <f t="shared" si="69"/>
        <v>1416.4285714285725</v>
      </c>
      <c r="N51" s="11">
        <f t="shared" si="71"/>
        <v>88.526785714285779</v>
      </c>
      <c r="O51" s="12">
        <f t="shared" si="72"/>
        <v>0</v>
      </c>
      <c r="P51" s="13">
        <f t="shared" si="73"/>
        <v>-5.2232142857142208</v>
      </c>
      <c r="Q51" s="152">
        <f t="shared" si="74"/>
        <v>0.94428571428571495</v>
      </c>
      <c r="R51" s="442"/>
      <c r="S51" s="28">
        <v>0.8</v>
      </c>
      <c r="T51" s="28">
        <v>0.83888888888888891</v>
      </c>
      <c r="U51" s="153">
        <f t="shared" si="75"/>
        <v>6.9999999999999751</v>
      </c>
      <c r="V51" s="162">
        <f t="shared" si="70"/>
        <v>55.999999999999957</v>
      </c>
      <c r="W51" s="16"/>
      <c r="X51" s="16"/>
      <c r="Y51" s="447"/>
      <c r="Z51" s="448"/>
      <c r="AA51" s="12">
        <f t="shared" si="2"/>
        <v>-83.571428571427532</v>
      </c>
      <c r="AB51" s="152">
        <f t="shared" si="57"/>
        <v>0.94428571428571495</v>
      </c>
      <c r="AC51" s="442"/>
    </row>
    <row r="52" spans="1:29">
      <c r="A52" s="452" t="s">
        <v>502</v>
      </c>
      <c r="B52" s="31" t="s">
        <v>501</v>
      </c>
      <c r="C52" s="446"/>
      <c r="D52" s="446"/>
      <c r="E52" s="158"/>
      <c r="F52" s="33"/>
      <c r="G52" s="10"/>
      <c r="H52" s="164"/>
      <c r="I52" s="19">
        <v>16.5</v>
      </c>
      <c r="J52" s="26">
        <v>1916.6666666666667</v>
      </c>
      <c r="K52" s="10">
        <f>J52/I52</f>
        <v>116.16161616161617</v>
      </c>
      <c r="L52" s="19">
        <v>16.5</v>
      </c>
      <c r="M52" s="11">
        <f>AVERAGE(M46:M51)</f>
        <v>1803.0795512652412</v>
      </c>
      <c r="N52" s="10">
        <f>M52/L52</f>
        <v>109.27754856152977</v>
      </c>
      <c r="O52" s="12">
        <f>L52-I52</f>
        <v>0</v>
      </c>
      <c r="P52" s="13">
        <f>N52-K52</f>
        <v>-6.8840676000863965</v>
      </c>
      <c r="Q52" s="152">
        <f>N52/K52</f>
        <v>0.9407371571818649</v>
      </c>
      <c r="R52" s="442"/>
      <c r="S52" s="29"/>
      <c r="T52" s="28"/>
      <c r="U52" s="10"/>
      <c r="V52" s="162"/>
      <c r="W52" s="10"/>
      <c r="X52" s="10"/>
      <c r="Y52" s="443"/>
      <c r="Z52" s="443"/>
      <c r="AA52" s="12">
        <f t="shared" si="2"/>
        <v>-113.58711540142554</v>
      </c>
      <c r="AB52" s="152">
        <f t="shared" si="57"/>
        <v>0.9407371571818649</v>
      </c>
      <c r="AC52" s="442"/>
    </row>
    <row r="53" spans="1:29" ht="15.75" customHeight="1">
      <c r="A53" s="449" t="s">
        <v>503</v>
      </c>
      <c r="B53" s="164" t="s">
        <v>92</v>
      </c>
      <c r="C53" s="441" t="s">
        <v>93</v>
      </c>
      <c r="D53" s="441"/>
      <c r="E53" s="31">
        <v>84.51</v>
      </c>
      <c r="F53" s="35">
        <v>1586</v>
      </c>
      <c r="G53" s="153">
        <f t="shared" ref="G53:G58" si="76">E53*F53</f>
        <v>134032.86000000002</v>
      </c>
      <c r="H53" s="160" t="s">
        <v>103</v>
      </c>
      <c r="I53" s="161">
        <v>17</v>
      </c>
      <c r="J53" s="26">
        <v>2400</v>
      </c>
      <c r="K53" s="10">
        <f t="shared" ref="K53:K58" si="77">J53/I53</f>
        <v>141.1764705882353</v>
      </c>
      <c r="L53" s="19">
        <v>17</v>
      </c>
      <c r="M53" s="11">
        <f t="shared" ref="M53:M58" si="78">F53/V53*60</f>
        <v>2265.7142857142853</v>
      </c>
      <c r="N53" s="10">
        <f>M53/L53</f>
        <v>133.27731092436971</v>
      </c>
      <c r="O53" s="12">
        <f t="shared" ref="O53:O58" si="79">L53-I53</f>
        <v>0</v>
      </c>
      <c r="P53" s="13">
        <f t="shared" ref="P53:P58" si="80">N53-K53</f>
        <v>-7.8991596638655892</v>
      </c>
      <c r="Q53" s="152">
        <f>N53/K53</f>
        <v>0.9440476190476188</v>
      </c>
      <c r="R53" s="442">
        <f>Q59</f>
        <v>0.95177778451487238</v>
      </c>
      <c r="S53" s="28">
        <v>0.125</v>
      </c>
      <c r="T53" s="28">
        <v>0.15416666666666667</v>
      </c>
      <c r="U53" s="153"/>
      <c r="V53" s="162">
        <f t="shared" ref="V53:V58" si="81">(T53-S53)*24*60</f>
        <v>42.000000000000014</v>
      </c>
      <c r="W53" s="18"/>
      <c r="X53" s="18"/>
      <c r="Y53" s="443"/>
      <c r="Z53" s="443"/>
      <c r="AA53" s="12">
        <f t="shared" si="2"/>
        <v>-134.28571428571468</v>
      </c>
      <c r="AB53" s="152">
        <f t="shared" si="57"/>
        <v>0.94404761904761891</v>
      </c>
      <c r="AC53" s="442">
        <f>AB59</f>
        <v>0.95177778451487238</v>
      </c>
    </row>
    <row r="54" spans="1:29" ht="15.75" customHeight="1">
      <c r="A54" s="449" t="s">
        <v>503</v>
      </c>
      <c r="B54" s="164" t="s">
        <v>79</v>
      </c>
      <c r="C54" s="441" t="s">
        <v>94</v>
      </c>
      <c r="D54" s="441"/>
      <c r="E54" s="31">
        <v>26.78</v>
      </c>
      <c r="F54" s="35">
        <v>2184</v>
      </c>
      <c r="G54" s="153">
        <f t="shared" si="76"/>
        <v>58487.520000000004</v>
      </c>
      <c r="H54" s="160" t="s">
        <v>103</v>
      </c>
      <c r="I54" s="161">
        <v>10</v>
      </c>
      <c r="J54" s="26">
        <v>3000</v>
      </c>
      <c r="K54" s="10">
        <f t="shared" si="77"/>
        <v>300</v>
      </c>
      <c r="L54" s="19">
        <v>10</v>
      </c>
      <c r="M54" s="11">
        <f t="shared" si="78"/>
        <v>2848.695652173913</v>
      </c>
      <c r="N54" s="10">
        <f t="shared" ref="N54:N58" si="82">M54/L54</f>
        <v>284.86956521739131</v>
      </c>
      <c r="O54" s="12">
        <f t="shared" si="79"/>
        <v>0</v>
      </c>
      <c r="P54" s="13">
        <f t="shared" si="80"/>
        <v>-15.130434782608688</v>
      </c>
      <c r="Q54" s="152">
        <f t="shared" ref="Q54:Q58" si="83">N54/K54</f>
        <v>0.94956521739130439</v>
      </c>
      <c r="R54" s="442"/>
      <c r="S54" s="28">
        <v>0.1590277777777778</v>
      </c>
      <c r="T54" s="28">
        <v>0.19097222222222224</v>
      </c>
      <c r="U54" s="153">
        <f>(S54-T53)*24*60</f>
        <v>7.0000000000000151</v>
      </c>
      <c r="V54" s="162">
        <f t="shared" si="81"/>
        <v>46</v>
      </c>
      <c r="W54" s="16">
        <f>T54</f>
        <v>0.19097222222222224</v>
      </c>
      <c r="X54" s="16">
        <f>S55</f>
        <v>0.21041666666666667</v>
      </c>
      <c r="Y54" s="443"/>
      <c r="Z54" s="443"/>
      <c r="AA54" s="12">
        <f t="shared" si="2"/>
        <v>-151.304347826087</v>
      </c>
      <c r="AB54" s="152">
        <f t="shared" si="57"/>
        <v>0.94956521739130428</v>
      </c>
      <c r="AC54" s="442"/>
    </row>
    <row r="55" spans="1:29" ht="15.75" customHeight="1">
      <c r="A55" s="449" t="s">
        <v>503</v>
      </c>
      <c r="B55" s="164" t="s">
        <v>79</v>
      </c>
      <c r="C55" s="441" t="s">
        <v>95</v>
      </c>
      <c r="D55" s="441"/>
      <c r="E55" s="31">
        <v>35.369999999999997</v>
      </c>
      <c r="F55" s="35">
        <v>1351</v>
      </c>
      <c r="G55" s="153">
        <f t="shared" si="76"/>
        <v>47784.869999999995</v>
      </c>
      <c r="H55" s="160" t="s">
        <v>103</v>
      </c>
      <c r="I55" s="161">
        <v>10</v>
      </c>
      <c r="J55" s="26">
        <v>3000</v>
      </c>
      <c r="K55" s="10">
        <f t="shared" si="77"/>
        <v>300</v>
      </c>
      <c r="L55" s="19">
        <v>10</v>
      </c>
      <c r="M55" s="11">
        <f t="shared" si="78"/>
        <v>2894.9999999999977</v>
      </c>
      <c r="N55" s="10">
        <f t="shared" si="82"/>
        <v>289.49999999999977</v>
      </c>
      <c r="O55" s="12">
        <f t="shared" si="79"/>
        <v>0</v>
      </c>
      <c r="P55" s="13">
        <f t="shared" si="80"/>
        <v>-10.500000000000227</v>
      </c>
      <c r="Q55" s="152">
        <f t="shared" si="83"/>
        <v>0.96499999999999919</v>
      </c>
      <c r="R55" s="442"/>
      <c r="S55" s="28">
        <v>0.21041666666666667</v>
      </c>
      <c r="T55" s="28">
        <v>0.22986111111111113</v>
      </c>
      <c r="U55" s="153">
        <f t="shared" ref="U55:U58" si="84">(S55-T54)*24*60</f>
        <v>27.999999999999979</v>
      </c>
      <c r="V55" s="162">
        <f t="shared" si="81"/>
        <v>28.000000000000021</v>
      </c>
      <c r="W55" s="16"/>
      <c r="X55" s="16"/>
      <c r="Y55" s="443"/>
      <c r="Z55" s="443"/>
      <c r="AA55" s="12">
        <f t="shared" si="2"/>
        <v>-105.00000000000227</v>
      </c>
      <c r="AB55" s="152">
        <f t="shared" si="57"/>
        <v>0.96499999999999919</v>
      </c>
      <c r="AC55" s="442"/>
    </row>
    <row r="56" spans="1:29" ht="15.75" customHeight="1">
      <c r="A56" s="449" t="s">
        <v>503</v>
      </c>
      <c r="B56" s="164" t="s">
        <v>53</v>
      </c>
      <c r="C56" s="441" t="s">
        <v>96</v>
      </c>
      <c r="D56" s="441"/>
      <c r="E56" s="31">
        <v>26.97</v>
      </c>
      <c r="F56" s="35">
        <v>2703</v>
      </c>
      <c r="G56" s="153">
        <f t="shared" si="76"/>
        <v>72899.91</v>
      </c>
      <c r="H56" s="160" t="s">
        <v>103</v>
      </c>
      <c r="I56" s="161">
        <v>8</v>
      </c>
      <c r="J56" s="26">
        <v>1500</v>
      </c>
      <c r="K56" s="10">
        <f t="shared" si="77"/>
        <v>187.5</v>
      </c>
      <c r="L56" s="19">
        <v>8</v>
      </c>
      <c r="M56" s="11">
        <f t="shared" si="78"/>
        <v>1410.260869565217</v>
      </c>
      <c r="N56" s="10">
        <f t="shared" si="82"/>
        <v>176.28260869565213</v>
      </c>
      <c r="O56" s="12">
        <f t="shared" si="79"/>
        <v>0</v>
      </c>
      <c r="P56" s="13">
        <f t="shared" si="80"/>
        <v>-11.217391304347871</v>
      </c>
      <c r="Q56" s="152">
        <f t="shared" si="83"/>
        <v>0.94017391304347797</v>
      </c>
      <c r="R56" s="442"/>
      <c r="S56" s="28">
        <v>0.23541666666666669</v>
      </c>
      <c r="T56" s="28">
        <v>0.31527777777777782</v>
      </c>
      <c r="U56" s="153">
        <f t="shared" si="84"/>
        <v>8.0000000000000107</v>
      </c>
      <c r="V56" s="162">
        <f t="shared" si="81"/>
        <v>115.00000000000003</v>
      </c>
      <c r="W56" s="153"/>
      <c r="X56" s="153"/>
      <c r="Y56" s="443"/>
      <c r="Z56" s="443"/>
      <c r="AA56" s="12">
        <f t="shared" si="2"/>
        <v>-89.739130434782965</v>
      </c>
      <c r="AB56" s="152">
        <f t="shared" si="57"/>
        <v>0.94017391304347797</v>
      </c>
      <c r="AC56" s="442"/>
    </row>
    <row r="57" spans="1:29">
      <c r="A57" s="450" t="s">
        <v>503</v>
      </c>
      <c r="B57" s="164" t="s">
        <v>79</v>
      </c>
      <c r="C57" s="441" t="s">
        <v>97</v>
      </c>
      <c r="D57" s="441"/>
      <c r="E57" s="31">
        <v>35.119999999999997</v>
      </c>
      <c r="F57" s="35">
        <v>1057</v>
      </c>
      <c r="G57" s="153">
        <f t="shared" si="76"/>
        <v>37121.839999999997</v>
      </c>
      <c r="H57" s="160" t="s">
        <v>103</v>
      </c>
      <c r="I57" s="161">
        <v>13</v>
      </c>
      <c r="J57" s="26">
        <v>2000</v>
      </c>
      <c r="K57" s="10">
        <f t="shared" si="77"/>
        <v>153.84615384615384</v>
      </c>
      <c r="L57" s="19">
        <v>13</v>
      </c>
      <c r="M57" s="11">
        <f t="shared" si="78"/>
        <v>1921.818181818184</v>
      </c>
      <c r="N57" s="10">
        <f t="shared" si="82"/>
        <v>147.83216783216801</v>
      </c>
      <c r="O57" s="12">
        <f t="shared" si="79"/>
        <v>0</v>
      </c>
      <c r="P57" s="13">
        <f t="shared" si="80"/>
        <v>-6.0139860139858285</v>
      </c>
      <c r="Q57" s="152">
        <f t="shared" si="83"/>
        <v>0.96090909090909216</v>
      </c>
      <c r="R57" s="442"/>
      <c r="S57" s="28">
        <v>0.32013888888888892</v>
      </c>
      <c r="T57" s="28">
        <v>0.34305555555555556</v>
      </c>
      <c r="U57" s="153">
        <f t="shared" si="84"/>
        <v>6.9999999999999751</v>
      </c>
      <c r="V57" s="162">
        <f t="shared" si="81"/>
        <v>32.999999999999964</v>
      </c>
      <c r="W57" s="16"/>
      <c r="X57" s="16"/>
      <c r="Y57" s="443"/>
      <c r="Z57" s="443"/>
      <c r="AA57" s="12">
        <f t="shared" si="2"/>
        <v>-78.18181818181597</v>
      </c>
      <c r="AB57" s="152">
        <f t="shared" si="57"/>
        <v>0.96090909090909205</v>
      </c>
      <c r="AC57" s="442"/>
    </row>
    <row r="58" spans="1:29" ht="15" customHeight="1">
      <c r="A58" s="450" t="s">
        <v>503</v>
      </c>
      <c r="B58" s="164" t="s">
        <v>79</v>
      </c>
      <c r="C58" s="444" t="s">
        <v>98</v>
      </c>
      <c r="D58" s="445"/>
      <c r="E58" s="31">
        <v>35.869999999999997</v>
      </c>
      <c r="F58" s="35">
        <v>2130</v>
      </c>
      <c r="G58" s="153">
        <f t="shared" si="76"/>
        <v>76403.099999999991</v>
      </c>
      <c r="H58" s="160" t="s">
        <v>103</v>
      </c>
      <c r="I58" s="161">
        <v>10</v>
      </c>
      <c r="J58" s="26">
        <v>3000</v>
      </c>
      <c r="K58" s="10">
        <f t="shared" si="77"/>
        <v>300</v>
      </c>
      <c r="L58" s="19">
        <v>10</v>
      </c>
      <c r="M58" s="11">
        <f t="shared" si="78"/>
        <v>2840</v>
      </c>
      <c r="N58" s="10">
        <f t="shared" si="82"/>
        <v>284</v>
      </c>
      <c r="O58" s="12">
        <f t="shared" si="79"/>
        <v>0</v>
      </c>
      <c r="P58" s="13">
        <f t="shared" si="80"/>
        <v>-16</v>
      </c>
      <c r="Q58" s="152">
        <f t="shared" si="83"/>
        <v>0.94666666666666666</v>
      </c>
      <c r="R58" s="442"/>
      <c r="S58" s="28">
        <v>0.34652777777777777</v>
      </c>
      <c r="T58" s="28">
        <v>0.37777777777777777</v>
      </c>
      <c r="U58" s="153">
        <f t="shared" si="84"/>
        <v>4.9999999999999822</v>
      </c>
      <c r="V58" s="162">
        <f t="shared" si="81"/>
        <v>45</v>
      </c>
      <c r="W58" s="153"/>
      <c r="X58" s="153"/>
      <c r="Y58" s="447"/>
      <c r="Z58" s="448"/>
      <c r="AA58" s="12">
        <f t="shared" si="2"/>
        <v>-160</v>
      </c>
      <c r="AB58" s="152">
        <f t="shared" si="57"/>
        <v>0.94666666666666666</v>
      </c>
      <c r="AC58" s="442"/>
    </row>
    <row r="59" spans="1:29">
      <c r="A59" s="450" t="s">
        <v>503</v>
      </c>
      <c r="B59" s="31" t="s">
        <v>501</v>
      </c>
      <c r="C59" s="446"/>
      <c r="D59" s="446"/>
      <c r="E59" s="158"/>
      <c r="F59" s="33"/>
      <c r="G59" s="10"/>
      <c r="H59" s="164"/>
      <c r="I59" s="19">
        <v>11.333333333333334</v>
      </c>
      <c r="J59" s="26">
        <v>2483.3333333333335</v>
      </c>
      <c r="K59" s="10">
        <f>J59/I59</f>
        <v>219.11764705882354</v>
      </c>
      <c r="L59" s="19">
        <v>11.333333333333334</v>
      </c>
      <c r="M59" s="11">
        <f>AVERAGE(M53:M58)</f>
        <v>2363.5814982119332</v>
      </c>
      <c r="N59" s="10">
        <f>M59/L59</f>
        <v>208.5513086657588</v>
      </c>
      <c r="O59" s="12">
        <f>L59-I59</f>
        <v>0</v>
      </c>
      <c r="P59" s="13">
        <f>N59-K59</f>
        <v>-10.56633839306474</v>
      </c>
      <c r="Q59" s="152">
        <f>N59/K59</f>
        <v>0.95177778451487238</v>
      </c>
      <c r="R59" s="442"/>
      <c r="S59" s="28"/>
      <c r="T59" s="28"/>
      <c r="U59" s="10"/>
      <c r="V59" s="162"/>
      <c r="W59" s="10"/>
      <c r="X59" s="10"/>
      <c r="Y59" s="443"/>
      <c r="Z59" s="443"/>
      <c r="AA59" s="12">
        <f t="shared" si="2"/>
        <v>-119.75183512140029</v>
      </c>
      <c r="AB59" s="152">
        <f t="shared" si="57"/>
        <v>0.95177778451487238</v>
      </c>
      <c r="AC59" s="442"/>
    </row>
    <row r="60" spans="1:29" ht="15.75" customHeight="1">
      <c r="A60" s="439" t="s">
        <v>504</v>
      </c>
      <c r="B60" s="164" t="s">
        <v>67</v>
      </c>
      <c r="C60" s="441" t="s">
        <v>99</v>
      </c>
      <c r="D60" s="441"/>
      <c r="E60" s="31">
        <v>20.2</v>
      </c>
      <c r="F60" s="164">
        <v>1965</v>
      </c>
      <c r="G60" s="153">
        <f t="shared" ref="G60:G64" si="85">E60*F60</f>
        <v>39693</v>
      </c>
      <c r="H60" s="160" t="s">
        <v>103</v>
      </c>
      <c r="I60" s="161">
        <v>19</v>
      </c>
      <c r="J60" s="26">
        <v>2400</v>
      </c>
      <c r="K60" s="10">
        <f t="shared" ref="K60:K62" si="86">J60/I60</f>
        <v>126.31578947368421</v>
      </c>
      <c r="L60" s="19">
        <v>19</v>
      </c>
      <c r="M60" s="11">
        <f>F60/V60*60</f>
        <v>2267.3076923076924</v>
      </c>
      <c r="N60" s="10">
        <f t="shared" ref="N60:N64" si="87">M60/L60</f>
        <v>119.33198380566802</v>
      </c>
      <c r="O60" s="12">
        <f t="shared" ref="O60:O64" si="88">L60-I60</f>
        <v>0</v>
      </c>
      <c r="P60" s="13">
        <f t="shared" ref="P60:P64" si="89">N60-K60</f>
        <v>-6.9838056680161884</v>
      </c>
      <c r="Q60" s="152">
        <f>N60/K60</f>
        <v>0.94471153846153855</v>
      </c>
      <c r="R60" s="442">
        <f>Q65</f>
        <v>0.94385244518557354</v>
      </c>
      <c r="S60" s="28">
        <v>8.3333333333333329E-2</v>
      </c>
      <c r="T60" s="28">
        <v>0.11944444444444444</v>
      </c>
      <c r="U60" s="18"/>
      <c r="V60" s="162">
        <f t="shared" ref="V60:V64" si="90">(T60-S60)*24*60</f>
        <v>51.999999999999993</v>
      </c>
      <c r="W60" s="16">
        <f>T60</f>
        <v>0.11944444444444444</v>
      </c>
      <c r="X60" s="16">
        <f>S61</f>
        <v>0.13888888888888887</v>
      </c>
      <c r="Y60" s="443"/>
      <c r="Z60" s="443"/>
      <c r="AA60" s="12">
        <f t="shared" si="2"/>
        <v>-132.69230769230762</v>
      </c>
      <c r="AB60" s="152">
        <f>M60/J60</f>
        <v>0.94471153846153844</v>
      </c>
      <c r="AC60" s="442">
        <f>AB65</f>
        <v>0.94385244518557343</v>
      </c>
    </row>
    <row r="61" spans="1:29" ht="15.75" customHeight="1">
      <c r="A61" s="439" t="s">
        <v>504</v>
      </c>
      <c r="B61" s="164" t="s">
        <v>67</v>
      </c>
      <c r="C61" s="441" t="s">
        <v>100</v>
      </c>
      <c r="D61" s="441"/>
      <c r="E61" s="31">
        <v>19.02</v>
      </c>
      <c r="F61" s="164">
        <v>8027</v>
      </c>
      <c r="G61" s="153">
        <f t="shared" si="85"/>
        <v>152673.54</v>
      </c>
      <c r="H61" s="160" t="s">
        <v>103</v>
      </c>
      <c r="I61" s="161">
        <v>15</v>
      </c>
      <c r="J61" s="26">
        <v>2400</v>
      </c>
      <c r="K61" s="10">
        <f t="shared" si="86"/>
        <v>160</v>
      </c>
      <c r="L61" s="19">
        <v>15</v>
      </c>
      <c r="M61" s="11">
        <f t="shared" ref="M61:M64" si="91">F61/V61*60</f>
        <v>2250.5607476635514</v>
      </c>
      <c r="N61" s="10">
        <f t="shared" si="87"/>
        <v>150.03738317757009</v>
      </c>
      <c r="O61" s="12">
        <f t="shared" si="88"/>
        <v>0</v>
      </c>
      <c r="P61" s="13">
        <f t="shared" si="89"/>
        <v>-9.9626168224299079</v>
      </c>
      <c r="Q61" s="152">
        <f t="shared" ref="Q61:Q65" si="92">N61/K61</f>
        <v>0.93773364485981303</v>
      </c>
      <c r="R61" s="442"/>
      <c r="S61" s="28">
        <v>0.13888888888888887</v>
      </c>
      <c r="T61" s="28">
        <v>0.28749999999999998</v>
      </c>
      <c r="U61" s="153">
        <f>(S61-T60)*24*60</f>
        <v>27.999999999999979</v>
      </c>
      <c r="V61" s="162">
        <f t="shared" si="90"/>
        <v>214</v>
      </c>
      <c r="W61" s="16"/>
      <c r="X61" s="16"/>
      <c r="Y61" s="443"/>
      <c r="Z61" s="443"/>
      <c r="AA61" s="12">
        <f t="shared" si="2"/>
        <v>-149.43925233644859</v>
      </c>
      <c r="AB61" s="152">
        <f t="shared" ref="AB61:AB65" si="93">M61/J61</f>
        <v>0.93773364485981314</v>
      </c>
      <c r="AC61" s="442"/>
    </row>
    <row r="62" spans="1:29" ht="15.75" customHeight="1">
      <c r="A62" s="439" t="s">
        <v>504</v>
      </c>
      <c r="B62" s="164" t="s">
        <v>67</v>
      </c>
      <c r="C62" s="441" t="s">
        <v>101</v>
      </c>
      <c r="D62" s="441"/>
      <c r="E62" s="31">
        <v>25</v>
      </c>
      <c r="F62" s="164">
        <v>3176</v>
      </c>
      <c r="G62" s="153">
        <f t="shared" si="85"/>
        <v>79400</v>
      </c>
      <c r="H62" s="160" t="s">
        <v>103</v>
      </c>
      <c r="I62" s="161">
        <v>15</v>
      </c>
      <c r="J62" s="26">
        <v>2400</v>
      </c>
      <c r="K62" s="10">
        <f t="shared" si="86"/>
        <v>160</v>
      </c>
      <c r="L62" s="19">
        <v>15</v>
      </c>
      <c r="M62" s="11">
        <f t="shared" si="91"/>
        <v>2268.5714285714275</v>
      </c>
      <c r="N62" s="10">
        <f t="shared" si="87"/>
        <v>151.23809523809516</v>
      </c>
      <c r="O62" s="12">
        <f t="shared" si="88"/>
        <v>0</v>
      </c>
      <c r="P62" s="13">
        <f t="shared" si="89"/>
        <v>-8.7619047619048445</v>
      </c>
      <c r="Q62" s="152">
        <f t="shared" si="92"/>
        <v>0.94523809523809477</v>
      </c>
      <c r="R62" s="442"/>
      <c r="S62" s="28">
        <v>0.29236111111111107</v>
      </c>
      <c r="T62" s="28">
        <v>0.35069444444444442</v>
      </c>
      <c r="U62" s="153">
        <f t="shared" ref="U62:U64" si="94">(S62-T61)*24*60</f>
        <v>6.9999999999999751</v>
      </c>
      <c r="V62" s="162">
        <f t="shared" si="90"/>
        <v>84.000000000000028</v>
      </c>
      <c r="W62" s="16"/>
      <c r="X62" s="16"/>
      <c r="Y62" s="443"/>
      <c r="Z62" s="443"/>
      <c r="AA62" s="12">
        <f t="shared" si="2"/>
        <v>-131.42857142857247</v>
      </c>
      <c r="AB62" s="152">
        <f t="shared" si="93"/>
        <v>0.94523809523809477</v>
      </c>
      <c r="AC62" s="442"/>
    </row>
    <row r="63" spans="1:29" ht="15.75" customHeight="1">
      <c r="A63" s="439" t="s">
        <v>504</v>
      </c>
      <c r="B63" s="164" t="s">
        <v>67</v>
      </c>
      <c r="C63" s="441" t="s">
        <v>102</v>
      </c>
      <c r="D63" s="441"/>
      <c r="E63" s="31">
        <v>20.52</v>
      </c>
      <c r="F63" s="164">
        <v>3179</v>
      </c>
      <c r="G63" s="153">
        <f t="shared" si="85"/>
        <v>65233.08</v>
      </c>
      <c r="H63" s="160" t="s">
        <v>103</v>
      </c>
      <c r="I63" s="161">
        <v>18</v>
      </c>
      <c r="J63" s="26">
        <v>2400</v>
      </c>
      <c r="K63" s="10">
        <f>J63/I63</f>
        <v>133.33333333333334</v>
      </c>
      <c r="L63" s="19">
        <v>18</v>
      </c>
      <c r="M63" s="11">
        <f t="shared" si="91"/>
        <v>2243.9999999999995</v>
      </c>
      <c r="N63" s="10">
        <f t="shared" si="87"/>
        <v>124.66666666666664</v>
      </c>
      <c r="O63" s="12">
        <f t="shared" si="88"/>
        <v>0</v>
      </c>
      <c r="P63" s="13">
        <f t="shared" si="89"/>
        <v>-8.6666666666666998</v>
      </c>
      <c r="Q63" s="152">
        <f t="shared" si="92"/>
        <v>0.93499999999999972</v>
      </c>
      <c r="R63" s="442"/>
      <c r="S63" s="28">
        <v>0.35624999999999996</v>
      </c>
      <c r="T63" s="28">
        <v>0.41527777777777775</v>
      </c>
      <c r="U63" s="153">
        <f t="shared" si="94"/>
        <v>7.9999999999999716</v>
      </c>
      <c r="V63" s="162">
        <f t="shared" si="90"/>
        <v>85.000000000000014</v>
      </c>
      <c r="W63" s="16"/>
      <c r="X63" s="16"/>
      <c r="Y63" s="443"/>
      <c r="Z63" s="443"/>
      <c r="AA63" s="12">
        <f t="shared" si="2"/>
        <v>-156.00000000000045</v>
      </c>
      <c r="AB63" s="152">
        <f t="shared" si="93"/>
        <v>0.93499999999999983</v>
      </c>
      <c r="AC63" s="442"/>
    </row>
    <row r="64" spans="1:29" ht="15.75" customHeight="1">
      <c r="A64" s="439" t="s">
        <v>504</v>
      </c>
      <c r="B64" s="164" t="s">
        <v>67</v>
      </c>
      <c r="C64" s="441" t="s">
        <v>71</v>
      </c>
      <c r="D64" s="441"/>
      <c r="E64" s="31">
        <v>22.35</v>
      </c>
      <c r="F64" s="164">
        <v>1454</v>
      </c>
      <c r="G64" s="153">
        <f t="shared" si="85"/>
        <v>32496.9</v>
      </c>
      <c r="H64" s="160" t="s">
        <v>103</v>
      </c>
      <c r="I64" s="161">
        <v>16</v>
      </c>
      <c r="J64" s="26">
        <v>2400</v>
      </c>
      <c r="K64" s="10">
        <f t="shared" ref="K64:K65" si="95">J64/I64</f>
        <v>150</v>
      </c>
      <c r="L64" s="19">
        <v>16</v>
      </c>
      <c r="M64" s="11">
        <f t="shared" si="91"/>
        <v>2295.789473684209</v>
      </c>
      <c r="N64" s="10">
        <f t="shared" si="87"/>
        <v>143.48684210526307</v>
      </c>
      <c r="O64" s="12">
        <f t="shared" si="88"/>
        <v>0</v>
      </c>
      <c r="P64" s="13">
        <f t="shared" si="89"/>
        <v>-6.5131578947369348</v>
      </c>
      <c r="Q64" s="152">
        <f t="shared" si="92"/>
        <v>0.95657894736842042</v>
      </c>
      <c r="R64" s="442"/>
      <c r="S64" s="28">
        <v>0.42013888888888884</v>
      </c>
      <c r="T64" s="28">
        <v>0.44652777777777775</v>
      </c>
      <c r="U64" s="153">
        <f t="shared" si="94"/>
        <v>6.9999999999999751</v>
      </c>
      <c r="V64" s="162">
        <f t="shared" si="90"/>
        <v>38.000000000000028</v>
      </c>
      <c r="W64" s="16"/>
      <c r="X64" s="16"/>
      <c r="Y64" s="443"/>
      <c r="Z64" s="443"/>
      <c r="AA64" s="12">
        <f t="shared" si="2"/>
        <v>-104.21052631579096</v>
      </c>
      <c r="AB64" s="152">
        <f t="shared" si="93"/>
        <v>0.95657894736842042</v>
      </c>
      <c r="AC64" s="442"/>
    </row>
    <row r="65" spans="1:29" ht="16.5" customHeight="1">
      <c r="A65" s="440" t="s">
        <v>504</v>
      </c>
      <c r="B65" s="31" t="s">
        <v>501</v>
      </c>
      <c r="C65" s="446"/>
      <c r="D65" s="446"/>
      <c r="E65" s="158"/>
      <c r="F65" s="33"/>
      <c r="G65" s="10"/>
      <c r="H65" s="164"/>
      <c r="I65" s="19">
        <v>16.600000000000001</v>
      </c>
      <c r="J65" s="26">
        <v>2400</v>
      </c>
      <c r="K65" s="10">
        <f t="shared" si="95"/>
        <v>144.57831325301203</v>
      </c>
      <c r="L65" s="19">
        <v>16.600000000000001</v>
      </c>
      <c r="M65" s="11">
        <f>AVERAGE(M60:M64)</f>
        <v>2265.2458684453763</v>
      </c>
      <c r="N65" s="10">
        <f>M65/L65</f>
        <v>136.46059448466121</v>
      </c>
      <c r="O65" s="12">
        <f>L65-I65</f>
        <v>0</v>
      </c>
      <c r="P65" s="13">
        <f>N65-K65</f>
        <v>-8.1177187683508123</v>
      </c>
      <c r="Q65" s="152">
        <f t="shared" si="92"/>
        <v>0.94385244518557354</v>
      </c>
      <c r="R65" s="442"/>
      <c r="S65" s="28"/>
      <c r="T65" s="28"/>
      <c r="U65" s="10"/>
      <c r="V65" s="162"/>
      <c r="W65" s="10"/>
      <c r="X65" s="10"/>
      <c r="Y65" s="443"/>
      <c r="Z65" s="443"/>
      <c r="AA65" s="12">
        <f t="shared" si="2"/>
        <v>-134.75413155462365</v>
      </c>
      <c r="AB65" s="152">
        <f t="shared" si="93"/>
        <v>0.94385244518557343</v>
      </c>
      <c r="AC65" s="442"/>
    </row>
    <row r="66" spans="1:29">
      <c r="D66" s="22"/>
      <c r="E66" s="22"/>
    </row>
  </sheetData>
  <mergeCells count="17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17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A18:A23"/>
    <mergeCell ref="C18:D18"/>
    <mergeCell ref="R18:R23"/>
    <mergeCell ref="Y18:Z18"/>
    <mergeCell ref="Y23:Z23"/>
    <mergeCell ref="A13:A17"/>
    <mergeCell ref="C13:D13"/>
    <mergeCell ref="R13:R17"/>
    <mergeCell ref="Y13:Z13"/>
    <mergeCell ref="AC24:AC29"/>
    <mergeCell ref="C25:D25"/>
    <mergeCell ref="Y25:Z25"/>
    <mergeCell ref="C26:D26"/>
    <mergeCell ref="Y26:Z26"/>
    <mergeCell ref="C27:D2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7:Z27"/>
    <mergeCell ref="C28:D28"/>
    <mergeCell ref="Y28:Z28"/>
    <mergeCell ref="C29:D29"/>
    <mergeCell ref="Y29:Z29"/>
    <mergeCell ref="A30:A37"/>
    <mergeCell ref="C30:D30"/>
    <mergeCell ref="R30:R37"/>
    <mergeCell ref="Y30:Z30"/>
    <mergeCell ref="Y35:Z35"/>
    <mergeCell ref="A24:A29"/>
    <mergeCell ref="C24:D24"/>
    <mergeCell ref="R24:R29"/>
    <mergeCell ref="Y24:Z24"/>
    <mergeCell ref="AC30:AC37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C36:D36"/>
    <mergeCell ref="Y36:Z36"/>
    <mergeCell ref="C37:D37"/>
    <mergeCell ref="Y37:Z37"/>
    <mergeCell ref="A38:A45"/>
    <mergeCell ref="C38:D38"/>
    <mergeCell ref="R38:R45"/>
    <mergeCell ref="Y38:Z38"/>
    <mergeCell ref="Y43:Z43"/>
    <mergeCell ref="C44:D44"/>
    <mergeCell ref="A46:A52"/>
    <mergeCell ref="C46:D46"/>
    <mergeCell ref="R46:R52"/>
    <mergeCell ref="Y46:Z46"/>
    <mergeCell ref="AC46:AC52"/>
    <mergeCell ref="C47:D47"/>
    <mergeCell ref="Y47:Z47"/>
    <mergeCell ref="C48:D48"/>
    <mergeCell ref="C51:D51"/>
    <mergeCell ref="Y51:Z51"/>
    <mergeCell ref="C52:D52"/>
    <mergeCell ref="Y52:Z52"/>
    <mergeCell ref="Y44:Z44"/>
    <mergeCell ref="C45:D45"/>
    <mergeCell ref="Y45:Z45"/>
    <mergeCell ref="AC38:AC45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A53:A59"/>
    <mergeCell ref="C53:D53"/>
    <mergeCell ref="R53:R59"/>
    <mergeCell ref="Y53:Z53"/>
    <mergeCell ref="AC53:AC59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Y59:Z59"/>
    <mergeCell ref="Y63:Z63"/>
    <mergeCell ref="C64:D64"/>
    <mergeCell ref="Y64:Z64"/>
    <mergeCell ref="A60:A65"/>
    <mergeCell ref="C60:D60"/>
    <mergeCell ref="R60:R65"/>
    <mergeCell ref="Y60:Z60"/>
    <mergeCell ref="AC60:AC65"/>
    <mergeCell ref="C61:D61"/>
    <mergeCell ref="Y61:Z61"/>
    <mergeCell ref="C62:D62"/>
    <mergeCell ref="Y62:Z62"/>
    <mergeCell ref="C63:D63"/>
    <mergeCell ref="C65:D65"/>
    <mergeCell ref="Y65:Z65"/>
  </mergeCells>
  <phoneticPr fontId="3" type="noConversion"/>
  <conditionalFormatting sqref="O56:O65 O5:O9 O12:O14 O45:O53 O17:O43">
    <cfRule type="cellIs" dxfId="296" priority="37" operator="greaterThan">
      <formula>0</formula>
    </cfRule>
  </conditionalFormatting>
  <conditionalFormatting sqref="P5:P7 P56:P58 AA56:AA58 P60:P64 P24:P28 P53 P9 P12:P14 P18:P22 P46:P51 P30:P43 AA5:AA53 AA60:AA65">
    <cfRule type="cellIs" dxfId="295" priority="41" operator="lessThan">
      <formula>0</formula>
    </cfRule>
  </conditionalFormatting>
  <conditionalFormatting sqref="AB56:AB58 Q56:Q65 Q5:Q9 Q12:Q14 Q45:Q53 Q17:Q43 AB5:AB53 AB60:AB65">
    <cfRule type="cellIs" dxfId="294" priority="38" operator="greaterThan">
      <formula>1</formula>
    </cfRule>
    <cfRule type="cellIs" dxfId="293" priority="39" operator="lessThan">
      <formula>0.8</formula>
    </cfRule>
  </conditionalFormatting>
  <conditionalFormatting sqref="AC13:AC14 R13:R14 AC56 R56:R65 AC5:AC9 R5:R9 R17:R43 AC17:AC43 AC45:AC53 R45:R53">
    <cfRule type="cellIs" dxfId="292" priority="43" operator="lessThan">
      <formula>0.8</formula>
    </cfRule>
  </conditionalFormatting>
  <conditionalFormatting sqref="AC38">
    <cfRule type="cellIs" dxfId="291" priority="45" operator="lessThan">
      <formula>0.8</formula>
    </cfRule>
  </conditionalFormatting>
  <conditionalFormatting sqref="AC18:AC22">
    <cfRule type="cellIs" dxfId="290" priority="42" operator="lessThan">
      <formula>0.8</formula>
    </cfRule>
  </conditionalFormatting>
  <conditionalFormatting sqref="AC24">
    <cfRule type="cellIs" dxfId="289" priority="44" operator="lessThan">
      <formula>0.8</formula>
    </cfRule>
  </conditionalFormatting>
  <conditionalFormatting sqref="AC30:AC36">
    <cfRule type="cellIs" dxfId="288" priority="40" operator="lessThan">
      <formula>0.8</formula>
    </cfRule>
  </conditionalFormatting>
  <conditionalFormatting sqref="AA59">
    <cfRule type="cellIs" dxfId="287" priority="36" operator="lessThan">
      <formula>0</formula>
    </cfRule>
  </conditionalFormatting>
  <conditionalFormatting sqref="AB59">
    <cfRule type="cellIs" dxfId="286" priority="34" operator="greaterThan">
      <formula>1</formula>
    </cfRule>
    <cfRule type="cellIs" dxfId="285" priority="35" operator="lessThan">
      <formula>0.8</formula>
    </cfRule>
  </conditionalFormatting>
  <conditionalFormatting sqref="O15:O16">
    <cfRule type="cellIs" dxfId="284" priority="29" operator="greaterThan">
      <formula>0</formula>
    </cfRule>
  </conditionalFormatting>
  <conditionalFormatting sqref="P15:P16">
    <cfRule type="cellIs" dxfId="283" priority="32" operator="lessThan">
      <formula>0</formula>
    </cfRule>
  </conditionalFormatting>
  <conditionalFormatting sqref="Q15:Q16">
    <cfRule type="cellIs" dxfId="282" priority="30" operator="greaterThan">
      <formula>1</formula>
    </cfRule>
    <cfRule type="cellIs" dxfId="281" priority="31" operator="lessThan">
      <formula>0.8</formula>
    </cfRule>
  </conditionalFormatting>
  <conditionalFormatting sqref="R15:R16 AC15:AC16">
    <cfRule type="cellIs" dxfId="280" priority="33" operator="lessThan">
      <formula>0.8</formula>
    </cfRule>
  </conditionalFormatting>
  <conditionalFormatting sqref="O10:O11">
    <cfRule type="cellIs" dxfId="279" priority="25" operator="greaterThan">
      <formula>0</formula>
    </cfRule>
  </conditionalFormatting>
  <conditionalFormatting sqref="P10:P11">
    <cfRule type="cellIs" dxfId="278" priority="28" operator="lessThan">
      <formula>0</formula>
    </cfRule>
  </conditionalFormatting>
  <conditionalFormatting sqref="Q10:Q11">
    <cfRule type="cellIs" dxfId="277" priority="26" operator="greaterThan">
      <formula>1</formula>
    </cfRule>
    <cfRule type="cellIs" dxfId="276" priority="27" operator="lessThan">
      <formula>0.8</formula>
    </cfRule>
  </conditionalFormatting>
  <conditionalFormatting sqref="O55">
    <cfRule type="cellIs" dxfId="275" priority="20" operator="greaterThan">
      <formula>0</formula>
    </cfRule>
  </conditionalFormatting>
  <conditionalFormatting sqref="P55 AA55">
    <cfRule type="cellIs" dxfId="274" priority="23" operator="lessThan">
      <formula>0</formula>
    </cfRule>
  </conditionalFormatting>
  <conditionalFormatting sqref="Q55 AB55">
    <cfRule type="cellIs" dxfId="273" priority="21" operator="greaterThan">
      <formula>1</formula>
    </cfRule>
    <cfRule type="cellIs" dxfId="272" priority="22" operator="lessThan">
      <formula>0.8</formula>
    </cfRule>
  </conditionalFormatting>
  <conditionalFormatting sqref="R55 AC55">
    <cfRule type="cellIs" dxfId="271" priority="24" operator="lessThan">
      <formula>0.8</formula>
    </cfRule>
  </conditionalFormatting>
  <conditionalFormatting sqref="O44">
    <cfRule type="cellIs" dxfId="270" priority="14" operator="greaterThan">
      <formula>0</formula>
    </cfRule>
  </conditionalFormatting>
  <conditionalFormatting sqref="P44">
    <cfRule type="cellIs" dxfId="269" priority="18" operator="lessThan">
      <formula>0</formula>
    </cfRule>
  </conditionalFormatting>
  <conditionalFormatting sqref="Q44">
    <cfRule type="cellIs" dxfId="268" priority="15" operator="greaterThan">
      <formula>1</formula>
    </cfRule>
    <cfRule type="cellIs" dxfId="267" priority="16" operator="lessThan">
      <formula>0.8</formula>
    </cfRule>
  </conditionalFormatting>
  <conditionalFormatting sqref="R44 AC44">
    <cfRule type="cellIs" dxfId="266" priority="19" operator="lessThan">
      <formula>0.8</formula>
    </cfRule>
  </conditionalFormatting>
  <conditionalFormatting sqref="AC44">
    <cfRule type="cellIs" dxfId="265" priority="17" operator="lessThan">
      <formula>0.8</formula>
    </cfRule>
  </conditionalFormatting>
  <conditionalFormatting sqref="O54">
    <cfRule type="cellIs" dxfId="264" priority="9" operator="greaterThan">
      <formula>0</formula>
    </cfRule>
  </conditionalFormatting>
  <conditionalFormatting sqref="P54 AA54">
    <cfRule type="cellIs" dxfId="263" priority="12" operator="lessThan">
      <formula>0</formula>
    </cfRule>
  </conditionalFormatting>
  <conditionalFormatting sqref="Q54 AB54">
    <cfRule type="cellIs" dxfId="262" priority="10" operator="greaterThan">
      <formula>1</formula>
    </cfRule>
    <cfRule type="cellIs" dxfId="261" priority="11" operator="lessThan">
      <formula>0.8</formula>
    </cfRule>
  </conditionalFormatting>
  <conditionalFormatting sqref="R54 AC54">
    <cfRule type="cellIs" dxfId="260" priority="13" operator="lessThan">
      <formula>0.8</formula>
    </cfRule>
  </conditionalFormatting>
  <conditionalFormatting sqref="P8">
    <cfRule type="cellIs" dxfId="259" priority="8" operator="lessThan">
      <formula>0</formula>
    </cfRule>
  </conditionalFormatting>
  <conditionalFormatting sqref="P17">
    <cfRule type="cellIs" dxfId="258" priority="7" operator="lessThan">
      <formula>0</formula>
    </cfRule>
  </conditionalFormatting>
  <conditionalFormatting sqref="P23">
    <cfRule type="cellIs" dxfId="257" priority="6" operator="lessThan">
      <formula>0</formula>
    </cfRule>
  </conditionalFormatting>
  <conditionalFormatting sqref="P29">
    <cfRule type="cellIs" dxfId="256" priority="5" operator="lessThan">
      <formula>0</formula>
    </cfRule>
  </conditionalFormatting>
  <conditionalFormatting sqref="P45">
    <cfRule type="cellIs" dxfId="255" priority="4" operator="lessThan">
      <formula>0</formula>
    </cfRule>
  </conditionalFormatting>
  <conditionalFormatting sqref="P52">
    <cfRule type="cellIs" dxfId="254" priority="3" operator="lessThan">
      <formula>0</formula>
    </cfRule>
  </conditionalFormatting>
  <conditionalFormatting sqref="P59">
    <cfRule type="cellIs" dxfId="253" priority="2" operator="lessThan">
      <formula>0</formula>
    </cfRule>
  </conditionalFormatting>
  <conditionalFormatting sqref="P65">
    <cfRule type="cellIs" dxfId="252" priority="1" operator="lessThan">
      <formula>0</formula>
    </cfRule>
  </conditionalFormatting>
  <dataValidations disablePrompts="1" count="1">
    <dataValidation type="list" allowBlank="1" showInputMessage="1" showErrorMessage="1" sqref="Z8 Z57:Z58 Y5:Z7 Y8:Y58 Z10:Z53 Y59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B1:Q28"/>
  <sheetViews>
    <sheetView zoomScale="70" zoomScaleNormal="70" workbookViewId="0">
      <selection activeCell="C3" sqref="C3:D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363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36" t="s">
        <v>362</v>
      </c>
      <c r="C3" s="493" t="str">
        <f>TEXT('0905 4度C'!A2,"yyyy.mm.ddaaaa")</f>
        <v>2025.09.05星期五</v>
      </c>
      <c r="D3" s="493"/>
      <c r="E3" s="136" t="s">
        <v>361</v>
      </c>
      <c r="F3" s="494">
        <f>'0905 4度C'!D1</f>
        <v>132042</v>
      </c>
      <c r="G3" s="494"/>
      <c r="H3" s="136" t="s">
        <v>360</v>
      </c>
      <c r="I3" s="495">
        <f>'0905 4度C'!F1</f>
        <v>4472238.9700000007</v>
      </c>
      <c r="J3" s="495"/>
      <c r="K3" s="45"/>
      <c r="L3" s="46"/>
      <c r="M3" s="47"/>
      <c r="N3" s="47"/>
    </row>
    <row r="4" spans="2:17" ht="28.5" customHeight="1">
      <c r="B4" s="496" t="s">
        <v>359</v>
      </c>
      <c r="C4" s="496" t="s">
        <v>358</v>
      </c>
      <c r="D4" s="496"/>
      <c r="E4" s="497" t="s">
        <v>357</v>
      </c>
      <c r="F4" s="497"/>
      <c r="G4" s="497" t="s">
        <v>356</v>
      </c>
      <c r="H4" s="497"/>
      <c r="I4" s="497" t="s">
        <v>355</v>
      </c>
      <c r="J4" s="497"/>
      <c r="L4" s="47"/>
      <c r="M4" s="47"/>
      <c r="N4" s="47"/>
    </row>
    <row r="5" spans="2:17" ht="28.5" customHeight="1">
      <c r="B5" s="496"/>
      <c r="C5" s="496" t="s">
        <v>354</v>
      </c>
      <c r="D5" s="496"/>
      <c r="E5" s="496" t="s">
        <v>353</v>
      </c>
      <c r="F5" s="496"/>
      <c r="G5" s="498" t="s">
        <v>352</v>
      </c>
      <c r="H5" s="498"/>
      <c r="I5" s="499" t="s">
        <v>120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144.90532092720258</v>
      </c>
      <c r="F6" s="496">
        <f>AVERAGE(D27:O27,D13:J13)</f>
        <v>148.55593752652575</v>
      </c>
      <c r="G6" s="501">
        <f>AVERAGE(D13:J13)</f>
        <v>148.55593752652575</v>
      </c>
      <c r="H6" s="501"/>
      <c r="I6" s="501">
        <f>AVERAGE(K13:M13)</f>
        <v>136.38721552878181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136.97082114590387</v>
      </c>
      <c r="F7" s="506">
        <f>AVERAGE(D28:O28,D14:J14)</f>
        <v>140.54464608754901</v>
      </c>
      <c r="G7" s="507">
        <f>AVERAGE(D14:J14)</f>
        <v>140.54464608754901</v>
      </c>
      <c r="H7" s="507"/>
      <c r="I7" s="507">
        <f>AVERAGE(K14:M14)</f>
        <v>128.63189628206521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0.9450462517710555</v>
      </c>
      <c r="F8" s="504">
        <f>AVERAGE(D15:J15,D29:O29)</f>
        <v>0.9458625374418963</v>
      </c>
      <c r="G8" s="509">
        <f>AVERAGE(D15:J15)</f>
        <v>0.9458625374418963</v>
      </c>
      <c r="H8" s="509"/>
      <c r="I8" s="509">
        <f>AVERAGE(K15:M15)</f>
        <v>0.94314158520576064</v>
      </c>
      <c r="J8" s="509"/>
      <c r="K8" s="48" t="s">
        <v>351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350</v>
      </c>
      <c r="C10" s="414"/>
      <c r="D10" s="415" t="s">
        <v>349</v>
      </c>
      <c r="E10" s="416"/>
      <c r="F10" s="416"/>
      <c r="G10" s="416"/>
      <c r="H10" s="416"/>
      <c r="I10" s="416"/>
      <c r="J10" s="417"/>
      <c r="K10" s="389" t="s">
        <v>348</v>
      </c>
      <c r="L10" s="390"/>
      <c r="M10" s="391"/>
      <c r="P10" s="51"/>
      <c r="Q10" s="51"/>
    </row>
    <row r="11" spans="2:17" ht="17.25" customHeight="1">
      <c r="B11" s="503" t="s">
        <v>347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346</v>
      </c>
      <c r="C13" s="58" t="s">
        <v>140</v>
      </c>
      <c r="D13" s="59">
        <f>SUMIFS('0905 4度C'!$K:$K,'0905 4度C'!$A:$A,"新豐6線",'0905 4度C'!$B:$B,"平均")</f>
        <v>117.64705882352941</v>
      </c>
      <c r="E13" s="60">
        <f>SUMIFS('0905 4度C'!$K:$K,'0905 4度C'!$A:$A,"新豐2線",'0905 4度C'!$B:$B,"平均")</f>
        <v>81.818181818181827</v>
      </c>
      <c r="F13" s="61">
        <f>SUMIFS('0905 4度C'!$K:$K,'0905 4度C'!$A:$A,"新豐5線",'0905 4度C'!$B:$B,"平均")</f>
        <v>87.5</v>
      </c>
      <c r="G13" s="61">
        <f>SUMIFS('0905 4度C'!$K:$K,'0905 4度C'!$A:$A,"新豐7線",'0905 4度C'!$B:$B,"平均")</f>
        <v>117.64705882352941</v>
      </c>
      <c r="H13" s="61">
        <f>SUMIFS('0905 4度C'!$K:$K,'0905 4度C'!$A:$A,"新豐3線",'0905 4度C'!$B:$B,"平均")</f>
        <v>300</v>
      </c>
      <c r="I13" s="61">
        <f>SUMIFS('0905 4度C'!$K:$K,'0905 4度C'!$A:$A,"新豐1線",'0905 4度C'!$B:$B,"平均")</f>
        <v>116.16161616161617</v>
      </c>
      <c r="J13" s="62">
        <f>SUMIFS('0905 4度C'!$K:$K,'0905 4度C'!$A:$A,"新豐10線",'0905 4度C'!$B:$B,"平均")</f>
        <v>219.11764705882354</v>
      </c>
      <c r="K13" s="63">
        <f>SUMIFS('0905 4度C'!$K:$K,'0905 4度C'!$A:$A,"新豐8線",'0905 4度C'!$B:$B,"平均")</f>
        <v>133.33333333333334</v>
      </c>
      <c r="L13" s="64">
        <f>SUMIFS('0905 4度C'!$K:$K,'0905 4度C'!$A:$A,"新豐9線",'0905 4度C'!$B:$B,"平均")</f>
        <v>131.25</v>
      </c>
      <c r="M13" s="62">
        <f>SUMIFS('0905 4度C'!$K:$K,'0905 4度C'!$A:$A,"新豐4線",'0905 4度C'!$B:$B,"平均")</f>
        <v>144.57831325301203</v>
      </c>
    </row>
    <row r="14" spans="2:17" ht="39.6" customHeight="1">
      <c r="B14" s="515"/>
      <c r="C14" s="65" t="s">
        <v>345</v>
      </c>
      <c r="D14" s="66">
        <f>SUMIFS('0905 4度C'!$N:$N,'0905 4度C'!$A:$A,"新豐6線",'0905 4度C'!$B:$B,"平均")</f>
        <v>111.45077980041113</v>
      </c>
      <c r="E14" s="67">
        <f>SUMIFS('0905 4度C'!$N:$N,'0905 4度C'!$A:$A,"新豐2線",'0905 4度C'!$B:$B,"平均")</f>
        <v>76.910509774980667</v>
      </c>
      <c r="F14" s="67">
        <f>SUMIFS('0905 4度C'!$N:$N,'0905 4度C'!$A:$A,"新豐5線",'0905 4度C'!$B:$B,"平均")</f>
        <v>82.529674120915246</v>
      </c>
      <c r="G14" s="67">
        <f>SUMIFS('0905 4度C'!$N:$N,'0905 4度C'!$A:$A,"新豐7線",'0905 4度C'!$B:$B,"平均")</f>
        <v>111.51968957116023</v>
      </c>
      <c r="H14" s="67">
        <f>SUMIFS('0905 4度C'!$N:$N,'0905 4度C'!$A:$A,"新豐3線",'0905 4度C'!$B:$B,"平均")</f>
        <v>283.30621997846981</v>
      </c>
      <c r="I14" s="67">
        <f>SUMIFS('0905 4度C'!$N:$N,'0905 4度C'!$A:$A,"新豐1線",'0905 4度C'!$B:$B,"平均")</f>
        <v>110.38722508414419</v>
      </c>
      <c r="J14" s="68">
        <f>SUMIFS('0905 4度C'!$N:$N,'0905 4度C'!$A:$A,"新豐10線",'0905 4度C'!$B:$B,"平均")</f>
        <v>207.70842428276174</v>
      </c>
      <c r="K14" s="69">
        <f>SUMIFS('0905 4度C'!$N:$N,'0905 4度C'!$A:$A,"新豐8線",'0905 4度C'!$B:$B,"平均")</f>
        <v>125.34387867933053</v>
      </c>
      <c r="L14" s="70">
        <f>SUMIFS('0905 4度C'!$N:$N,'0905 4度C'!$A:$A,"新豐9線",'0905 4度C'!$B:$B,"平均")</f>
        <v>124.14295249025098</v>
      </c>
      <c r="M14" s="68">
        <f>SUMIFS('0905 4度C'!$N:$N,'0905 4度C'!$A:$A,"新豐4線",'0905 4度C'!$B:$B,"平均")</f>
        <v>136.40885767661413</v>
      </c>
    </row>
    <row r="15" spans="2:17" ht="40.15" customHeight="1">
      <c r="B15" s="515"/>
      <c r="C15" s="71" t="s">
        <v>344</v>
      </c>
      <c r="D15" s="72">
        <f t="shared" ref="D15:M15" si="0">D14/D13</f>
        <v>0.9473316283034946</v>
      </c>
      <c r="E15" s="73">
        <f t="shared" si="0"/>
        <v>0.94001734169420803</v>
      </c>
      <c r="F15" s="73">
        <f t="shared" si="0"/>
        <v>0.94319627566760278</v>
      </c>
      <c r="G15" s="73">
        <f t="shared" si="0"/>
        <v>0.94791736135486193</v>
      </c>
      <c r="H15" s="73">
        <f t="shared" si="0"/>
        <v>0.9443540665948994</v>
      </c>
      <c r="I15" s="73">
        <f t="shared" si="0"/>
        <v>0.95029002463741519</v>
      </c>
      <c r="J15" s="74">
        <f t="shared" si="0"/>
        <v>0.94793106384079184</v>
      </c>
      <c r="K15" s="72">
        <f t="shared" si="0"/>
        <v>0.94007909009497892</v>
      </c>
      <c r="L15" s="73">
        <f t="shared" si="0"/>
        <v>0.94585106659238838</v>
      </c>
      <c r="M15" s="74">
        <f t="shared" si="0"/>
        <v>0.94349459892991461</v>
      </c>
    </row>
    <row r="16" spans="2:17" ht="17.25" customHeight="1">
      <c r="B16" s="502" t="s">
        <v>343</v>
      </c>
      <c r="C16" s="137" t="s">
        <v>342</v>
      </c>
      <c r="D16" s="76">
        <f>VLOOKUP("新豐6線",'0905 4度C'!$A:$T,19,0)</f>
        <v>0.70833333333333337</v>
      </c>
      <c r="E16" s="28">
        <f>VLOOKUP("新豐2線",'0905 4度C'!$A:$T,19,0)</f>
        <v>8.3333333333333329E-2</v>
      </c>
      <c r="F16" s="28">
        <f>VLOOKUP("新豐5線",'0905 4度C'!$A:$T,19,0)</f>
        <v>0.20833333333333334</v>
      </c>
      <c r="G16" s="28">
        <f>VLOOKUP("新豐7線",'0905 4度C'!$A:$T,19,0)</f>
        <v>0.20833333333333334</v>
      </c>
      <c r="H16" s="28">
        <f>VLOOKUP("新豐3線",'0905 4度C'!$A:$T,19,0)</f>
        <v>8.3333333333333329E-2</v>
      </c>
      <c r="I16" s="28">
        <f>VLOOKUP("新豐1線",'0905 4度C'!$A:$T,19,0)</f>
        <v>0.25</v>
      </c>
      <c r="J16" s="77">
        <f>VLOOKUP("新豐10線",'0905 4度C'!$A:$T,19,0)</f>
        <v>0.125</v>
      </c>
      <c r="K16" s="78">
        <f>VLOOKUP("新豐8線",'0905 4度C'!$A:$T,19,0)</f>
        <v>8.3333333333333329E-2</v>
      </c>
      <c r="L16" s="79">
        <f>VLOOKUP("新豐9線",'0905 4度C'!$A:$T,19,0)</f>
        <v>0.125</v>
      </c>
      <c r="M16" s="80">
        <f>VLOOKUP("新豐4線",'0905 4度C'!$A:$T,19,0)</f>
        <v>8.3333333333333329E-2</v>
      </c>
    </row>
    <row r="17" spans="2:13" ht="17.25" customHeight="1">
      <c r="B17" s="503"/>
      <c r="C17" s="137" t="s">
        <v>341</v>
      </c>
      <c r="D17" s="78">
        <f>LOOKUP(2,1/(('0905 4度C'!$A:$A="新豐6線")*('0905 4度C'!$T:$T&lt;&gt;"")),'0905 4度C'!$T:$T)</f>
        <v>0.8041666666666667</v>
      </c>
      <c r="E17" s="28">
        <f>LOOKUP(2,1/(('0905 4度C'!$A:$A="新豐2線")*('0905 4度C'!$T:$T&lt;&gt;"")),'0905 4度C'!$T:$T)</f>
        <v>0.43958333333333333</v>
      </c>
      <c r="F17" s="28">
        <f>LOOKUP(2,1/(('0905 4度C'!$A:$A="新豐5線")*('0905 4度C'!$T:$T&lt;&gt;"")),'0905 4度C'!$T:$T)</f>
        <v>0.81319444444444455</v>
      </c>
      <c r="G17" s="28">
        <f>LOOKUP(2,1/(('0905 4度C'!$A:$A="新豐7線")*('0905 4度C'!$T:$T&lt;&gt;"")),'0905 4度C'!$T:$T)</f>
        <v>0.77500000000000002</v>
      </c>
      <c r="H17" s="28">
        <f>LOOKUP(2,1/(('0905 4度C'!$A:$A="新豐3線")*('0905 4度C'!$T:$T&lt;&gt;"")),'0905 4度C'!$T:$T)</f>
        <v>0.39999999999999997</v>
      </c>
      <c r="I17" s="28">
        <f>LOOKUP(2,1/(('0905 4度C'!$A:$A="新豐1線")*('0905 4度C'!$T:$T&lt;&gt;"")),'0905 4度C'!$T:$T)</f>
        <v>0.81805555555555554</v>
      </c>
      <c r="J17" s="77">
        <f>LOOKUP(2,1/(('0905 4度C'!$A:$A="新豐10線")*('0905 4度C'!$T:$T&lt;&gt;"")),'0905 4度C'!$T:$T)</f>
        <v>0.36944444444444446</v>
      </c>
      <c r="K17" s="76">
        <f>LOOKUP(2,1/(('0905 4度C'!$A:$A="新豐8線")*('0905 4度C'!$T:$T&lt;&gt;"")),'0905 4度C'!$T:$T)</f>
        <v>0.50208333333333333</v>
      </c>
      <c r="L17" s="28">
        <f>LOOKUP(2,1/(('0905 4度C'!$A:$A="新豐9線")*('0905 4度C'!$T:$T&lt;&gt;"")),'0905 4度C'!$T:$T)</f>
        <v>0.57777777777777761</v>
      </c>
      <c r="M17" s="77">
        <f>LOOKUP(2,1/(('0905 4度C'!$A:$A="新豐4線")*('0905 4度C'!$T:$T&lt;&gt;"")),'0905 4度C'!$T:$T)</f>
        <v>0.4513888888888889</v>
      </c>
    </row>
    <row r="18" spans="2:13" ht="17.25" customHeight="1">
      <c r="B18" s="503" t="s">
        <v>340</v>
      </c>
      <c r="C18" s="514"/>
      <c r="D18" s="81">
        <f>SUMIFS('0905 4度C'!$I:$I,'0905 4度C'!$A:$A,"新豐6線",'0905 4度C'!$B:$B,"平均")</f>
        <v>17</v>
      </c>
      <c r="E18" s="82">
        <f>SUMIFS('0905 4度C'!$I:$I,'0905 4度C'!$A:$A,"新豐2線",'0905 4度C'!$B:$B,"平均")</f>
        <v>18.333333333333332</v>
      </c>
      <c r="F18" s="82">
        <f>SUMIFS('0905 4度C'!$I:$I,'0905 4度C'!$A:$A,"新豐5線",'0905 4度C'!$B:$B,"平均")</f>
        <v>20</v>
      </c>
      <c r="G18" s="82">
        <f>SUMIFS('0905 4度C'!$I:$I,'0905 4度C'!$A:$A,"新豐7線",'0905 4度C'!$B:$B,"平均")</f>
        <v>17</v>
      </c>
      <c r="H18" s="82">
        <f>SUMIFS('0905 4度C'!$I:$I,'0905 4度C'!$A:$A,"新豐3線",'0905 4度C'!$B:$B,"平均")</f>
        <v>10</v>
      </c>
      <c r="I18" s="82">
        <f>SUMIFS('0905 4度C'!$I:$I,'0905 4度C'!$A:$A,"新豐1線",'0905 4度C'!$B:$B,"平均")</f>
        <v>16.5</v>
      </c>
      <c r="J18" s="83">
        <f>SUMIFS('0905 4度C'!$I:$I,'0905 4度C'!$A:$A,"新豐10線",'0905 4度C'!$B:$B,"平均")</f>
        <v>11.333333333333334</v>
      </c>
      <c r="K18" s="81">
        <f>SUMIFS('0905 4度C'!$I:$I,'0905 4度C'!$A:$A,"新豐8線",'0905 4度C'!$B:$B,"平均")</f>
        <v>18</v>
      </c>
      <c r="L18" s="82">
        <f>SUMIFS('0905 4度C'!$I:$I,'0905 4度C'!$A:$A,"新豐9線",'0905 4度C'!$B:$B,"平均")</f>
        <v>18.285714285714285</v>
      </c>
      <c r="M18" s="83">
        <f>SUMIFS('0905 4度C'!$I:$I,'0905 4度C'!$A:$A,"新豐4線",'0905 4度C'!$B:$B,"平均")</f>
        <v>16.600000000000001</v>
      </c>
    </row>
    <row r="19" spans="2:13" ht="17.25" customHeight="1">
      <c r="B19" s="510" t="s">
        <v>339</v>
      </c>
      <c r="C19" s="511"/>
      <c r="D19" s="84" t="s">
        <v>148</v>
      </c>
      <c r="E19" s="85" t="s">
        <v>149</v>
      </c>
      <c r="F19" s="85" t="s">
        <v>338</v>
      </c>
      <c r="G19" s="85" t="s">
        <v>338</v>
      </c>
      <c r="H19" s="85" t="s">
        <v>151</v>
      </c>
      <c r="I19" s="85" t="s">
        <v>148</v>
      </c>
      <c r="J19" s="86" t="s">
        <v>151</v>
      </c>
      <c r="K19" s="84" t="s">
        <v>337</v>
      </c>
      <c r="L19" s="85" t="s">
        <v>337</v>
      </c>
      <c r="M19" s="86" t="s">
        <v>337</v>
      </c>
    </row>
    <row r="20" spans="2:13" ht="17.25" customHeight="1">
      <c r="B20" s="510" t="s">
        <v>336</v>
      </c>
      <c r="C20" s="511"/>
      <c r="D20" s="84"/>
      <c r="E20" s="85"/>
      <c r="F20" s="85" t="s">
        <v>335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334</v>
      </c>
      <c r="C21" s="513"/>
      <c r="D21" s="87"/>
      <c r="E21" s="88" t="s">
        <v>333</v>
      </c>
      <c r="F21" s="387" t="s">
        <v>332</v>
      </c>
      <c r="G21" s="388"/>
      <c r="H21" s="88" t="s">
        <v>331</v>
      </c>
      <c r="I21" s="88" t="s">
        <v>330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1:C21"/>
    <mergeCell ref="F21:G21"/>
    <mergeCell ref="D10:J10"/>
    <mergeCell ref="K10:M10"/>
    <mergeCell ref="B11:C12"/>
    <mergeCell ref="B13:B15"/>
    <mergeCell ref="B18:C18"/>
    <mergeCell ref="B19:C19"/>
    <mergeCell ref="B16:B17"/>
    <mergeCell ref="B10:C10"/>
    <mergeCell ref="C8:D8"/>
    <mergeCell ref="E8:F8"/>
    <mergeCell ref="G8:H8"/>
    <mergeCell ref="I8:J8"/>
    <mergeCell ref="B20:C20"/>
    <mergeCell ref="I6:J6"/>
    <mergeCell ref="C7:D7"/>
    <mergeCell ref="E7:F7"/>
    <mergeCell ref="G7:H7"/>
    <mergeCell ref="I7:J7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pageSetUpPr fitToPage="1"/>
  </sheetPr>
  <dimension ref="A1:AC66"/>
  <sheetViews>
    <sheetView zoomScale="80" zoomScaleNormal="80" workbookViewId="0">
      <pane ySplit="4" topLeftCell="A29" activePane="bottomLeft" state="frozen"/>
      <selection activeCell="AO33" activeCellId="2" sqref="AO26 AO28:AO31 AO33:AO35"/>
      <selection pane="bottomLeft" activeCell="B43" sqref="B4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410</v>
      </c>
      <c r="B1" s="1"/>
      <c r="C1" s="2" t="s">
        <v>409</v>
      </c>
      <c r="D1" s="3">
        <f>SUM(F5:F65)</f>
        <v>132042</v>
      </c>
      <c r="E1" s="138" t="s">
        <v>408</v>
      </c>
      <c r="F1" s="1">
        <f>SUM(G5:G65)</f>
        <v>4472238.9700000007</v>
      </c>
      <c r="G1" s="1" t="s">
        <v>407</v>
      </c>
      <c r="H1" s="38">
        <v>163.05238095238093</v>
      </c>
      <c r="I1" s="482" t="s">
        <v>406</v>
      </c>
      <c r="J1" s="482"/>
      <c r="K1" s="482"/>
      <c r="L1" s="482" t="s">
        <v>405</v>
      </c>
      <c r="M1" s="482"/>
      <c r="N1" s="482"/>
      <c r="O1" s="482" t="s">
        <v>404</v>
      </c>
      <c r="P1" s="482"/>
      <c r="Q1" s="482"/>
      <c r="R1" s="482"/>
      <c r="S1" s="482" t="s">
        <v>403</v>
      </c>
      <c r="T1" s="482"/>
      <c r="U1" s="482"/>
      <c r="V1" s="482"/>
      <c r="W1" s="482"/>
      <c r="X1" s="482"/>
      <c r="Y1" s="482" t="s">
        <v>402</v>
      </c>
      <c r="Z1" s="482"/>
      <c r="AA1" s="482" t="s">
        <v>401</v>
      </c>
      <c r="AB1" s="483"/>
      <c r="AC1" s="483"/>
    </row>
    <row r="2" spans="1:29" ht="26.25" customHeight="1">
      <c r="A2" s="24">
        <v>45905</v>
      </c>
      <c r="B2" s="25" t="s">
        <v>400</v>
      </c>
      <c r="C2" s="2" t="s">
        <v>389</v>
      </c>
      <c r="D2" s="6">
        <f>AVERAGE(N8,N12,N45,N52,N17,N59,N23,N29,N37,N65)</f>
        <v>136.97082114590387</v>
      </c>
      <c r="E2" s="7" t="s">
        <v>11</v>
      </c>
      <c r="F2" s="8">
        <f>F1/D1</f>
        <v>33.86982149619061</v>
      </c>
      <c r="G2" s="1" t="s">
        <v>399</v>
      </c>
      <c r="H2" s="39">
        <v>1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398</v>
      </c>
      <c r="B3" s="443" t="s">
        <v>397</v>
      </c>
      <c r="C3" s="443" t="s">
        <v>396</v>
      </c>
      <c r="D3" s="443"/>
      <c r="E3" s="484" t="s">
        <v>395</v>
      </c>
      <c r="F3" s="443" t="s">
        <v>394</v>
      </c>
      <c r="G3" s="484" t="s">
        <v>393</v>
      </c>
      <c r="H3" s="487" t="s">
        <v>392</v>
      </c>
      <c r="I3" s="474" t="s">
        <v>391</v>
      </c>
      <c r="J3" s="479" t="s">
        <v>390</v>
      </c>
      <c r="K3" s="481" t="s">
        <v>389</v>
      </c>
      <c r="L3" s="474" t="s">
        <v>388</v>
      </c>
      <c r="M3" s="479" t="s">
        <v>381</v>
      </c>
      <c r="N3" s="481" t="s">
        <v>389</v>
      </c>
      <c r="O3" s="474" t="s">
        <v>388</v>
      </c>
      <c r="P3" s="481" t="s">
        <v>387</v>
      </c>
      <c r="Q3" s="480" t="s">
        <v>386</v>
      </c>
      <c r="R3" s="451" t="s">
        <v>385</v>
      </c>
      <c r="S3" s="486" t="s">
        <v>25</v>
      </c>
      <c r="T3" s="486"/>
      <c r="U3" s="476" t="s">
        <v>26</v>
      </c>
      <c r="V3" s="476" t="s">
        <v>384</v>
      </c>
      <c r="W3" s="443" t="s">
        <v>383</v>
      </c>
      <c r="X3" s="443"/>
      <c r="Y3" s="477" t="s">
        <v>382</v>
      </c>
      <c r="Z3" s="478"/>
      <c r="AA3" s="479" t="s">
        <v>381</v>
      </c>
      <c r="AB3" s="480" t="s">
        <v>380</v>
      </c>
      <c r="AC3" s="451" t="s">
        <v>379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139" t="s">
        <v>31</v>
      </c>
      <c r="T4" s="139" t="s">
        <v>32</v>
      </c>
      <c r="U4" s="476"/>
      <c r="V4" s="476"/>
      <c r="W4" s="138" t="s">
        <v>378</v>
      </c>
      <c r="X4" s="138" t="s">
        <v>377</v>
      </c>
      <c r="Y4" s="478"/>
      <c r="Z4" s="478"/>
      <c r="AA4" s="479"/>
      <c r="AB4" s="480"/>
      <c r="AC4" s="451"/>
    </row>
    <row r="5" spans="1:29">
      <c r="A5" s="473" t="s">
        <v>376</v>
      </c>
      <c r="B5" s="31" t="s">
        <v>58</v>
      </c>
      <c r="C5" s="475" t="s">
        <v>104</v>
      </c>
      <c r="D5" s="475"/>
      <c r="E5" s="31">
        <v>46.93</v>
      </c>
      <c r="F5" s="139">
        <v>724</v>
      </c>
      <c r="G5" s="138">
        <f>E5*F5</f>
        <v>33977.32</v>
      </c>
      <c r="H5" s="143" t="s">
        <v>103</v>
      </c>
      <c r="I5" s="140">
        <v>17</v>
      </c>
      <c r="J5" s="26">
        <v>2000</v>
      </c>
      <c r="K5" s="10">
        <f t="shared" ref="K5:K36" si="0">J5/I5</f>
        <v>117.64705882352941</v>
      </c>
      <c r="L5" s="140">
        <v>17</v>
      </c>
      <c r="M5" s="11">
        <f>F5/V5*60</f>
        <v>1888.6956521739066</v>
      </c>
      <c r="N5" s="10">
        <f t="shared" ref="N5:N36" si="1">M5/L5</f>
        <v>111.09974424552392</v>
      </c>
      <c r="O5" s="12">
        <f t="shared" ref="O5:O36" si="2">L5-I5</f>
        <v>0</v>
      </c>
      <c r="P5" s="13">
        <f t="shared" ref="P5:P36" si="3">N5-K5</f>
        <v>-6.5473145780054836</v>
      </c>
      <c r="Q5" s="141">
        <f t="shared" ref="Q5:Q36" si="4">N5/K5</f>
        <v>0.94434782608695333</v>
      </c>
      <c r="R5" s="442">
        <f>Q8</f>
        <v>0.9473316283034946</v>
      </c>
      <c r="S5" s="28">
        <v>0.70833333333333337</v>
      </c>
      <c r="T5" s="28">
        <v>0.72430555555555565</v>
      </c>
      <c r="U5" s="138"/>
      <c r="V5" s="146">
        <f>(T5-S5)*24*60</f>
        <v>23.000000000000078</v>
      </c>
      <c r="W5" s="16"/>
      <c r="X5" s="17"/>
      <c r="Y5" s="443"/>
      <c r="Z5" s="443"/>
      <c r="AA5" s="12">
        <f t="shared" ref="AA5:AA36" si="5">M5-J5</f>
        <v>-111.30434782609336</v>
      </c>
      <c r="AB5" s="141">
        <f t="shared" ref="AB5:AB36" si="6">M5/J5</f>
        <v>0.94434782608695333</v>
      </c>
      <c r="AC5" s="442">
        <f>AB8</f>
        <v>0.94733162830349449</v>
      </c>
    </row>
    <row r="6" spans="1:29">
      <c r="A6" s="474" t="s">
        <v>376</v>
      </c>
      <c r="B6" s="31" t="s">
        <v>58</v>
      </c>
      <c r="C6" s="475" t="s">
        <v>105</v>
      </c>
      <c r="D6" s="475"/>
      <c r="E6" s="31">
        <v>50.49</v>
      </c>
      <c r="F6" s="139">
        <v>1710</v>
      </c>
      <c r="G6" s="138">
        <f>E6*F6</f>
        <v>86337.900000000009</v>
      </c>
      <c r="H6" s="143" t="s">
        <v>103</v>
      </c>
      <c r="I6" s="140">
        <v>16</v>
      </c>
      <c r="J6" s="26">
        <v>2000</v>
      </c>
      <c r="K6" s="10">
        <f t="shared" si="0"/>
        <v>125</v>
      </c>
      <c r="L6" s="140">
        <v>16</v>
      </c>
      <c r="M6" s="11">
        <f>F6/V6*60</f>
        <v>1900.0000000000009</v>
      </c>
      <c r="N6" s="10">
        <f t="shared" si="1"/>
        <v>118.75000000000006</v>
      </c>
      <c r="O6" s="12">
        <f t="shared" si="2"/>
        <v>0</v>
      </c>
      <c r="P6" s="13">
        <f t="shared" si="3"/>
        <v>-6.2499999999999432</v>
      </c>
      <c r="Q6" s="141">
        <f t="shared" si="4"/>
        <v>0.9500000000000004</v>
      </c>
      <c r="R6" s="442"/>
      <c r="S6" s="28">
        <v>0.72777777777777786</v>
      </c>
      <c r="T6" s="28">
        <v>0.76527777777777783</v>
      </c>
      <c r="U6" s="138">
        <f>(S6-T5)*24*60</f>
        <v>4.9999999999999822</v>
      </c>
      <c r="V6" s="146">
        <f>(T6-S6)*24*60</f>
        <v>53.999999999999972</v>
      </c>
      <c r="W6" s="16"/>
      <c r="X6" s="16"/>
      <c r="Y6" s="443"/>
      <c r="Z6" s="443"/>
      <c r="AA6" s="12">
        <f t="shared" si="5"/>
        <v>-99.999999999999091</v>
      </c>
      <c r="AB6" s="141">
        <f t="shared" si="6"/>
        <v>0.9500000000000004</v>
      </c>
      <c r="AC6" s="442"/>
    </row>
    <row r="7" spans="1:29">
      <c r="A7" s="474" t="s">
        <v>376</v>
      </c>
      <c r="B7" s="31" t="s">
        <v>58</v>
      </c>
      <c r="C7" s="471" t="s">
        <v>106</v>
      </c>
      <c r="D7" s="472"/>
      <c r="E7" s="31">
        <v>50.67</v>
      </c>
      <c r="F7" s="139">
        <v>1611</v>
      </c>
      <c r="G7" s="138">
        <f>E7*F7</f>
        <v>81629.37000000001</v>
      </c>
      <c r="H7" s="143" t="s">
        <v>103</v>
      </c>
      <c r="I7" s="140">
        <v>18</v>
      </c>
      <c r="J7" s="26">
        <v>2000</v>
      </c>
      <c r="K7" s="10">
        <f t="shared" si="0"/>
        <v>111.11111111111111</v>
      </c>
      <c r="L7" s="140">
        <v>18</v>
      </c>
      <c r="M7" s="11">
        <f>F7/V7*60</f>
        <v>1895.2941176470595</v>
      </c>
      <c r="N7" s="10">
        <f t="shared" si="1"/>
        <v>105.29411764705885</v>
      </c>
      <c r="O7" s="12">
        <f t="shared" si="2"/>
        <v>0</v>
      </c>
      <c r="P7" s="13">
        <f t="shared" si="3"/>
        <v>-5.8169934640522598</v>
      </c>
      <c r="Q7" s="141">
        <f t="shared" si="4"/>
        <v>0.94764705882352962</v>
      </c>
      <c r="R7" s="442"/>
      <c r="S7" s="28">
        <v>0.76875000000000004</v>
      </c>
      <c r="T7" s="28">
        <v>0.8041666666666667</v>
      </c>
      <c r="U7" s="138">
        <f>(S7-T6)*24*60</f>
        <v>4.9999999999999822</v>
      </c>
      <c r="V7" s="146">
        <f>(T7-S7)*24*60</f>
        <v>50.999999999999979</v>
      </c>
      <c r="W7" s="16"/>
      <c r="X7" s="16"/>
      <c r="Y7" s="447"/>
      <c r="Z7" s="448"/>
      <c r="AA7" s="12">
        <f t="shared" si="5"/>
        <v>-104.70588235294053</v>
      </c>
      <c r="AB7" s="141">
        <f t="shared" si="6"/>
        <v>0.94764705882352973</v>
      </c>
      <c r="AC7" s="442"/>
    </row>
    <row r="8" spans="1:29">
      <c r="A8" s="474" t="s">
        <v>376</v>
      </c>
      <c r="B8" s="31" t="s">
        <v>367</v>
      </c>
      <c r="C8" s="446"/>
      <c r="D8" s="446"/>
      <c r="E8" s="142"/>
      <c r="F8" s="33"/>
      <c r="G8" s="10"/>
      <c r="H8" s="139"/>
      <c r="I8" s="19">
        <v>17</v>
      </c>
      <c r="J8" s="26">
        <v>2000</v>
      </c>
      <c r="K8" s="10">
        <f t="shared" si="0"/>
        <v>117.64705882352941</v>
      </c>
      <c r="L8" s="19">
        <v>17</v>
      </c>
      <c r="M8" s="11">
        <f>AVERAGE(M5:M7)</f>
        <v>1894.6632566069891</v>
      </c>
      <c r="N8" s="10">
        <f t="shared" si="1"/>
        <v>111.45077980041113</v>
      </c>
      <c r="O8" s="12">
        <f t="shared" si="2"/>
        <v>0</v>
      </c>
      <c r="P8" s="13">
        <f t="shared" si="3"/>
        <v>-6.1962790231182794</v>
      </c>
      <c r="Q8" s="141">
        <f t="shared" si="4"/>
        <v>0.9473316283034946</v>
      </c>
      <c r="R8" s="442"/>
      <c r="S8" s="28"/>
      <c r="T8" s="28"/>
      <c r="U8" s="138"/>
      <c r="V8" s="146"/>
      <c r="W8" s="10"/>
      <c r="X8" s="10"/>
      <c r="Y8" s="443"/>
      <c r="Z8" s="443"/>
      <c r="AA8" s="12">
        <f t="shared" si="5"/>
        <v>-105.33674339301092</v>
      </c>
      <c r="AB8" s="141">
        <f t="shared" si="6"/>
        <v>0.94733162830349449</v>
      </c>
      <c r="AC8" s="442"/>
    </row>
    <row r="9" spans="1:29" ht="15.75" customHeight="1">
      <c r="A9" s="439" t="s">
        <v>375</v>
      </c>
      <c r="B9" s="31" t="s">
        <v>53</v>
      </c>
      <c r="C9" s="471" t="s">
        <v>107</v>
      </c>
      <c r="D9" s="472"/>
      <c r="E9" s="31">
        <v>39.619999999999997</v>
      </c>
      <c r="F9" s="139">
        <v>3555</v>
      </c>
      <c r="G9" s="138">
        <f>E9*F9</f>
        <v>140849.09999999998</v>
      </c>
      <c r="H9" s="143" t="s">
        <v>103</v>
      </c>
      <c r="I9" s="140">
        <v>19</v>
      </c>
      <c r="J9" s="26">
        <v>1500</v>
      </c>
      <c r="K9" s="10">
        <f t="shared" si="0"/>
        <v>78.94736842105263</v>
      </c>
      <c r="L9" s="140">
        <v>19</v>
      </c>
      <c r="M9" s="11">
        <f>F9/V9*60</f>
        <v>1412.5827814569536</v>
      </c>
      <c r="N9" s="10">
        <f t="shared" si="1"/>
        <v>74.346462181944929</v>
      </c>
      <c r="O9" s="12">
        <f t="shared" si="2"/>
        <v>0</v>
      </c>
      <c r="P9" s="13">
        <f t="shared" si="3"/>
        <v>-4.6009062391077009</v>
      </c>
      <c r="Q9" s="141">
        <f t="shared" si="4"/>
        <v>0.94172185430463584</v>
      </c>
      <c r="R9" s="442">
        <f>Q12</f>
        <v>0.94001734169420803</v>
      </c>
      <c r="S9" s="28">
        <v>8.3333333333333329E-2</v>
      </c>
      <c r="T9" s="28">
        <v>0.18819444444444444</v>
      </c>
      <c r="U9" s="138"/>
      <c r="V9" s="146">
        <f>(T9-S9)*24*60</f>
        <v>151</v>
      </c>
      <c r="W9" s="16">
        <f>T9</f>
        <v>0.18819444444444444</v>
      </c>
      <c r="X9" s="16">
        <f>S10</f>
        <v>0.20763888888888887</v>
      </c>
      <c r="Y9" s="443"/>
      <c r="Z9" s="443"/>
      <c r="AA9" s="12">
        <f t="shared" si="5"/>
        <v>-87.417218543046374</v>
      </c>
      <c r="AB9" s="141">
        <f t="shared" si="6"/>
        <v>0.94172185430463573</v>
      </c>
      <c r="AC9" s="442">
        <f>AB12</f>
        <v>0.94001734169420814</v>
      </c>
    </row>
    <row r="10" spans="1:29" ht="15.75" customHeight="1">
      <c r="A10" s="439" t="s">
        <v>375</v>
      </c>
      <c r="B10" s="31" t="s">
        <v>53</v>
      </c>
      <c r="C10" s="471" t="s">
        <v>54</v>
      </c>
      <c r="D10" s="472"/>
      <c r="E10" s="31">
        <v>39.799999999999997</v>
      </c>
      <c r="F10" s="139">
        <v>4797</v>
      </c>
      <c r="G10" s="138">
        <f>E10*F10</f>
        <v>190920.59999999998</v>
      </c>
      <c r="H10" s="143" t="s">
        <v>103</v>
      </c>
      <c r="I10" s="140">
        <v>17</v>
      </c>
      <c r="J10" s="26">
        <v>1500</v>
      </c>
      <c r="K10" s="10">
        <f t="shared" si="0"/>
        <v>88.235294117647058</v>
      </c>
      <c r="L10" s="140">
        <v>17</v>
      </c>
      <c r="M10" s="11">
        <f>F10/V10*60</f>
        <v>1410.8823529411766</v>
      </c>
      <c r="N10" s="10">
        <f t="shared" si="1"/>
        <v>82.993079584775089</v>
      </c>
      <c r="O10" s="12">
        <f t="shared" si="2"/>
        <v>0</v>
      </c>
      <c r="P10" s="13">
        <f t="shared" si="3"/>
        <v>-5.2422145328719694</v>
      </c>
      <c r="Q10" s="141">
        <f t="shared" si="4"/>
        <v>0.94058823529411772</v>
      </c>
      <c r="R10" s="442"/>
      <c r="S10" s="28">
        <v>0.20763888888888887</v>
      </c>
      <c r="T10" s="28">
        <v>0.34930555555555554</v>
      </c>
      <c r="U10" s="138">
        <f>(S10-T9)*24*60</f>
        <v>27.999999999999979</v>
      </c>
      <c r="V10" s="146">
        <f>(T10-S10)*24*60</f>
        <v>204</v>
      </c>
      <c r="W10" s="16"/>
      <c r="X10" s="16"/>
      <c r="Y10" s="443"/>
      <c r="Z10" s="443"/>
      <c r="AA10" s="12">
        <f t="shared" si="5"/>
        <v>-89.117647058823422</v>
      </c>
      <c r="AB10" s="141">
        <f t="shared" si="6"/>
        <v>0.94058823529411772</v>
      </c>
      <c r="AC10" s="442"/>
    </row>
    <row r="11" spans="1:29" ht="15.75" customHeight="1">
      <c r="A11" s="439" t="s">
        <v>375</v>
      </c>
      <c r="B11" s="31" t="s">
        <v>53</v>
      </c>
      <c r="C11" s="471" t="s">
        <v>55</v>
      </c>
      <c r="D11" s="472"/>
      <c r="E11" s="31">
        <v>39.29</v>
      </c>
      <c r="F11" s="139">
        <v>2907</v>
      </c>
      <c r="G11" s="138">
        <f>E11*F11</f>
        <v>114216.03</v>
      </c>
      <c r="H11" s="143" t="s">
        <v>103</v>
      </c>
      <c r="I11" s="140">
        <v>19</v>
      </c>
      <c r="J11" s="26">
        <v>1500</v>
      </c>
      <c r="K11" s="10">
        <f t="shared" si="0"/>
        <v>78.94736842105263</v>
      </c>
      <c r="L11" s="140">
        <v>19</v>
      </c>
      <c r="M11" s="11">
        <f>F11/V11*60</f>
        <v>1406.6129032258059</v>
      </c>
      <c r="N11" s="10">
        <f t="shared" si="1"/>
        <v>74.0322580645161</v>
      </c>
      <c r="O11" s="12">
        <f t="shared" si="2"/>
        <v>0</v>
      </c>
      <c r="P11" s="13">
        <f t="shared" si="3"/>
        <v>-4.9151103565365304</v>
      </c>
      <c r="Q11" s="141">
        <f t="shared" si="4"/>
        <v>0.93774193548387064</v>
      </c>
      <c r="R11" s="442"/>
      <c r="S11" s="28">
        <v>0.35347222222222219</v>
      </c>
      <c r="T11" s="28">
        <v>0.43958333333333333</v>
      </c>
      <c r="U11" s="138">
        <f>(S11-T10)*24*60</f>
        <v>5.9999999999999787</v>
      </c>
      <c r="V11" s="146">
        <f>(T11-S11)*24*60</f>
        <v>124.00000000000004</v>
      </c>
      <c r="W11" s="16"/>
      <c r="X11" s="16"/>
      <c r="Y11" s="443"/>
      <c r="Z11" s="443"/>
      <c r="AA11" s="12">
        <f t="shared" si="5"/>
        <v>-93.387096774194106</v>
      </c>
      <c r="AB11" s="141">
        <f t="shared" si="6"/>
        <v>0.93774193548387064</v>
      </c>
      <c r="AC11" s="442"/>
    </row>
    <row r="12" spans="1:29" ht="16.5" customHeight="1">
      <c r="A12" s="439" t="s">
        <v>375</v>
      </c>
      <c r="B12" s="31" t="s">
        <v>367</v>
      </c>
      <c r="C12" s="446"/>
      <c r="D12" s="446"/>
      <c r="E12" s="142"/>
      <c r="F12" s="26"/>
      <c r="G12" s="11"/>
      <c r="H12" s="139"/>
      <c r="I12" s="19">
        <v>18.333333333333332</v>
      </c>
      <c r="J12" s="26">
        <v>1500</v>
      </c>
      <c r="K12" s="10">
        <f t="shared" si="0"/>
        <v>81.818181818181827</v>
      </c>
      <c r="L12" s="19">
        <v>18.333333333333332</v>
      </c>
      <c r="M12" s="11">
        <f>AVERAGE(M9:M11)</f>
        <v>1410.0260125413122</v>
      </c>
      <c r="N12" s="10">
        <f t="shared" si="1"/>
        <v>76.910509774980667</v>
      </c>
      <c r="O12" s="12">
        <f t="shared" si="2"/>
        <v>0</v>
      </c>
      <c r="P12" s="13">
        <f t="shared" si="3"/>
        <v>-4.9076720432011598</v>
      </c>
      <c r="Q12" s="141">
        <f t="shared" si="4"/>
        <v>0.94001734169420803</v>
      </c>
      <c r="R12" s="442"/>
      <c r="S12" s="28"/>
      <c r="T12" s="28"/>
      <c r="U12" s="10"/>
      <c r="V12" s="146"/>
      <c r="W12" s="10"/>
      <c r="X12" s="10"/>
      <c r="Y12" s="443"/>
      <c r="Z12" s="443"/>
      <c r="AA12" s="12">
        <f t="shared" si="5"/>
        <v>-89.973987458687816</v>
      </c>
      <c r="AB12" s="141">
        <f t="shared" si="6"/>
        <v>0.94001734169420814</v>
      </c>
      <c r="AC12" s="442"/>
    </row>
    <row r="13" spans="1:29" ht="16.5" customHeight="1">
      <c r="A13" s="469" t="s">
        <v>374</v>
      </c>
      <c r="B13" s="139" t="s">
        <v>56</v>
      </c>
      <c r="C13" s="464" t="s">
        <v>57</v>
      </c>
      <c r="D13" s="464"/>
      <c r="E13" s="31">
        <v>41</v>
      </c>
      <c r="F13" s="139">
        <v>1544</v>
      </c>
      <c r="G13" s="138">
        <f>E13*F13</f>
        <v>63304</v>
      </c>
      <c r="H13" s="143" t="s">
        <v>103</v>
      </c>
      <c r="I13" s="140">
        <v>26</v>
      </c>
      <c r="J13" s="26">
        <v>1500</v>
      </c>
      <c r="K13" s="10">
        <f t="shared" si="0"/>
        <v>57.692307692307693</v>
      </c>
      <c r="L13" s="140">
        <v>26</v>
      </c>
      <c r="M13" s="11">
        <f>F13/V13*60</f>
        <v>1425.23076923077</v>
      </c>
      <c r="N13" s="10">
        <f t="shared" si="1"/>
        <v>54.816568047337306</v>
      </c>
      <c r="O13" s="12">
        <f t="shared" si="2"/>
        <v>0</v>
      </c>
      <c r="P13" s="13">
        <f t="shared" si="3"/>
        <v>-2.8757396449703876</v>
      </c>
      <c r="Q13" s="141">
        <f t="shared" si="4"/>
        <v>0.95015384615384657</v>
      </c>
      <c r="R13" s="442">
        <f>Q17</f>
        <v>0.94319627566760278</v>
      </c>
      <c r="S13" s="28">
        <v>0.20833333333333334</v>
      </c>
      <c r="T13" s="28">
        <v>0.25347222222222221</v>
      </c>
      <c r="U13" s="138"/>
      <c r="V13" s="146">
        <f>(T13-S13)*24*60</f>
        <v>64.999999999999972</v>
      </c>
      <c r="W13" s="18"/>
      <c r="X13" s="18"/>
      <c r="Y13" s="443"/>
      <c r="Z13" s="443"/>
      <c r="AA13" s="12">
        <f t="shared" si="5"/>
        <v>-74.769230769230035</v>
      </c>
      <c r="AB13" s="141">
        <f t="shared" si="6"/>
        <v>0.95015384615384668</v>
      </c>
      <c r="AC13" s="442">
        <f>AB17</f>
        <v>0.94319627566760289</v>
      </c>
    </row>
    <row r="14" spans="1:29" ht="16.5" customHeight="1">
      <c r="A14" s="470" t="s">
        <v>374</v>
      </c>
      <c r="B14" s="139" t="s">
        <v>53</v>
      </c>
      <c r="C14" s="464" t="s">
        <v>163</v>
      </c>
      <c r="D14" s="464"/>
      <c r="E14" s="31">
        <v>39.36</v>
      </c>
      <c r="F14" s="139">
        <v>5203</v>
      </c>
      <c r="G14" s="138">
        <f>E14*F14</f>
        <v>204790.08</v>
      </c>
      <c r="H14" s="143" t="s">
        <v>103</v>
      </c>
      <c r="I14" s="140">
        <v>21</v>
      </c>
      <c r="J14" s="26">
        <v>1500</v>
      </c>
      <c r="K14" s="10">
        <f t="shared" si="0"/>
        <v>71.428571428571431</v>
      </c>
      <c r="L14" s="140">
        <v>21</v>
      </c>
      <c r="M14" s="11">
        <f>F14/V14*60</f>
        <v>1406.2162162162163</v>
      </c>
      <c r="N14" s="10">
        <f t="shared" si="1"/>
        <v>66.962676962676966</v>
      </c>
      <c r="O14" s="12">
        <f t="shared" si="2"/>
        <v>0</v>
      </c>
      <c r="P14" s="13">
        <f t="shared" si="3"/>
        <v>-4.4658944658944648</v>
      </c>
      <c r="Q14" s="141">
        <f t="shared" si="4"/>
        <v>0.93747747747747745</v>
      </c>
      <c r="R14" s="442"/>
      <c r="S14" s="28">
        <v>0.25763888888888886</v>
      </c>
      <c r="T14" s="28">
        <v>0.41180555555555554</v>
      </c>
      <c r="U14" s="138">
        <f>IF(S14=TIME(17,0,0),"",(S14-T13)*24*60)</f>
        <v>5.9999999999999787</v>
      </c>
      <c r="V14" s="146">
        <f>(T14-S14)*24*60</f>
        <v>222</v>
      </c>
      <c r="W14" s="16"/>
      <c r="X14" s="16"/>
      <c r="Y14" s="443"/>
      <c r="Z14" s="443"/>
      <c r="AA14" s="12">
        <f t="shared" si="5"/>
        <v>-93.783783783783747</v>
      </c>
      <c r="AB14" s="141">
        <f t="shared" si="6"/>
        <v>0.93747747747747745</v>
      </c>
      <c r="AC14" s="442"/>
    </row>
    <row r="15" spans="1:29" ht="16.5" customHeight="1">
      <c r="A15" s="470" t="s">
        <v>374</v>
      </c>
      <c r="B15" s="139" t="s">
        <v>58</v>
      </c>
      <c r="C15" s="464" t="s">
        <v>59</v>
      </c>
      <c r="D15" s="464"/>
      <c r="E15" s="31">
        <v>50.98</v>
      </c>
      <c r="F15" s="139">
        <v>2118</v>
      </c>
      <c r="G15" s="138">
        <f>E15*F15</f>
        <v>107975.64</v>
      </c>
      <c r="H15" s="143" t="s">
        <v>103</v>
      </c>
      <c r="I15" s="140">
        <v>17</v>
      </c>
      <c r="J15" s="26">
        <v>2000</v>
      </c>
      <c r="K15" s="10">
        <f t="shared" si="0"/>
        <v>117.64705882352941</v>
      </c>
      <c r="L15" s="140">
        <v>17</v>
      </c>
      <c r="M15" s="11">
        <f>F15/V15*60</f>
        <v>1896.7164179104454</v>
      </c>
      <c r="N15" s="10">
        <f t="shared" si="1"/>
        <v>111.57155399473208</v>
      </c>
      <c r="O15" s="12">
        <f t="shared" si="2"/>
        <v>0</v>
      </c>
      <c r="P15" s="13">
        <f t="shared" si="3"/>
        <v>-6.075504828797321</v>
      </c>
      <c r="Q15" s="141">
        <f t="shared" si="4"/>
        <v>0.94835820895522271</v>
      </c>
      <c r="R15" s="442"/>
      <c r="S15" s="28">
        <v>0.70833333333333337</v>
      </c>
      <c r="T15" s="28">
        <v>0.7548611111111112</v>
      </c>
      <c r="U15" s="138" t="str">
        <f>IF(S15=TIME(17,0,0),"",(S15-T14)*24*60)</f>
        <v/>
      </c>
      <c r="V15" s="146">
        <f>(T15-S15)*24*60</f>
        <v>67.000000000000085</v>
      </c>
      <c r="W15" s="16"/>
      <c r="X15" s="16"/>
      <c r="Y15" s="443"/>
      <c r="Z15" s="443"/>
      <c r="AA15" s="12">
        <f t="shared" si="5"/>
        <v>-103.28358208955456</v>
      </c>
      <c r="AB15" s="141">
        <f t="shared" si="6"/>
        <v>0.94835820895522271</v>
      </c>
      <c r="AC15" s="442"/>
    </row>
    <row r="16" spans="1:29" ht="16.5" customHeight="1">
      <c r="A16" s="470" t="s">
        <v>374</v>
      </c>
      <c r="B16" s="139" t="s">
        <v>58</v>
      </c>
      <c r="C16" s="464" t="s">
        <v>60</v>
      </c>
      <c r="D16" s="464"/>
      <c r="E16" s="31">
        <v>50.92</v>
      </c>
      <c r="F16" s="139">
        <v>2374</v>
      </c>
      <c r="G16" s="138">
        <f>E16*F16</f>
        <v>120884.08</v>
      </c>
      <c r="H16" s="143" t="s">
        <v>103</v>
      </c>
      <c r="I16" s="140">
        <v>16</v>
      </c>
      <c r="J16" s="26">
        <v>2000</v>
      </c>
      <c r="K16" s="10">
        <f t="shared" si="0"/>
        <v>125</v>
      </c>
      <c r="L16" s="140">
        <v>16</v>
      </c>
      <c r="M16" s="11">
        <f>F16/V16*60</f>
        <v>1874.2105263157882</v>
      </c>
      <c r="N16" s="10">
        <f t="shared" si="1"/>
        <v>117.13815789473676</v>
      </c>
      <c r="O16" s="12">
        <f t="shared" si="2"/>
        <v>0</v>
      </c>
      <c r="P16" s="13">
        <f t="shared" si="3"/>
        <v>-7.8618421052632357</v>
      </c>
      <c r="Q16" s="141">
        <f t="shared" si="4"/>
        <v>0.93710526315789411</v>
      </c>
      <c r="R16" s="442"/>
      <c r="S16" s="28">
        <v>0.76041666666666674</v>
      </c>
      <c r="T16" s="28">
        <v>0.81319444444444455</v>
      </c>
      <c r="U16" s="138">
        <f>IF(S16=TIME(17,0,0),"",(S16-T15)*24*60)</f>
        <v>7.9999999999999716</v>
      </c>
      <c r="V16" s="146">
        <f>(T16-S16)*24*60</f>
        <v>76.000000000000057</v>
      </c>
      <c r="W16" s="16"/>
      <c r="X16" s="16"/>
      <c r="Y16" s="443"/>
      <c r="Z16" s="443"/>
      <c r="AA16" s="12">
        <f t="shared" si="5"/>
        <v>-125.78947368421177</v>
      </c>
      <c r="AB16" s="141">
        <f t="shared" si="6"/>
        <v>0.93710526315789411</v>
      </c>
      <c r="AC16" s="442"/>
    </row>
    <row r="17" spans="1:29" ht="16.5" customHeight="1">
      <c r="A17" s="470" t="s">
        <v>374</v>
      </c>
      <c r="B17" s="31" t="s">
        <v>367</v>
      </c>
      <c r="C17" s="446"/>
      <c r="D17" s="446"/>
      <c r="E17" s="142"/>
      <c r="F17" s="33"/>
      <c r="G17" s="10"/>
      <c r="H17" s="139"/>
      <c r="I17" s="19">
        <v>20</v>
      </c>
      <c r="J17" s="26">
        <v>1750</v>
      </c>
      <c r="K17" s="10">
        <f t="shared" si="0"/>
        <v>87.5</v>
      </c>
      <c r="L17" s="19">
        <v>20</v>
      </c>
      <c r="M17" s="11">
        <f>AVERAGE(M13:M16)</f>
        <v>1650.593482418305</v>
      </c>
      <c r="N17" s="10">
        <f t="shared" si="1"/>
        <v>82.529674120915246</v>
      </c>
      <c r="O17" s="12">
        <f t="shared" si="2"/>
        <v>0</v>
      </c>
      <c r="P17" s="13">
        <f t="shared" si="3"/>
        <v>-4.9703258790847542</v>
      </c>
      <c r="Q17" s="141">
        <f t="shared" si="4"/>
        <v>0.94319627566760278</v>
      </c>
      <c r="R17" s="442"/>
      <c r="S17" s="28"/>
      <c r="T17" s="28"/>
      <c r="U17" s="138"/>
      <c r="V17" s="146"/>
      <c r="W17" s="10"/>
      <c r="X17" s="10"/>
      <c r="Y17" s="443"/>
      <c r="Z17" s="443"/>
      <c r="AA17" s="12">
        <f t="shared" si="5"/>
        <v>-99.40651758169497</v>
      </c>
      <c r="AB17" s="141">
        <f t="shared" si="6"/>
        <v>0.94319627566760289</v>
      </c>
      <c r="AC17" s="442"/>
    </row>
    <row r="18" spans="1:29" ht="15.75" customHeight="1">
      <c r="A18" s="467" t="s">
        <v>373</v>
      </c>
      <c r="B18" s="31" t="s">
        <v>56</v>
      </c>
      <c r="C18" s="464" t="s">
        <v>61</v>
      </c>
      <c r="D18" s="464"/>
      <c r="E18" s="31">
        <v>43.14</v>
      </c>
      <c r="F18" s="139">
        <v>1160</v>
      </c>
      <c r="G18" s="138">
        <f>E18*F18</f>
        <v>50042.400000000001</v>
      </c>
      <c r="H18" s="143" t="s">
        <v>103</v>
      </c>
      <c r="I18" s="140">
        <v>17</v>
      </c>
      <c r="J18" s="26">
        <v>2000</v>
      </c>
      <c r="K18" s="10">
        <f t="shared" si="0"/>
        <v>117.64705882352941</v>
      </c>
      <c r="L18" s="140">
        <v>17</v>
      </c>
      <c r="M18" s="11">
        <f>F18/V18*60</f>
        <v>1881.0810810810819</v>
      </c>
      <c r="N18" s="10">
        <f t="shared" si="1"/>
        <v>110.65182829888717</v>
      </c>
      <c r="O18" s="12">
        <f t="shared" si="2"/>
        <v>0</v>
      </c>
      <c r="P18" s="13">
        <f t="shared" si="3"/>
        <v>-6.9952305246422384</v>
      </c>
      <c r="Q18" s="141">
        <f t="shared" si="4"/>
        <v>0.94054054054054093</v>
      </c>
      <c r="R18" s="442">
        <f>Q23</f>
        <v>0.94791736135486193</v>
      </c>
      <c r="S18" s="28">
        <v>0.20833333333333334</v>
      </c>
      <c r="T18" s="28">
        <v>0.23402777777777778</v>
      </c>
      <c r="U18" s="138"/>
      <c r="V18" s="146">
        <f>(T18-S18)*24*60</f>
        <v>36.999999999999986</v>
      </c>
      <c r="W18" s="18"/>
      <c r="X18" s="18"/>
      <c r="Y18" s="443"/>
      <c r="Z18" s="443"/>
      <c r="AA18" s="12">
        <f t="shared" si="5"/>
        <v>-118.91891891891805</v>
      </c>
      <c r="AB18" s="141">
        <f t="shared" si="6"/>
        <v>0.94054054054054093</v>
      </c>
      <c r="AC18" s="442">
        <f>AB23</f>
        <v>0.94791736135486193</v>
      </c>
    </row>
    <row r="19" spans="1:29" ht="15.75" customHeight="1">
      <c r="A19" s="468" t="s">
        <v>373</v>
      </c>
      <c r="B19" s="31" t="s">
        <v>58</v>
      </c>
      <c r="C19" s="464" t="s">
        <v>62</v>
      </c>
      <c r="D19" s="464"/>
      <c r="E19" s="31">
        <v>57.73</v>
      </c>
      <c r="F19" s="139">
        <v>2022</v>
      </c>
      <c r="G19" s="138">
        <f>E19*F19</f>
        <v>116730.06</v>
      </c>
      <c r="H19" s="143" t="s">
        <v>103</v>
      </c>
      <c r="I19" s="140">
        <v>16</v>
      </c>
      <c r="J19" s="26">
        <v>2000</v>
      </c>
      <c r="K19" s="10">
        <f t="shared" si="0"/>
        <v>125</v>
      </c>
      <c r="L19" s="140">
        <v>16</v>
      </c>
      <c r="M19" s="11">
        <f>F19/V19*60</f>
        <v>1895.6249999999995</v>
      </c>
      <c r="N19" s="10">
        <f t="shared" si="1"/>
        <v>118.47656249999997</v>
      </c>
      <c r="O19" s="12">
        <f t="shared" si="2"/>
        <v>0</v>
      </c>
      <c r="P19" s="13">
        <f t="shared" si="3"/>
        <v>-6.5234375000000284</v>
      </c>
      <c r="Q19" s="141">
        <f t="shared" si="4"/>
        <v>0.94781249999999972</v>
      </c>
      <c r="R19" s="442"/>
      <c r="S19" s="28">
        <v>0.23749999999999999</v>
      </c>
      <c r="T19" s="28">
        <v>0.28194444444444444</v>
      </c>
      <c r="U19" s="138">
        <f>IF(S19=TIME(17,0,0),"",(S19-T18)*24*60)</f>
        <v>4.9999999999999822</v>
      </c>
      <c r="V19" s="146">
        <f>(T19-S19)*24*60</f>
        <v>64.000000000000014</v>
      </c>
      <c r="W19" s="16"/>
      <c r="X19" s="138"/>
      <c r="Y19" s="443"/>
      <c r="Z19" s="443"/>
      <c r="AA19" s="12">
        <f t="shared" si="5"/>
        <v>-104.37500000000045</v>
      </c>
      <c r="AB19" s="141">
        <f t="shared" si="6"/>
        <v>0.94781249999999972</v>
      </c>
      <c r="AC19" s="442"/>
    </row>
    <row r="20" spans="1:29" ht="15.75" customHeight="1">
      <c r="A20" s="468" t="s">
        <v>373</v>
      </c>
      <c r="B20" s="31" t="s">
        <v>58</v>
      </c>
      <c r="C20" s="464" t="s">
        <v>63</v>
      </c>
      <c r="D20" s="464"/>
      <c r="E20" s="31">
        <v>53.68</v>
      </c>
      <c r="F20" s="139">
        <v>1340</v>
      </c>
      <c r="G20" s="138">
        <f>E20*F20</f>
        <v>71931.199999999997</v>
      </c>
      <c r="H20" s="143" t="s">
        <v>103</v>
      </c>
      <c r="I20" s="140">
        <v>17</v>
      </c>
      <c r="J20" s="26">
        <v>2000</v>
      </c>
      <c r="K20" s="10">
        <f t="shared" si="0"/>
        <v>117.64705882352941</v>
      </c>
      <c r="L20" s="140">
        <v>17</v>
      </c>
      <c r="M20" s="11">
        <f>F20/V20*60</f>
        <v>1914.2857142857138</v>
      </c>
      <c r="N20" s="10">
        <f t="shared" si="1"/>
        <v>112.60504201680669</v>
      </c>
      <c r="O20" s="12">
        <f t="shared" si="2"/>
        <v>0</v>
      </c>
      <c r="P20" s="13">
        <f t="shared" si="3"/>
        <v>-5.0420168067227138</v>
      </c>
      <c r="Q20" s="141">
        <f t="shared" si="4"/>
        <v>0.95714285714285696</v>
      </c>
      <c r="R20" s="442"/>
      <c r="S20" s="28">
        <v>0.28749999999999998</v>
      </c>
      <c r="T20" s="28">
        <v>0.31666666666666665</v>
      </c>
      <c r="U20" s="138">
        <f>IF(S20=TIME(17,0,0),"",(S20-T19)*24*60)</f>
        <v>7.9999999999999716</v>
      </c>
      <c r="V20" s="146">
        <f>(T20-S20)*24*60</f>
        <v>42.000000000000014</v>
      </c>
      <c r="W20" s="16"/>
      <c r="X20" s="138"/>
      <c r="Y20" s="443"/>
      <c r="Z20" s="443"/>
      <c r="AA20" s="12">
        <f t="shared" si="5"/>
        <v>-85.714285714286234</v>
      </c>
      <c r="AB20" s="141">
        <f t="shared" si="6"/>
        <v>0.95714285714285685</v>
      </c>
      <c r="AC20" s="442"/>
    </row>
    <row r="21" spans="1:29" ht="15.75" customHeight="1">
      <c r="A21" s="468" t="s">
        <v>373</v>
      </c>
      <c r="B21" s="31" t="s">
        <v>58</v>
      </c>
      <c r="C21" s="464" t="s">
        <v>65</v>
      </c>
      <c r="D21" s="464"/>
      <c r="E21" s="31">
        <v>54.09</v>
      </c>
      <c r="F21" s="139">
        <v>2520</v>
      </c>
      <c r="G21" s="138">
        <f>E21*F21</f>
        <v>136306.80000000002</v>
      </c>
      <c r="H21" s="143" t="s">
        <v>103</v>
      </c>
      <c r="I21" s="140">
        <v>20</v>
      </c>
      <c r="J21" s="26">
        <v>2000</v>
      </c>
      <c r="K21" s="10">
        <f t="shared" si="0"/>
        <v>100</v>
      </c>
      <c r="L21" s="140">
        <v>20</v>
      </c>
      <c r="M21" s="11">
        <f>F21/V21*60</f>
        <v>1889.9999999999993</v>
      </c>
      <c r="N21" s="10">
        <f t="shared" si="1"/>
        <v>94.499999999999972</v>
      </c>
      <c r="O21" s="12">
        <f t="shared" si="2"/>
        <v>0</v>
      </c>
      <c r="P21" s="13">
        <f t="shared" si="3"/>
        <v>-5.5000000000000284</v>
      </c>
      <c r="Q21" s="141">
        <f t="shared" si="4"/>
        <v>0.94499999999999973</v>
      </c>
      <c r="R21" s="442"/>
      <c r="S21" s="28">
        <v>0.70833333333333337</v>
      </c>
      <c r="T21" s="28">
        <v>0.76388888888888895</v>
      </c>
      <c r="U21" s="138" t="str">
        <f>IF(S21=TIME(17,0,0),"",(S21-T20)*24*60)</f>
        <v/>
      </c>
      <c r="V21" s="146">
        <f>(T21-S21)*24*60</f>
        <v>80.000000000000028</v>
      </c>
      <c r="W21" s="16"/>
      <c r="X21" s="138"/>
      <c r="Y21" s="443"/>
      <c r="Z21" s="443"/>
      <c r="AA21" s="12">
        <f t="shared" si="5"/>
        <v>-110.00000000000068</v>
      </c>
      <c r="AB21" s="141">
        <f t="shared" si="6"/>
        <v>0.94499999999999962</v>
      </c>
      <c r="AC21" s="442"/>
    </row>
    <row r="22" spans="1:29" ht="15.6" customHeight="1">
      <c r="A22" s="468" t="s">
        <v>373</v>
      </c>
      <c r="B22" s="31" t="s">
        <v>58</v>
      </c>
      <c r="C22" s="464" t="s">
        <v>66</v>
      </c>
      <c r="D22" s="464"/>
      <c r="E22" s="31">
        <v>53.27</v>
      </c>
      <c r="F22" s="139">
        <v>348</v>
      </c>
      <c r="G22" s="138">
        <f>E22*F22</f>
        <v>18537.960000000003</v>
      </c>
      <c r="H22" s="143" t="s">
        <v>103</v>
      </c>
      <c r="I22" s="140">
        <v>15</v>
      </c>
      <c r="J22" s="26">
        <v>2000</v>
      </c>
      <c r="K22" s="10">
        <f t="shared" si="0"/>
        <v>133.33333333333334</v>
      </c>
      <c r="L22" s="140">
        <v>15</v>
      </c>
      <c r="M22" s="11">
        <f>F22/V22*60</f>
        <v>1898.1818181818251</v>
      </c>
      <c r="N22" s="10">
        <f t="shared" si="1"/>
        <v>126.545454545455</v>
      </c>
      <c r="O22" s="12">
        <f t="shared" si="2"/>
        <v>0</v>
      </c>
      <c r="P22" s="13">
        <f t="shared" si="3"/>
        <v>-6.7878787878783413</v>
      </c>
      <c r="Q22" s="141">
        <f t="shared" si="4"/>
        <v>0.94909090909091243</v>
      </c>
      <c r="R22" s="442"/>
      <c r="S22" s="28">
        <v>0.76736111111111116</v>
      </c>
      <c r="T22" s="28">
        <v>0.77500000000000002</v>
      </c>
      <c r="U22" s="138">
        <f>IF(S22=TIME(17,0,0),"",(S22-T21)*24*60)</f>
        <v>4.9999999999999822</v>
      </c>
      <c r="V22" s="146">
        <f>(T22-S22)*24*60</f>
        <v>10.999999999999961</v>
      </c>
      <c r="W22" s="16"/>
      <c r="X22" s="138"/>
      <c r="Y22" s="443"/>
      <c r="Z22" s="443"/>
      <c r="AA22" s="12">
        <f t="shared" si="5"/>
        <v>-101.81818181817493</v>
      </c>
      <c r="AB22" s="141">
        <f t="shared" si="6"/>
        <v>0.94909090909091254</v>
      </c>
      <c r="AC22" s="442"/>
    </row>
    <row r="23" spans="1:29" ht="15.75" customHeight="1">
      <c r="A23" s="468" t="s">
        <v>373</v>
      </c>
      <c r="B23" s="31" t="s">
        <v>367</v>
      </c>
      <c r="C23" s="446"/>
      <c r="D23" s="446"/>
      <c r="E23" s="142"/>
      <c r="F23" s="139"/>
      <c r="G23" s="138"/>
      <c r="H23" s="139"/>
      <c r="I23" s="19">
        <v>17</v>
      </c>
      <c r="J23" s="26">
        <v>2000</v>
      </c>
      <c r="K23" s="10">
        <f t="shared" si="0"/>
        <v>117.64705882352941</v>
      </c>
      <c r="L23" s="19">
        <v>17</v>
      </c>
      <c r="M23" s="11">
        <f>AVERAGE(M18:M22)</f>
        <v>1895.8347227097238</v>
      </c>
      <c r="N23" s="10">
        <f t="shared" si="1"/>
        <v>111.51968957116023</v>
      </c>
      <c r="O23" s="12">
        <f t="shared" si="2"/>
        <v>0</v>
      </c>
      <c r="P23" s="13">
        <f t="shared" si="3"/>
        <v>-6.1273692523691778</v>
      </c>
      <c r="Q23" s="141">
        <f t="shared" si="4"/>
        <v>0.94791736135486193</v>
      </c>
      <c r="R23" s="442"/>
      <c r="S23" s="28"/>
      <c r="T23" s="28"/>
      <c r="U23" s="10"/>
      <c r="V23" s="146"/>
      <c r="W23" s="10"/>
      <c r="X23" s="10"/>
      <c r="Y23" s="443"/>
      <c r="Z23" s="443"/>
      <c r="AA23" s="12">
        <f t="shared" si="5"/>
        <v>-104.16527729027621</v>
      </c>
      <c r="AB23" s="141">
        <f t="shared" si="6"/>
        <v>0.94791736135486193</v>
      </c>
      <c r="AC23" s="442"/>
    </row>
    <row r="24" spans="1:29" ht="15.75" customHeight="1">
      <c r="A24" s="463" t="s">
        <v>372</v>
      </c>
      <c r="B24" s="31" t="s">
        <v>67</v>
      </c>
      <c r="C24" s="464" t="s">
        <v>68</v>
      </c>
      <c r="D24" s="464"/>
      <c r="E24" s="31">
        <v>26.2</v>
      </c>
      <c r="F24" s="139">
        <v>3190</v>
      </c>
      <c r="G24" s="138">
        <f>E24*F24</f>
        <v>83578</v>
      </c>
      <c r="H24" s="143" t="s">
        <v>103</v>
      </c>
      <c r="I24" s="140">
        <v>20</v>
      </c>
      <c r="J24" s="26">
        <v>2400</v>
      </c>
      <c r="K24" s="10">
        <f t="shared" si="0"/>
        <v>120</v>
      </c>
      <c r="L24" s="140">
        <v>20</v>
      </c>
      <c r="M24" s="11">
        <f>F24/V24*60</f>
        <v>2251.7647058823536</v>
      </c>
      <c r="N24" s="10">
        <f t="shared" si="1"/>
        <v>112.58823529411768</v>
      </c>
      <c r="O24" s="12">
        <f t="shared" si="2"/>
        <v>0</v>
      </c>
      <c r="P24" s="13">
        <f t="shared" si="3"/>
        <v>-7.4117647058823195</v>
      </c>
      <c r="Q24" s="141">
        <f t="shared" si="4"/>
        <v>0.93823529411764739</v>
      </c>
      <c r="R24" s="442">
        <f>Q29</f>
        <v>0.94007909009497892</v>
      </c>
      <c r="S24" s="28">
        <v>8.3333333333333329E-2</v>
      </c>
      <c r="T24" s="28">
        <v>0.1423611111111111</v>
      </c>
      <c r="U24" s="138"/>
      <c r="V24" s="146">
        <f>(T24-S24)*24*60</f>
        <v>84.999999999999986</v>
      </c>
      <c r="W24" s="16">
        <f>T24</f>
        <v>0.1423611111111111</v>
      </c>
      <c r="X24" s="16">
        <f>S25</f>
        <v>0.16319444444444445</v>
      </c>
      <c r="Y24" s="443"/>
      <c r="Z24" s="443"/>
      <c r="AA24" s="12">
        <f t="shared" si="5"/>
        <v>-148.23529411764639</v>
      </c>
      <c r="AB24" s="141">
        <f t="shared" si="6"/>
        <v>0.93823529411764739</v>
      </c>
      <c r="AC24" s="442">
        <f>AB29</f>
        <v>0.94007909009497892</v>
      </c>
    </row>
    <row r="25" spans="1:29" ht="15.75" customHeight="1">
      <c r="A25" s="463" t="s">
        <v>372</v>
      </c>
      <c r="B25" s="31" t="s">
        <v>67</v>
      </c>
      <c r="C25" s="464" t="s">
        <v>69</v>
      </c>
      <c r="D25" s="464"/>
      <c r="E25" s="31">
        <v>31.29</v>
      </c>
      <c r="F25" s="139">
        <v>6293</v>
      </c>
      <c r="G25" s="138">
        <f>E25*F25</f>
        <v>196907.97</v>
      </c>
      <c r="H25" s="143" t="s">
        <v>103</v>
      </c>
      <c r="I25" s="140">
        <v>16</v>
      </c>
      <c r="J25" s="26">
        <v>2400</v>
      </c>
      <c r="K25" s="10">
        <f t="shared" si="0"/>
        <v>150</v>
      </c>
      <c r="L25" s="140">
        <v>16</v>
      </c>
      <c r="M25" s="11">
        <f>F25/V25*60</f>
        <v>2247.5</v>
      </c>
      <c r="N25" s="10">
        <f t="shared" si="1"/>
        <v>140.46875</v>
      </c>
      <c r="O25" s="12">
        <f t="shared" si="2"/>
        <v>0</v>
      </c>
      <c r="P25" s="13">
        <f t="shared" si="3"/>
        <v>-9.53125</v>
      </c>
      <c r="Q25" s="141">
        <f t="shared" si="4"/>
        <v>0.93645833333333328</v>
      </c>
      <c r="R25" s="442"/>
      <c r="S25" s="28">
        <v>0.16319444444444445</v>
      </c>
      <c r="T25" s="28">
        <v>0.27986111111111112</v>
      </c>
      <c r="U25" s="138">
        <f>(S25-T24)*24*60</f>
        <v>30.000000000000014</v>
      </c>
      <c r="V25" s="146">
        <f>(T25-S25)*24*60</f>
        <v>168</v>
      </c>
      <c r="W25" s="16"/>
      <c r="X25" s="16"/>
      <c r="Y25" s="443"/>
      <c r="Z25" s="443"/>
      <c r="AA25" s="12">
        <f t="shared" si="5"/>
        <v>-152.5</v>
      </c>
      <c r="AB25" s="141">
        <f t="shared" si="6"/>
        <v>0.93645833333333328</v>
      </c>
      <c r="AC25" s="442"/>
    </row>
    <row r="26" spans="1:29" ht="15.75" customHeight="1">
      <c r="A26" s="463" t="s">
        <v>372</v>
      </c>
      <c r="B26" s="31" t="s">
        <v>67</v>
      </c>
      <c r="C26" s="464" t="s">
        <v>70</v>
      </c>
      <c r="D26" s="464"/>
      <c r="E26" s="31">
        <v>24.25</v>
      </c>
      <c r="F26" s="139">
        <v>3048</v>
      </c>
      <c r="G26" s="138">
        <f>E26*F26</f>
        <v>73914</v>
      </c>
      <c r="H26" s="143" t="s">
        <v>103</v>
      </c>
      <c r="I26" s="140">
        <v>18</v>
      </c>
      <c r="J26" s="26">
        <v>2400</v>
      </c>
      <c r="K26" s="10">
        <f t="shared" si="0"/>
        <v>133.33333333333334</v>
      </c>
      <c r="L26" s="140">
        <v>18</v>
      </c>
      <c r="M26" s="11">
        <f>F26/V26*60</f>
        <v>2257.7777777777774</v>
      </c>
      <c r="N26" s="10">
        <f t="shared" si="1"/>
        <v>125.43209876543207</v>
      </c>
      <c r="O26" s="12">
        <f t="shared" si="2"/>
        <v>0</v>
      </c>
      <c r="P26" s="13">
        <f t="shared" si="3"/>
        <v>-7.9012345679012697</v>
      </c>
      <c r="Q26" s="141">
        <f t="shared" si="4"/>
        <v>0.94074074074074043</v>
      </c>
      <c r="R26" s="442"/>
      <c r="S26" s="28">
        <v>0.28402777777777777</v>
      </c>
      <c r="T26" s="28">
        <v>0.34027777777777779</v>
      </c>
      <c r="U26" s="138">
        <f>(S26-T25)*24*60</f>
        <v>5.9999999999999787</v>
      </c>
      <c r="V26" s="146">
        <f>(T26-S26)*24*60</f>
        <v>81.000000000000028</v>
      </c>
      <c r="W26" s="16"/>
      <c r="X26" s="16"/>
      <c r="Y26" s="443"/>
      <c r="Z26" s="443"/>
      <c r="AA26" s="12">
        <f t="shared" si="5"/>
        <v>-142.22222222222263</v>
      </c>
      <c r="AB26" s="141">
        <f t="shared" si="6"/>
        <v>0.94074074074074054</v>
      </c>
      <c r="AC26" s="442"/>
    </row>
    <row r="27" spans="1:29" ht="15.75" customHeight="1">
      <c r="A27" s="463" t="s">
        <v>372</v>
      </c>
      <c r="B27" s="31" t="s">
        <v>67</v>
      </c>
      <c r="C27" s="464" t="s">
        <v>72</v>
      </c>
      <c r="D27" s="464"/>
      <c r="E27" s="31">
        <v>25.98</v>
      </c>
      <c r="F27" s="139">
        <v>2876</v>
      </c>
      <c r="G27" s="138">
        <f>E27*F27</f>
        <v>74718.48</v>
      </c>
      <c r="H27" s="143" t="s">
        <v>103</v>
      </c>
      <c r="I27" s="140">
        <v>17</v>
      </c>
      <c r="J27" s="26">
        <v>2400</v>
      </c>
      <c r="K27" s="10">
        <f t="shared" si="0"/>
        <v>141.1764705882353</v>
      </c>
      <c r="L27" s="140">
        <v>17</v>
      </c>
      <c r="M27" s="11">
        <f>F27/V27*60</f>
        <v>2270.5263157894747</v>
      </c>
      <c r="N27" s="10">
        <f t="shared" si="1"/>
        <v>133.56037151702793</v>
      </c>
      <c r="O27" s="12">
        <f t="shared" si="2"/>
        <v>0</v>
      </c>
      <c r="P27" s="13">
        <f t="shared" si="3"/>
        <v>-7.6160990712073726</v>
      </c>
      <c r="Q27" s="141">
        <f t="shared" si="4"/>
        <v>0.94605263157894781</v>
      </c>
      <c r="R27" s="442"/>
      <c r="S27" s="28">
        <v>0.34513888888888888</v>
      </c>
      <c r="T27" s="28">
        <v>0.39791666666666664</v>
      </c>
      <c r="U27" s="138">
        <f>(S27-T26)*24*60</f>
        <v>6.9999999999999751</v>
      </c>
      <c r="V27" s="146">
        <f>(T27-S27)*24*60</f>
        <v>75.999999999999972</v>
      </c>
      <c r="W27" s="16"/>
      <c r="X27" s="16"/>
      <c r="Y27" s="443"/>
      <c r="Z27" s="443"/>
      <c r="AA27" s="12">
        <f t="shared" si="5"/>
        <v>-129.47368421052533</v>
      </c>
      <c r="AB27" s="141">
        <f t="shared" si="6"/>
        <v>0.94605263157894781</v>
      </c>
      <c r="AC27" s="442"/>
    </row>
    <row r="28" spans="1:29" ht="15.75" customHeight="1">
      <c r="A28" s="463" t="s">
        <v>372</v>
      </c>
      <c r="B28" s="31" t="s">
        <v>67</v>
      </c>
      <c r="C28" s="464" t="s">
        <v>165</v>
      </c>
      <c r="D28" s="464"/>
      <c r="E28" s="31">
        <v>26.18</v>
      </c>
      <c r="F28" s="139">
        <v>5333</v>
      </c>
      <c r="G28" s="138">
        <f>E28*F28</f>
        <v>139617.94</v>
      </c>
      <c r="H28" s="143" t="s">
        <v>103</v>
      </c>
      <c r="I28" s="140">
        <v>19</v>
      </c>
      <c r="J28" s="26">
        <v>2400</v>
      </c>
      <c r="K28" s="10">
        <f t="shared" si="0"/>
        <v>126.31578947368421</v>
      </c>
      <c r="L28" s="140">
        <v>19</v>
      </c>
      <c r="M28" s="11">
        <f>F28/V28*60</f>
        <v>2253.3802816901402</v>
      </c>
      <c r="N28" s="10">
        <f t="shared" si="1"/>
        <v>118.5989621942179</v>
      </c>
      <c r="O28" s="12">
        <f t="shared" si="2"/>
        <v>0</v>
      </c>
      <c r="P28" s="13">
        <f t="shared" si="3"/>
        <v>-7.7168272794663011</v>
      </c>
      <c r="Q28" s="141">
        <f t="shared" si="4"/>
        <v>0.93890845070422513</v>
      </c>
      <c r="R28" s="442"/>
      <c r="S28" s="28">
        <v>0.40347222222222218</v>
      </c>
      <c r="T28" s="28">
        <v>0.50208333333333333</v>
      </c>
      <c r="U28" s="138">
        <f>(S28-T27)*24*60</f>
        <v>7.9999999999999716</v>
      </c>
      <c r="V28" s="146">
        <f>(T28-S28)*24*60</f>
        <v>142.00000000000006</v>
      </c>
      <c r="W28" s="16"/>
      <c r="X28" s="16"/>
      <c r="Y28" s="443"/>
      <c r="Z28" s="443"/>
      <c r="AA28" s="12">
        <f t="shared" si="5"/>
        <v>-146.61971830985976</v>
      </c>
      <c r="AB28" s="141">
        <f t="shared" si="6"/>
        <v>0.93890845070422513</v>
      </c>
      <c r="AC28" s="442"/>
    </row>
    <row r="29" spans="1:29" ht="15.75" customHeight="1">
      <c r="A29" s="463" t="s">
        <v>372</v>
      </c>
      <c r="B29" s="31" t="s">
        <v>367</v>
      </c>
      <c r="C29" s="446"/>
      <c r="D29" s="446"/>
      <c r="E29" s="142"/>
      <c r="F29" s="139"/>
      <c r="G29" s="138"/>
      <c r="H29" s="139"/>
      <c r="I29" s="19">
        <v>18</v>
      </c>
      <c r="J29" s="26">
        <v>2400</v>
      </c>
      <c r="K29" s="10">
        <f t="shared" si="0"/>
        <v>133.33333333333334</v>
      </c>
      <c r="L29" s="19">
        <v>18</v>
      </c>
      <c r="M29" s="11">
        <f>AVERAGE(M24:M28)</f>
        <v>2256.1898162279494</v>
      </c>
      <c r="N29" s="10">
        <f t="shared" si="1"/>
        <v>125.34387867933053</v>
      </c>
      <c r="O29" s="12">
        <f t="shared" si="2"/>
        <v>0</v>
      </c>
      <c r="P29" s="13">
        <f t="shared" si="3"/>
        <v>-7.9894546540028131</v>
      </c>
      <c r="Q29" s="141">
        <f t="shared" si="4"/>
        <v>0.94007909009497892</v>
      </c>
      <c r="R29" s="442"/>
      <c r="S29" s="28"/>
      <c r="T29" s="28"/>
      <c r="U29" s="138"/>
      <c r="V29" s="146"/>
      <c r="W29" s="138"/>
      <c r="X29" s="138"/>
      <c r="Y29" s="443"/>
      <c r="Z29" s="443"/>
      <c r="AA29" s="12">
        <f t="shared" si="5"/>
        <v>-143.81018377205055</v>
      </c>
      <c r="AB29" s="141">
        <f t="shared" si="6"/>
        <v>0.94007909009497892</v>
      </c>
      <c r="AC29" s="442"/>
    </row>
    <row r="30" spans="1:29" ht="15.75" customHeight="1">
      <c r="A30" s="461" t="s">
        <v>371</v>
      </c>
      <c r="B30" s="31" t="s">
        <v>67</v>
      </c>
      <c r="C30" s="441" t="s">
        <v>73</v>
      </c>
      <c r="D30" s="441"/>
      <c r="E30" s="31">
        <v>26.2</v>
      </c>
      <c r="F30" s="139">
        <v>4922</v>
      </c>
      <c r="G30" s="138">
        <f t="shared" ref="G30:G36" si="7">E30*F30</f>
        <v>128956.4</v>
      </c>
      <c r="H30" s="143" t="s">
        <v>103</v>
      </c>
      <c r="I30" s="140">
        <v>18</v>
      </c>
      <c r="J30" s="26">
        <v>2400</v>
      </c>
      <c r="K30" s="10">
        <f t="shared" si="0"/>
        <v>133.33333333333334</v>
      </c>
      <c r="L30" s="140">
        <v>18</v>
      </c>
      <c r="M30" s="11">
        <f t="shared" ref="M30:M36" si="8">F30/V30*60</f>
        <v>2254.3511450381679</v>
      </c>
      <c r="N30" s="10">
        <f t="shared" si="1"/>
        <v>125.24173027989822</v>
      </c>
      <c r="O30" s="12">
        <f t="shared" si="2"/>
        <v>0</v>
      </c>
      <c r="P30" s="13">
        <f t="shared" si="3"/>
        <v>-8.0916030534351222</v>
      </c>
      <c r="Q30" s="141">
        <f t="shared" si="4"/>
        <v>0.93931297709923656</v>
      </c>
      <c r="R30" s="442">
        <f>Q37</f>
        <v>0.94585106659238838</v>
      </c>
      <c r="S30" s="28">
        <v>0.125</v>
      </c>
      <c r="T30" s="28">
        <v>0.21597222222222223</v>
      </c>
      <c r="U30" s="138"/>
      <c r="V30" s="146">
        <f t="shared" ref="V30:V36" si="9">(T30-S30)*24*60</f>
        <v>131</v>
      </c>
      <c r="W30" s="18">
        <f>T30</f>
        <v>0.21597222222222223</v>
      </c>
      <c r="X30" s="18">
        <f>S31</f>
        <v>0.23611111111111113</v>
      </c>
      <c r="Y30" s="443"/>
      <c r="Z30" s="443"/>
      <c r="AA30" s="12">
        <f t="shared" si="5"/>
        <v>-145.64885496183206</v>
      </c>
      <c r="AB30" s="141">
        <f t="shared" si="6"/>
        <v>0.93931297709923667</v>
      </c>
      <c r="AC30" s="442">
        <f>AB37</f>
        <v>0.94585106659238838</v>
      </c>
    </row>
    <row r="31" spans="1:29" ht="15.75" customHeight="1">
      <c r="A31" s="461" t="s">
        <v>371</v>
      </c>
      <c r="B31" s="31" t="s">
        <v>67</v>
      </c>
      <c r="C31" s="441" t="s">
        <v>74</v>
      </c>
      <c r="D31" s="441"/>
      <c r="E31" s="31">
        <v>24.45</v>
      </c>
      <c r="F31" s="139">
        <v>1721</v>
      </c>
      <c r="G31" s="138">
        <f t="shared" si="7"/>
        <v>42078.45</v>
      </c>
      <c r="H31" s="143" t="s">
        <v>103</v>
      </c>
      <c r="I31" s="140">
        <v>20</v>
      </c>
      <c r="J31" s="26">
        <v>2400</v>
      </c>
      <c r="K31" s="10">
        <f t="shared" si="0"/>
        <v>120</v>
      </c>
      <c r="L31" s="140">
        <v>20</v>
      </c>
      <c r="M31" s="11">
        <f t="shared" si="8"/>
        <v>2294.6666666666647</v>
      </c>
      <c r="N31" s="10">
        <f t="shared" si="1"/>
        <v>114.73333333333323</v>
      </c>
      <c r="O31" s="12">
        <f t="shared" si="2"/>
        <v>0</v>
      </c>
      <c r="P31" s="13">
        <f t="shared" si="3"/>
        <v>-5.2666666666667652</v>
      </c>
      <c r="Q31" s="141">
        <f t="shared" si="4"/>
        <v>0.95611111111111025</v>
      </c>
      <c r="R31" s="442"/>
      <c r="S31" s="28">
        <v>0.23611111111111113</v>
      </c>
      <c r="T31" s="28">
        <v>0.26736111111111116</v>
      </c>
      <c r="U31" s="138">
        <f t="shared" ref="U31:U36" si="10">(S31-T30)*24*60</f>
        <v>29.000000000000018</v>
      </c>
      <c r="V31" s="146">
        <f t="shared" si="9"/>
        <v>45.000000000000043</v>
      </c>
      <c r="W31" s="138"/>
      <c r="X31" s="138"/>
      <c r="Y31" s="443"/>
      <c r="Z31" s="443"/>
      <c r="AA31" s="12">
        <f t="shared" si="5"/>
        <v>-105.3333333333353</v>
      </c>
      <c r="AB31" s="141">
        <f t="shared" si="6"/>
        <v>0.95611111111111025</v>
      </c>
      <c r="AC31" s="442"/>
    </row>
    <row r="32" spans="1:29">
      <c r="A32" s="462" t="s">
        <v>371</v>
      </c>
      <c r="B32" s="31" t="s">
        <v>67</v>
      </c>
      <c r="C32" s="441" t="s">
        <v>75</v>
      </c>
      <c r="D32" s="441"/>
      <c r="E32" s="31">
        <v>26.39</v>
      </c>
      <c r="F32" s="139">
        <v>4427</v>
      </c>
      <c r="G32" s="138">
        <f t="shared" si="7"/>
        <v>116828.53</v>
      </c>
      <c r="H32" s="143" t="s">
        <v>103</v>
      </c>
      <c r="I32" s="140">
        <v>19</v>
      </c>
      <c r="J32" s="26">
        <v>2400</v>
      </c>
      <c r="K32" s="10">
        <f t="shared" si="0"/>
        <v>126.31578947368421</v>
      </c>
      <c r="L32" s="140">
        <v>19</v>
      </c>
      <c r="M32" s="11">
        <f t="shared" si="8"/>
        <v>2251.016949152543</v>
      </c>
      <c r="N32" s="10">
        <f t="shared" si="1"/>
        <v>118.47457627118648</v>
      </c>
      <c r="O32" s="12">
        <f t="shared" si="2"/>
        <v>0</v>
      </c>
      <c r="P32" s="13">
        <f t="shared" si="3"/>
        <v>-7.8412132024977268</v>
      </c>
      <c r="Q32" s="141">
        <f t="shared" si="4"/>
        <v>0.93792372881355968</v>
      </c>
      <c r="R32" s="442"/>
      <c r="S32" s="28">
        <v>0.2729166666666667</v>
      </c>
      <c r="T32" s="28">
        <v>0.35486111111111113</v>
      </c>
      <c r="U32" s="138">
        <f t="shared" si="10"/>
        <v>7.9999999999999716</v>
      </c>
      <c r="V32" s="146">
        <f t="shared" si="9"/>
        <v>117.99999999999999</v>
      </c>
      <c r="W32" s="138"/>
      <c r="X32" s="138"/>
      <c r="Y32" s="443"/>
      <c r="Z32" s="443"/>
      <c r="AA32" s="12">
        <f t="shared" si="5"/>
        <v>-148.98305084745698</v>
      </c>
      <c r="AB32" s="141">
        <f t="shared" si="6"/>
        <v>0.93792372881355957</v>
      </c>
      <c r="AC32" s="442"/>
    </row>
    <row r="33" spans="1:29">
      <c r="A33" s="462" t="s">
        <v>371</v>
      </c>
      <c r="B33" s="31" t="s">
        <v>67</v>
      </c>
      <c r="C33" s="441" t="s">
        <v>76</v>
      </c>
      <c r="D33" s="441"/>
      <c r="E33" s="31">
        <v>20.52</v>
      </c>
      <c r="F33" s="139">
        <v>2726</v>
      </c>
      <c r="G33" s="138">
        <f t="shared" si="7"/>
        <v>55937.52</v>
      </c>
      <c r="H33" s="143" t="s">
        <v>103</v>
      </c>
      <c r="I33" s="140">
        <v>18</v>
      </c>
      <c r="J33" s="26">
        <v>2400</v>
      </c>
      <c r="K33" s="10">
        <f t="shared" si="0"/>
        <v>133.33333333333334</v>
      </c>
      <c r="L33" s="140">
        <v>18</v>
      </c>
      <c r="M33" s="11">
        <f t="shared" si="8"/>
        <v>2271.6666666666674</v>
      </c>
      <c r="N33" s="10">
        <f t="shared" si="1"/>
        <v>126.20370370370375</v>
      </c>
      <c r="O33" s="12">
        <f t="shared" si="2"/>
        <v>0</v>
      </c>
      <c r="P33" s="13">
        <f t="shared" si="3"/>
        <v>-7.1296296296295907</v>
      </c>
      <c r="Q33" s="141">
        <f t="shared" si="4"/>
        <v>0.94652777777777808</v>
      </c>
      <c r="R33" s="442"/>
      <c r="S33" s="28">
        <v>0.35972222222222222</v>
      </c>
      <c r="T33" s="28">
        <v>0.40972222222222221</v>
      </c>
      <c r="U33" s="138">
        <f t="shared" si="10"/>
        <v>6.9999999999999751</v>
      </c>
      <c r="V33" s="146">
        <f t="shared" si="9"/>
        <v>71.999999999999986</v>
      </c>
      <c r="W33" s="16"/>
      <c r="X33" s="16"/>
      <c r="Y33" s="443"/>
      <c r="Z33" s="443"/>
      <c r="AA33" s="12">
        <f t="shared" si="5"/>
        <v>-128.33333333333258</v>
      </c>
      <c r="AB33" s="141">
        <f t="shared" si="6"/>
        <v>0.94652777777777808</v>
      </c>
      <c r="AC33" s="442"/>
    </row>
    <row r="34" spans="1:29">
      <c r="A34" s="462" t="s">
        <v>371</v>
      </c>
      <c r="B34" s="31" t="s">
        <v>67</v>
      </c>
      <c r="C34" s="441" t="s">
        <v>77</v>
      </c>
      <c r="D34" s="441"/>
      <c r="E34" s="31">
        <v>26.2</v>
      </c>
      <c r="F34" s="139">
        <v>3395</v>
      </c>
      <c r="G34" s="138">
        <f t="shared" si="7"/>
        <v>88949</v>
      </c>
      <c r="H34" s="143" t="s">
        <v>103</v>
      </c>
      <c r="I34" s="140">
        <v>19</v>
      </c>
      <c r="J34" s="26">
        <v>2400</v>
      </c>
      <c r="K34" s="10">
        <f t="shared" si="0"/>
        <v>126.31578947368421</v>
      </c>
      <c r="L34" s="140">
        <v>19</v>
      </c>
      <c r="M34" s="11">
        <f t="shared" si="8"/>
        <v>2263.3333333333335</v>
      </c>
      <c r="N34" s="10">
        <f t="shared" si="1"/>
        <v>119.12280701754386</v>
      </c>
      <c r="O34" s="12">
        <f t="shared" si="2"/>
        <v>0</v>
      </c>
      <c r="P34" s="13">
        <f t="shared" si="3"/>
        <v>-7.1929824561403422</v>
      </c>
      <c r="Q34" s="141">
        <f t="shared" si="4"/>
        <v>0.94305555555555565</v>
      </c>
      <c r="R34" s="442"/>
      <c r="S34" s="28">
        <v>0.4145833333333333</v>
      </c>
      <c r="T34" s="28">
        <v>0.4770833333333333</v>
      </c>
      <c r="U34" s="138">
        <f t="shared" si="10"/>
        <v>6.9999999999999751</v>
      </c>
      <c r="V34" s="146">
        <f t="shared" si="9"/>
        <v>90</v>
      </c>
      <c r="W34" s="16"/>
      <c r="X34" s="16"/>
      <c r="Y34" s="443"/>
      <c r="Z34" s="443"/>
      <c r="AA34" s="12">
        <f t="shared" si="5"/>
        <v>-136.66666666666652</v>
      </c>
      <c r="AB34" s="141">
        <f t="shared" si="6"/>
        <v>0.94305555555555565</v>
      </c>
      <c r="AC34" s="442"/>
    </row>
    <row r="35" spans="1:29">
      <c r="A35" s="462" t="s">
        <v>371</v>
      </c>
      <c r="B35" s="31" t="s">
        <v>67</v>
      </c>
      <c r="C35" s="441" t="s">
        <v>78</v>
      </c>
      <c r="D35" s="441"/>
      <c r="E35" s="31">
        <v>25.98</v>
      </c>
      <c r="F35" s="139">
        <v>2400</v>
      </c>
      <c r="G35" s="138">
        <f t="shared" si="7"/>
        <v>62352</v>
      </c>
      <c r="H35" s="143">
        <v>2</v>
      </c>
      <c r="I35" s="140">
        <v>17</v>
      </c>
      <c r="J35" s="26">
        <v>2400</v>
      </c>
      <c r="K35" s="10">
        <f t="shared" si="0"/>
        <v>141.1764705882353</v>
      </c>
      <c r="L35" s="140">
        <v>17</v>
      </c>
      <c r="M35" s="11">
        <f t="shared" si="8"/>
        <v>2250.0000000000027</v>
      </c>
      <c r="N35" s="10">
        <f t="shared" si="1"/>
        <v>132.35294117647075</v>
      </c>
      <c r="O35" s="12">
        <f t="shared" si="2"/>
        <v>0</v>
      </c>
      <c r="P35" s="13">
        <f t="shared" si="3"/>
        <v>-8.8235294117645537</v>
      </c>
      <c r="Q35" s="141">
        <f t="shared" si="4"/>
        <v>0.93750000000000111</v>
      </c>
      <c r="R35" s="442"/>
      <c r="S35" s="28">
        <v>0.48055555555555551</v>
      </c>
      <c r="T35" s="28">
        <v>0.52499999999999991</v>
      </c>
      <c r="U35" s="138">
        <f t="shared" si="10"/>
        <v>4.9999999999999822</v>
      </c>
      <c r="V35" s="146">
        <f t="shared" si="9"/>
        <v>63.999999999999929</v>
      </c>
      <c r="W35" s="16">
        <f>T35</f>
        <v>0.52499999999999991</v>
      </c>
      <c r="X35" s="16">
        <f>S36</f>
        <v>0.56458333333333321</v>
      </c>
      <c r="Y35" s="443"/>
      <c r="Z35" s="443"/>
      <c r="AA35" s="12">
        <f t="shared" si="5"/>
        <v>-149.99999999999727</v>
      </c>
      <c r="AB35" s="141">
        <f t="shared" si="6"/>
        <v>0.93750000000000111</v>
      </c>
      <c r="AC35" s="442"/>
    </row>
    <row r="36" spans="1:29">
      <c r="A36" s="462" t="s">
        <v>371</v>
      </c>
      <c r="B36" s="31" t="s">
        <v>67</v>
      </c>
      <c r="C36" s="441" t="s">
        <v>78</v>
      </c>
      <c r="D36" s="441"/>
      <c r="E36" s="31">
        <v>25.98</v>
      </c>
      <c r="F36" s="139">
        <v>730</v>
      </c>
      <c r="G36" s="138">
        <f t="shared" si="7"/>
        <v>18965.400000000001</v>
      </c>
      <c r="H36" s="143" t="s">
        <v>103</v>
      </c>
      <c r="I36" s="140">
        <v>17</v>
      </c>
      <c r="J36" s="26">
        <v>2400</v>
      </c>
      <c r="K36" s="10">
        <f t="shared" si="0"/>
        <v>141.1764705882353</v>
      </c>
      <c r="L36" s="140">
        <v>17</v>
      </c>
      <c r="M36" s="11">
        <f t="shared" si="8"/>
        <v>2305.2631578947453</v>
      </c>
      <c r="N36" s="10">
        <f t="shared" si="1"/>
        <v>135.60371517027914</v>
      </c>
      <c r="O36" s="12">
        <f t="shared" si="2"/>
        <v>0</v>
      </c>
      <c r="P36" s="13">
        <f t="shared" si="3"/>
        <v>-5.5727554179561594</v>
      </c>
      <c r="Q36" s="141">
        <f t="shared" si="4"/>
        <v>0.96052631578947723</v>
      </c>
      <c r="R36" s="442"/>
      <c r="S36" s="28">
        <v>0.56458333333333321</v>
      </c>
      <c r="T36" s="28">
        <v>0.57777777777777761</v>
      </c>
      <c r="U36" s="138">
        <f t="shared" si="10"/>
        <v>56.999999999999957</v>
      </c>
      <c r="V36" s="146">
        <f t="shared" si="9"/>
        <v>18.999999999999932</v>
      </c>
      <c r="W36" s="16"/>
      <c r="X36" s="16"/>
      <c r="Y36" s="447"/>
      <c r="Z36" s="448"/>
      <c r="AA36" s="12">
        <f t="shared" si="5"/>
        <v>-94.736842105254709</v>
      </c>
      <c r="AB36" s="141">
        <f t="shared" si="6"/>
        <v>0.96052631578947723</v>
      </c>
      <c r="AC36" s="442"/>
    </row>
    <row r="37" spans="1:29">
      <c r="A37" s="462" t="s">
        <v>371</v>
      </c>
      <c r="B37" s="33" t="s">
        <v>367</v>
      </c>
      <c r="C37" s="446"/>
      <c r="D37" s="446"/>
      <c r="E37" s="142"/>
      <c r="F37" s="33"/>
      <c r="G37" s="10"/>
      <c r="H37" s="139"/>
      <c r="I37" s="19">
        <v>18.285714285714285</v>
      </c>
      <c r="J37" s="26">
        <v>2400</v>
      </c>
      <c r="K37" s="10">
        <f t="shared" ref="K37:K65" si="11">J37/I37</f>
        <v>131.25</v>
      </c>
      <c r="L37" s="19">
        <v>18.285714285714285</v>
      </c>
      <c r="M37" s="11">
        <f>AVERAGE(M30:M36)</f>
        <v>2270.0425598217321</v>
      </c>
      <c r="N37" s="10">
        <f t="shared" ref="N37:N65" si="12">M37/L37</f>
        <v>124.14295249025098</v>
      </c>
      <c r="O37" s="12">
        <f t="shared" ref="O37:O65" si="13">L37-I37</f>
        <v>0</v>
      </c>
      <c r="P37" s="13">
        <f t="shared" ref="P37:P65" si="14">N37-K37</f>
        <v>-7.1070475097490231</v>
      </c>
      <c r="Q37" s="141">
        <f t="shared" ref="Q37:Q65" si="15">N37/K37</f>
        <v>0.94585106659238838</v>
      </c>
      <c r="R37" s="442"/>
      <c r="S37" s="28"/>
      <c r="T37" s="28"/>
      <c r="U37" s="10"/>
      <c r="V37" s="146"/>
      <c r="W37" s="10"/>
      <c r="X37" s="10"/>
      <c r="Y37" s="443"/>
      <c r="Z37" s="443"/>
      <c r="AA37" s="12">
        <f t="shared" ref="AA37:AA65" si="16">M37-J37</f>
        <v>-129.95744017826792</v>
      </c>
      <c r="AB37" s="141">
        <f t="shared" ref="AB37:AB65" si="17">M37/J37</f>
        <v>0.94585106659238838</v>
      </c>
      <c r="AC37" s="442"/>
    </row>
    <row r="38" spans="1:29" ht="15.75" customHeight="1">
      <c r="A38" s="453" t="s">
        <v>370</v>
      </c>
      <c r="B38" s="31" t="s">
        <v>79</v>
      </c>
      <c r="C38" s="444" t="s">
        <v>80</v>
      </c>
      <c r="D38" s="445"/>
      <c r="E38" s="31">
        <v>21.13</v>
      </c>
      <c r="F38" s="139">
        <v>3739</v>
      </c>
      <c r="G38" s="138">
        <f t="shared" ref="G38:G44" si="18">E38*F38</f>
        <v>79005.069999999992</v>
      </c>
      <c r="H38" s="143" t="s">
        <v>103</v>
      </c>
      <c r="I38" s="140">
        <v>10</v>
      </c>
      <c r="J38" s="26">
        <v>3000</v>
      </c>
      <c r="K38" s="10">
        <f t="shared" si="11"/>
        <v>300</v>
      </c>
      <c r="L38" s="140">
        <v>10</v>
      </c>
      <c r="M38" s="11">
        <f t="shared" ref="M38:M44" si="19">F38/V38*60</f>
        <v>2839.7468354430375</v>
      </c>
      <c r="N38" s="11">
        <f t="shared" si="12"/>
        <v>283.97468354430373</v>
      </c>
      <c r="O38" s="12">
        <f t="shared" si="13"/>
        <v>0</v>
      </c>
      <c r="P38" s="13">
        <f t="shared" si="14"/>
        <v>-16.02531645569627</v>
      </c>
      <c r="Q38" s="141">
        <f t="shared" si="15"/>
        <v>0.9465822784810124</v>
      </c>
      <c r="R38" s="456">
        <f>Q45</f>
        <v>0.9443540665948994</v>
      </c>
      <c r="S38" s="28">
        <v>8.3333333333333329E-2</v>
      </c>
      <c r="T38" s="28">
        <v>0.13819444444444445</v>
      </c>
      <c r="U38" s="18"/>
      <c r="V38" s="146">
        <f t="shared" ref="V38:V44" si="20">(T38-S38)*24*60</f>
        <v>79.000000000000014</v>
      </c>
      <c r="W38" s="16">
        <f>T38</f>
        <v>0.13819444444444445</v>
      </c>
      <c r="X38" s="16">
        <f>S39</f>
        <v>0.15833333333333335</v>
      </c>
      <c r="Y38" s="447"/>
      <c r="Z38" s="448"/>
      <c r="AA38" s="12">
        <f t="shared" si="16"/>
        <v>-160.25316455696247</v>
      </c>
      <c r="AB38" s="141">
        <f t="shared" si="17"/>
        <v>0.94658227848101251</v>
      </c>
      <c r="AC38" s="456">
        <f>AB45</f>
        <v>0.9443540665948994</v>
      </c>
    </row>
    <row r="39" spans="1:29" ht="15.75" customHeight="1">
      <c r="A39" s="454" t="s">
        <v>370</v>
      </c>
      <c r="B39" s="31" t="s">
        <v>79</v>
      </c>
      <c r="C39" s="444" t="s">
        <v>81</v>
      </c>
      <c r="D39" s="445"/>
      <c r="E39" s="31">
        <v>27.17</v>
      </c>
      <c r="F39" s="139">
        <v>4641</v>
      </c>
      <c r="G39" s="138">
        <f t="shared" si="18"/>
        <v>126095.97</v>
      </c>
      <c r="H39" s="143" t="s">
        <v>103</v>
      </c>
      <c r="I39" s="140">
        <v>10</v>
      </c>
      <c r="J39" s="26">
        <v>3000</v>
      </c>
      <c r="K39" s="10">
        <f t="shared" si="11"/>
        <v>300</v>
      </c>
      <c r="L39" s="140">
        <v>10</v>
      </c>
      <c r="M39" s="11">
        <f t="shared" si="19"/>
        <v>2812.7272727272725</v>
      </c>
      <c r="N39" s="11">
        <f t="shared" si="12"/>
        <v>281.27272727272725</v>
      </c>
      <c r="O39" s="12">
        <f t="shared" si="13"/>
        <v>0</v>
      </c>
      <c r="P39" s="13">
        <f t="shared" si="14"/>
        <v>-18.727272727272748</v>
      </c>
      <c r="Q39" s="141">
        <f t="shared" si="15"/>
        <v>0.93757575757575751</v>
      </c>
      <c r="R39" s="457"/>
      <c r="S39" s="28">
        <v>0.15833333333333335</v>
      </c>
      <c r="T39" s="28">
        <v>0.22708333333333336</v>
      </c>
      <c r="U39" s="138">
        <f t="shared" ref="U39:U44" si="21">(S39-T38)*24*60</f>
        <v>29.000000000000018</v>
      </c>
      <c r="V39" s="146">
        <f t="shared" si="20"/>
        <v>99.000000000000014</v>
      </c>
      <c r="W39" s="16"/>
      <c r="X39" s="16"/>
      <c r="Y39" s="447"/>
      <c r="Z39" s="448"/>
      <c r="AA39" s="12">
        <f t="shared" si="16"/>
        <v>-187.27272727272748</v>
      </c>
      <c r="AB39" s="141">
        <f t="shared" si="17"/>
        <v>0.93757575757575751</v>
      </c>
      <c r="AC39" s="457"/>
    </row>
    <row r="40" spans="1:29" ht="15.75" customHeight="1">
      <c r="A40" s="454" t="s">
        <v>370</v>
      </c>
      <c r="B40" s="31" t="s">
        <v>79</v>
      </c>
      <c r="C40" s="444" t="s">
        <v>82</v>
      </c>
      <c r="D40" s="445"/>
      <c r="E40" s="31">
        <v>35.119999999999997</v>
      </c>
      <c r="F40" s="139">
        <v>3366</v>
      </c>
      <c r="G40" s="138">
        <f t="shared" si="18"/>
        <v>118213.92</v>
      </c>
      <c r="H40" s="143" t="s">
        <v>103</v>
      </c>
      <c r="I40" s="140">
        <v>10</v>
      </c>
      <c r="J40" s="26">
        <v>3000</v>
      </c>
      <c r="K40" s="10">
        <f t="shared" si="11"/>
        <v>300</v>
      </c>
      <c r="L40" s="140">
        <v>10</v>
      </c>
      <c r="M40" s="11">
        <f t="shared" si="19"/>
        <v>2804.9999999999986</v>
      </c>
      <c r="N40" s="11">
        <f t="shared" si="12"/>
        <v>280.49999999999989</v>
      </c>
      <c r="O40" s="12">
        <f t="shared" si="13"/>
        <v>0</v>
      </c>
      <c r="P40" s="13">
        <f t="shared" si="14"/>
        <v>-19.500000000000114</v>
      </c>
      <c r="Q40" s="141">
        <f t="shared" si="15"/>
        <v>0.93499999999999961</v>
      </c>
      <c r="R40" s="457"/>
      <c r="S40" s="28">
        <v>0.23263888888888892</v>
      </c>
      <c r="T40" s="28">
        <v>0.28263888888888894</v>
      </c>
      <c r="U40" s="138">
        <f t="shared" si="21"/>
        <v>8.0000000000000107</v>
      </c>
      <c r="V40" s="146">
        <f t="shared" si="20"/>
        <v>72.000000000000028</v>
      </c>
      <c r="W40" s="16"/>
      <c r="X40" s="16"/>
      <c r="Y40" s="447"/>
      <c r="Z40" s="448"/>
      <c r="AA40" s="12">
        <f t="shared" si="16"/>
        <v>-195.00000000000136</v>
      </c>
      <c r="AB40" s="141">
        <f t="shared" si="17"/>
        <v>0.9349999999999995</v>
      </c>
      <c r="AC40" s="457"/>
    </row>
    <row r="41" spans="1:29" ht="15.75" customHeight="1">
      <c r="A41" s="454" t="s">
        <v>370</v>
      </c>
      <c r="B41" s="31" t="s">
        <v>79</v>
      </c>
      <c r="C41" s="444" t="s">
        <v>83</v>
      </c>
      <c r="D41" s="445"/>
      <c r="E41" s="31">
        <v>40.18</v>
      </c>
      <c r="F41" s="139">
        <v>1470</v>
      </c>
      <c r="G41" s="138">
        <f t="shared" si="18"/>
        <v>59064.6</v>
      </c>
      <c r="H41" s="143" t="s">
        <v>103</v>
      </c>
      <c r="I41" s="140">
        <v>10</v>
      </c>
      <c r="J41" s="26">
        <v>3000</v>
      </c>
      <c r="K41" s="10">
        <f t="shared" si="11"/>
        <v>300</v>
      </c>
      <c r="L41" s="140">
        <v>10</v>
      </c>
      <c r="M41" s="11">
        <f t="shared" si="19"/>
        <v>2845.1612903225832</v>
      </c>
      <c r="N41" s="11">
        <f t="shared" si="12"/>
        <v>284.51612903225833</v>
      </c>
      <c r="O41" s="12">
        <f t="shared" si="13"/>
        <v>0</v>
      </c>
      <c r="P41" s="13">
        <f t="shared" si="14"/>
        <v>-15.483870967741666</v>
      </c>
      <c r="Q41" s="141">
        <f t="shared" si="15"/>
        <v>0.94838709677419442</v>
      </c>
      <c r="R41" s="457"/>
      <c r="S41" s="28">
        <v>0.28750000000000003</v>
      </c>
      <c r="T41" s="28">
        <v>0.30902777777777779</v>
      </c>
      <c r="U41" s="138">
        <f t="shared" si="21"/>
        <v>6.9999999999999751</v>
      </c>
      <c r="V41" s="146">
        <f t="shared" si="20"/>
        <v>30.999999999999972</v>
      </c>
      <c r="W41" s="16"/>
      <c r="X41" s="16"/>
      <c r="Y41" s="447"/>
      <c r="Z41" s="448"/>
      <c r="AA41" s="12">
        <f t="shared" si="16"/>
        <v>-154.83870967741677</v>
      </c>
      <c r="AB41" s="141">
        <f t="shared" si="17"/>
        <v>0.94838709677419442</v>
      </c>
      <c r="AC41" s="457"/>
    </row>
    <row r="42" spans="1:29" ht="15.75" customHeight="1">
      <c r="A42" s="454" t="s">
        <v>370</v>
      </c>
      <c r="B42" s="31" t="s">
        <v>79</v>
      </c>
      <c r="C42" s="444" t="s">
        <v>84</v>
      </c>
      <c r="D42" s="445"/>
      <c r="E42" s="31">
        <v>28.5</v>
      </c>
      <c r="F42" s="139">
        <v>765</v>
      </c>
      <c r="G42" s="138">
        <f t="shared" si="18"/>
        <v>21802.5</v>
      </c>
      <c r="H42" s="143" t="s">
        <v>103</v>
      </c>
      <c r="I42" s="140">
        <v>10</v>
      </c>
      <c r="J42" s="26">
        <v>3000</v>
      </c>
      <c r="K42" s="10">
        <f t="shared" si="11"/>
        <v>300</v>
      </c>
      <c r="L42" s="140">
        <v>10</v>
      </c>
      <c r="M42" s="11">
        <f t="shared" si="19"/>
        <v>2868.7499999999964</v>
      </c>
      <c r="N42" s="11">
        <f t="shared" si="12"/>
        <v>286.87499999999966</v>
      </c>
      <c r="O42" s="12">
        <f t="shared" si="13"/>
        <v>0</v>
      </c>
      <c r="P42" s="13">
        <f t="shared" si="14"/>
        <v>-13.125000000000341</v>
      </c>
      <c r="Q42" s="141">
        <f t="shared" si="15"/>
        <v>0.95624999999999882</v>
      </c>
      <c r="R42" s="457"/>
      <c r="S42" s="28">
        <v>0.3125</v>
      </c>
      <c r="T42" s="28">
        <v>0.32361111111111113</v>
      </c>
      <c r="U42" s="138">
        <f t="shared" si="21"/>
        <v>4.9999999999999822</v>
      </c>
      <c r="V42" s="146">
        <f t="shared" si="20"/>
        <v>16.000000000000021</v>
      </c>
      <c r="W42" s="16"/>
      <c r="X42" s="16"/>
      <c r="Y42" s="447"/>
      <c r="Z42" s="448"/>
      <c r="AA42" s="12">
        <f t="shared" si="16"/>
        <v>-131.25000000000364</v>
      </c>
      <c r="AB42" s="141">
        <f t="shared" si="17"/>
        <v>0.95624999999999882</v>
      </c>
      <c r="AC42" s="457"/>
    </row>
    <row r="43" spans="1:29" ht="15.75" customHeight="1">
      <c r="A43" s="454" t="s">
        <v>370</v>
      </c>
      <c r="B43" s="31" t="s">
        <v>79</v>
      </c>
      <c r="C43" s="444" t="s">
        <v>85</v>
      </c>
      <c r="D43" s="445"/>
      <c r="E43" s="31">
        <v>35.869999999999997</v>
      </c>
      <c r="F43" s="139">
        <v>2349</v>
      </c>
      <c r="G43" s="138">
        <f t="shared" si="18"/>
        <v>84258.62999999999</v>
      </c>
      <c r="H43" s="143" t="s">
        <v>103</v>
      </c>
      <c r="I43" s="140">
        <v>10</v>
      </c>
      <c r="J43" s="26">
        <v>3000</v>
      </c>
      <c r="K43" s="10">
        <f t="shared" si="11"/>
        <v>300</v>
      </c>
      <c r="L43" s="140">
        <v>10</v>
      </c>
      <c r="M43" s="11">
        <f t="shared" si="19"/>
        <v>2818.8000000000006</v>
      </c>
      <c r="N43" s="11">
        <f t="shared" si="12"/>
        <v>281.88000000000005</v>
      </c>
      <c r="O43" s="12">
        <f t="shared" si="13"/>
        <v>0</v>
      </c>
      <c r="P43" s="13">
        <f t="shared" si="14"/>
        <v>-18.119999999999948</v>
      </c>
      <c r="Q43" s="141">
        <f t="shared" si="15"/>
        <v>0.93960000000000021</v>
      </c>
      <c r="R43" s="457"/>
      <c r="S43" s="28">
        <v>0.32777777777777778</v>
      </c>
      <c r="T43" s="28">
        <v>0.36249999999999999</v>
      </c>
      <c r="U43" s="138">
        <f t="shared" si="21"/>
        <v>5.9999999999999787</v>
      </c>
      <c r="V43" s="146">
        <f t="shared" si="20"/>
        <v>49.999999999999986</v>
      </c>
      <c r="W43" s="16"/>
      <c r="X43" s="16"/>
      <c r="Y43" s="447"/>
      <c r="Z43" s="448"/>
      <c r="AA43" s="12">
        <f t="shared" si="16"/>
        <v>-181.19999999999936</v>
      </c>
      <c r="AB43" s="141">
        <f t="shared" si="17"/>
        <v>0.93960000000000021</v>
      </c>
      <c r="AC43" s="457"/>
    </row>
    <row r="44" spans="1:29" ht="15.75" customHeight="1">
      <c r="A44" s="454" t="s">
        <v>370</v>
      </c>
      <c r="B44" s="31" t="s">
        <v>79</v>
      </c>
      <c r="C44" s="444" t="s">
        <v>86</v>
      </c>
      <c r="D44" s="445"/>
      <c r="E44" s="31">
        <v>36.14</v>
      </c>
      <c r="F44" s="139">
        <v>2273</v>
      </c>
      <c r="G44" s="138">
        <f t="shared" si="18"/>
        <v>82146.22</v>
      </c>
      <c r="H44" s="143" t="s">
        <v>103</v>
      </c>
      <c r="I44" s="140">
        <v>10</v>
      </c>
      <c r="J44" s="26">
        <v>3000</v>
      </c>
      <c r="K44" s="10">
        <f t="shared" si="11"/>
        <v>300</v>
      </c>
      <c r="L44" s="140">
        <v>10</v>
      </c>
      <c r="M44" s="11">
        <f t="shared" si="19"/>
        <v>2841.2500000000009</v>
      </c>
      <c r="N44" s="11">
        <f t="shared" si="12"/>
        <v>284.12500000000011</v>
      </c>
      <c r="O44" s="12">
        <f t="shared" si="13"/>
        <v>0</v>
      </c>
      <c r="P44" s="13">
        <f t="shared" si="14"/>
        <v>-15.874999999999886</v>
      </c>
      <c r="Q44" s="141">
        <f t="shared" si="15"/>
        <v>0.94708333333333372</v>
      </c>
      <c r="R44" s="457"/>
      <c r="S44" s="28">
        <v>0.36666666666666664</v>
      </c>
      <c r="T44" s="28">
        <v>0.39999999999999997</v>
      </c>
      <c r="U44" s="138">
        <f t="shared" si="21"/>
        <v>5.9999999999999787</v>
      </c>
      <c r="V44" s="146">
        <f t="shared" si="20"/>
        <v>47.999999999999986</v>
      </c>
      <c r="W44" s="16"/>
      <c r="X44" s="16"/>
      <c r="Y44" s="447"/>
      <c r="Z44" s="448"/>
      <c r="AA44" s="12">
        <f t="shared" si="16"/>
        <v>-158.74999999999909</v>
      </c>
      <c r="AB44" s="141">
        <f t="shared" si="17"/>
        <v>0.94708333333333361</v>
      </c>
      <c r="AC44" s="457"/>
    </row>
    <row r="45" spans="1:29" ht="15.75" customHeight="1">
      <c r="A45" s="455" t="s">
        <v>370</v>
      </c>
      <c r="B45" s="31" t="s">
        <v>367</v>
      </c>
      <c r="C45" s="459"/>
      <c r="D45" s="460"/>
      <c r="E45" s="147"/>
      <c r="F45" s="139"/>
      <c r="G45" s="138"/>
      <c r="H45" s="139"/>
      <c r="I45" s="19">
        <v>10</v>
      </c>
      <c r="J45" s="26">
        <v>3000</v>
      </c>
      <c r="K45" s="10">
        <f t="shared" si="11"/>
        <v>300</v>
      </c>
      <c r="L45" s="19">
        <v>10</v>
      </c>
      <c r="M45" s="11">
        <f>AVERAGE(M38:M44)</f>
        <v>2833.0621997846984</v>
      </c>
      <c r="N45" s="10">
        <f t="shared" si="12"/>
        <v>283.30621997846981</v>
      </c>
      <c r="O45" s="12">
        <f t="shared" si="13"/>
        <v>0</v>
      </c>
      <c r="P45" s="13">
        <f t="shared" si="14"/>
        <v>-16.693780021530188</v>
      </c>
      <c r="Q45" s="141">
        <f t="shared" si="15"/>
        <v>0.9443540665948994</v>
      </c>
      <c r="R45" s="458"/>
      <c r="S45" s="28"/>
      <c r="T45" s="28"/>
      <c r="U45" s="138"/>
      <c r="V45" s="146"/>
      <c r="W45" s="16"/>
      <c r="X45" s="16"/>
      <c r="Y45" s="447"/>
      <c r="Z45" s="448"/>
      <c r="AA45" s="12">
        <f t="shared" si="16"/>
        <v>-166.93780021530165</v>
      </c>
      <c r="AB45" s="141">
        <f t="shared" si="17"/>
        <v>0.9443540665948994</v>
      </c>
      <c r="AC45" s="458"/>
    </row>
    <row r="46" spans="1:29" ht="15.75" customHeight="1">
      <c r="A46" s="451" t="s">
        <v>369</v>
      </c>
      <c r="B46" s="31" t="s">
        <v>53</v>
      </c>
      <c r="C46" s="441" t="s">
        <v>87</v>
      </c>
      <c r="D46" s="441"/>
      <c r="E46" s="31">
        <v>46</v>
      </c>
      <c r="F46" s="35">
        <v>2367</v>
      </c>
      <c r="G46" s="138">
        <f t="shared" ref="G46:G51" si="22">E46*F46</f>
        <v>108882</v>
      </c>
      <c r="H46" s="143" t="s">
        <v>103</v>
      </c>
      <c r="I46" s="140">
        <v>17</v>
      </c>
      <c r="J46" s="26">
        <v>2000</v>
      </c>
      <c r="K46" s="10">
        <f t="shared" si="11"/>
        <v>117.64705882352941</v>
      </c>
      <c r="L46" s="140">
        <v>17</v>
      </c>
      <c r="M46" s="11">
        <f t="shared" ref="M46:M51" si="23">F46/V46*60</f>
        <v>1893.6000000000008</v>
      </c>
      <c r="N46" s="11">
        <f t="shared" si="12"/>
        <v>111.38823529411769</v>
      </c>
      <c r="O46" s="12">
        <f t="shared" si="13"/>
        <v>0</v>
      </c>
      <c r="P46" s="13">
        <f t="shared" si="14"/>
        <v>-6.258823529411714</v>
      </c>
      <c r="Q46" s="141">
        <f t="shared" si="15"/>
        <v>0.94680000000000042</v>
      </c>
      <c r="R46" s="442">
        <f>Q52</f>
        <v>0.95029002463741519</v>
      </c>
      <c r="S46" s="28">
        <v>0.25</v>
      </c>
      <c r="T46" s="28">
        <v>0.30208333333333331</v>
      </c>
      <c r="U46" s="18"/>
      <c r="V46" s="146">
        <f t="shared" ref="V46:V51" si="24">(T46-S46)*24*60</f>
        <v>74.999999999999972</v>
      </c>
      <c r="W46" s="18"/>
      <c r="X46" s="18"/>
      <c r="Y46" s="443"/>
      <c r="Z46" s="443"/>
      <c r="AA46" s="12">
        <f t="shared" si="16"/>
        <v>-106.39999999999918</v>
      </c>
      <c r="AB46" s="141">
        <f t="shared" si="17"/>
        <v>0.94680000000000042</v>
      </c>
      <c r="AC46" s="442">
        <f>AB52</f>
        <v>0.95029002463741519</v>
      </c>
    </row>
    <row r="47" spans="1:29" ht="15.75" customHeight="1">
      <c r="A47" s="451" t="s">
        <v>369</v>
      </c>
      <c r="B47" s="31" t="s">
        <v>53</v>
      </c>
      <c r="C47" s="441" t="s">
        <v>88</v>
      </c>
      <c r="D47" s="441"/>
      <c r="E47" s="31">
        <v>46</v>
      </c>
      <c r="F47" s="35">
        <v>2565</v>
      </c>
      <c r="G47" s="138">
        <f t="shared" si="22"/>
        <v>117990</v>
      </c>
      <c r="H47" s="143" t="s">
        <v>103</v>
      </c>
      <c r="I47" s="140">
        <v>18</v>
      </c>
      <c r="J47" s="26">
        <v>2000</v>
      </c>
      <c r="K47" s="10">
        <f t="shared" si="11"/>
        <v>111.11111111111111</v>
      </c>
      <c r="L47" s="140">
        <v>18</v>
      </c>
      <c r="M47" s="11">
        <f t="shared" si="23"/>
        <v>1876.8292682926824</v>
      </c>
      <c r="N47" s="11">
        <f t="shared" si="12"/>
        <v>104.2682926829268</v>
      </c>
      <c r="O47" s="12">
        <f t="shared" si="13"/>
        <v>0</v>
      </c>
      <c r="P47" s="13">
        <f t="shared" si="14"/>
        <v>-6.8428184281843158</v>
      </c>
      <c r="Q47" s="141">
        <f t="shared" si="15"/>
        <v>0.93841463414634119</v>
      </c>
      <c r="R47" s="442"/>
      <c r="S47" s="28">
        <v>0.30555555555555552</v>
      </c>
      <c r="T47" s="28">
        <v>0.36249999999999999</v>
      </c>
      <c r="U47" s="138">
        <f>IF(S47=TIME(17,0,0),"",(S47-T46)*24*60)</f>
        <v>4.9999999999999822</v>
      </c>
      <c r="V47" s="146">
        <f t="shared" si="24"/>
        <v>82.000000000000028</v>
      </c>
      <c r="W47" s="16"/>
      <c r="X47" s="16"/>
      <c r="Y47" s="443"/>
      <c r="Z47" s="443"/>
      <c r="AA47" s="12">
        <f t="shared" si="16"/>
        <v>-123.1707317073176</v>
      </c>
      <c r="AB47" s="141">
        <f t="shared" si="17"/>
        <v>0.93841463414634119</v>
      </c>
      <c r="AC47" s="442"/>
    </row>
    <row r="48" spans="1:29" ht="15.75" customHeight="1">
      <c r="A48" s="451" t="s">
        <v>369</v>
      </c>
      <c r="B48" s="31" t="s">
        <v>58</v>
      </c>
      <c r="C48" s="444" t="s">
        <v>168</v>
      </c>
      <c r="D48" s="445"/>
      <c r="E48" s="31">
        <v>54.09</v>
      </c>
      <c r="F48" s="35">
        <v>452</v>
      </c>
      <c r="G48" s="138">
        <f t="shared" si="22"/>
        <v>24448.68</v>
      </c>
      <c r="H48" s="143" t="s">
        <v>103</v>
      </c>
      <c r="I48" s="140">
        <v>16</v>
      </c>
      <c r="J48" s="26">
        <v>2000</v>
      </c>
      <c r="K48" s="10">
        <f t="shared" si="11"/>
        <v>125</v>
      </c>
      <c r="L48" s="140">
        <v>16</v>
      </c>
      <c r="M48" s="11">
        <f t="shared" si="23"/>
        <v>1937.1428571428528</v>
      </c>
      <c r="N48" s="11">
        <f t="shared" si="12"/>
        <v>121.0714285714283</v>
      </c>
      <c r="O48" s="12">
        <f t="shared" si="13"/>
        <v>0</v>
      </c>
      <c r="P48" s="13">
        <f t="shared" si="14"/>
        <v>-3.9285714285717006</v>
      </c>
      <c r="Q48" s="141">
        <f t="shared" si="15"/>
        <v>0.96857142857142642</v>
      </c>
      <c r="R48" s="442"/>
      <c r="S48" s="28">
        <v>0.3659722222222222</v>
      </c>
      <c r="T48" s="28">
        <v>0.37569444444444444</v>
      </c>
      <c r="U48" s="138">
        <f>IF(S48=TIME(17,0,0),"",(S48-T47)*24*60)</f>
        <v>4.9999999999999822</v>
      </c>
      <c r="V48" s="146">
        <f t="shared" si="24"/>
        <v>14.00000000000003</v>
      </c>
      <c r="W48" s="16"/>
      <c r="X48" s="16"/>
      <c r="Y48" s="144"/>
      <c r="Z48" s="145"/>
      <c r="AA48" s="12">
        <f t="shared" si="16"/>
        <v>-62.85714285714721</v>
      </c>
      <c r="AB48" s="141">
        <f t="shared" si="17"/>
        <v>0.96857142857142642</v>
      </c>
      <c r="AC48" s="442"/>
    </row>
    <row r="49" spans="1:29" ht="15.75" customHeight="1">
      <c r="A49" s="451" t="s">
        <v>369</v>
      </c>
      <c r="B49" s="31" t="s">
        <v>58</v>
      </c>
      <c r="C49" s="148" t="s">
        <v>89</v>
      </c>
      <c r="D49" s="149"/>
      <c r="E49" s="31">
        <v>55.56</v>
      </c>
      <c r="F49" s="35">
        <v>1791</v>
      </c>
      <c r="G49" s="138">
        <f t="shared" si="22"/>
        <v>99507.96</v>
      </c>
      <c r="H49" s="143" t="s">
        <v>103</v>
      </c>
      <c r="I49" s="140">
        <v>17</v>
      </c>
      <c r="J49" s="26">
        <v>2000</v>
      </c>
      <c r="K49" s="10">
        <f t="shared" si="11"/>
        <v>117.64705882352941</v>
      </c>
      <c r="L49" s="140">
        <v>17</v>
      </c>
      <c r="M49" s="11">
        <f t="shared" si="23"/>
        <v>1885.2631578947382</v>
      </c>
      <c r="N49" s="11">
        <f t="shared" si="12"/>
        <v>110.89783281733754</v>
      </c>
      <c r="O49" s="12">
        <f t="shared" si="13"/>
        <v>0</v>
      </c>
      <c r="P49" s="13">
        <f t="shared" si="14"/>
        <v>-6.7492260061918614</v>
      </c>
      <c r="Q49" s="141">
        <f t="shared" si="15"/>
        <v>0.94263157894736915</v>
      </c>
      <c r="R49" s="442"/>
      <c r="S49" s="28">
        <v>0.70833333333333337</v>
      </c>
      <c r="T49" s="28">
        <v>0.74791666666666667</v>
      </c>
      <c r="U49" s="138" t="str">
        <f>IF(S49=TIME(17,0,0),"",(S49-T48)*24*60)</f>
        <v/>
      </c>
      <c r="V49" s="146">
        <f t="shared" si="24"/>
        <v>56.999999999999957</v>
      </c>
      <c r="W49" s="16"/>
      <c r="X49" s="16"/>
      <c r="Y49" s="144"/>
      <c r="Z49" s="145"/>
      <c r="AA49" s="12">
        <f t="shared" si="16"/>
        <v>-114.73684210526176</v>
      </c>
      <c r="AB49" s="141">
        <f t="shared" si="17"/>
        <v>0.94263157894736915</v>
      </c>
      <c r="AC49" s="442"/>
    </row>
    <row r="50" spans="1:29" ht="15.75" customHeight="1">
      <c r="A50" s="451" t="s">
        <v>369</v>
      </c>
      <c r="B50" s="31" t="s">
        <v>58</v>
      </c>
      <c r="C50" s="148" t="s">
        <v>90</v>
      </c>
      <c r="D50" s="149"/>
      <c r="E50" s="31">
        <v>55.32</v>
      </c>
      <c r="F50" s="35">
        <v>1272</v>
      </c>
      <c r="G50" s="138">
        <f t="shared" si="22"/>
        <v>70367.039999999994</v>
      </c>
      <c r="H50" s="143" t="s">
        <v>103</v>
      </c>
      <c r="I50" s="140">
        <v>15</v>
      </c>
      <c r="J50" s="26">
        <v>2000</v>
      </c>
      <c r="K50" s="10">
        <f t="shared" si="11"/>
        <v>133.33333333333334</v>
      </c>
      <c r="L50" s="140">
        <v>15</v>
      </c>
      <c r="M50" s="11">
        <f t="shared" si="23"/>
        <v>1907.9999999999993</v>
      </c>
      <c r="N50" s="11">
        <f t="shared" si="12"/>
        <v>127.19999999999996</v>
      </c>
      <c r="O50" s="12">
        <f t="shared" si="13"/>
        <v>0</v>
      </c>
      <c r="P50" s="13">
        <f t="shared" si="14"/>
        <v>-6.1333333333333826</v>
      </c>
      <c r="Q50" s="141">
        <f t="shared" si="15"/>
        <v>0.95399999999999963</v>
      </c>
      <c r="R50" s="442"/>
      <c r="S50" s="28">
        <v>0.75347222222222221</v>
      </c>
      <c r="T50" s="28">
        <v>0.78125</v>
      </c>
      <c r="U50" s="138">
        <f>IF(S50=TIME(17,0,0),"",(S50-T49)*24*60)</f>
        <v>7.9999999999999716</v>
      </c>
      <c r="V50" s="146">
        <f t="shared" si="24"/>
        <v>40.000000000000014</v>
      </c>
      <c r="W50" s="16"/>
      <c r="X50" s="16"/>
      <c r="Y50" s="144"/>
      <c r="Z50" s="145"/>
      <c r="AA50" s="12">
        <f t="shared" si="16"/>
        <v>-92.000000000000682</v>
      </c>
      <c r="AB50" s="141">
        <f t="shared" si="17"/>
        <v>0.95399999999999963</v>
      </c>
      <c r="AC50" s="442"/>
    </row>
    <row r="51" spans="1:29" ht="15.75" customHeight="1">
      <c r="A51" s="451" t="s">
        <v>369</v>
      </c>
      <c r="B51" s="31" t="s">
        <v>58</v>
      </c>
      <c r="C51" s="444" t="s">
        <v>91</v>
      </c>
      <c r="D51" s="445"/>
      <c r="E51" s="31">
        <v>57.73</v>
      </c>
      <c r="F51" s="35">
        <v>1142</v>
      </c>
      <c r="G51" s="138">
        <f t="shared" si="22"/>
        <v>65927.66</v>
      </c>
      <c r="H51" s="143" t="s">
        <v>103</v>
      </c>
      <c r="I51" s="140">
        <v>16</v>
      </c>
      <c r="J51" s="26">
        <v>1500</v>
      </c>
      <c r="K51" s="10">
        <f t="shared" si="11"/>
        <v>93.75</v>
      </c>
      <c r="L51" s="140">
        <v>16</v>
      </c>
      <c r="M51" s="11">
        <f t="shared" si="23"/>
        <v>1427.5000000000005</v>
      </c>
      <c r="N51" s="11">
        <f t="shared" si="12"/>
        <v>89.218750000000028</v>
      </c>
      <c r="O51" s="12">
        <f t="shared" si="13"/>
        <v>0</v>
      </c>
      <c r="P51" s="13">
        <f t="shared" si="14"/>
        <v>-4.5312499999999716</v>
      </c>
      <c r="Q51" s="141">
        <f t="shared" si="15"/>
        <v>0.95166666666666699</v>
      </c>
      <c r="R51" s="442"/>
      <c r="S51" s="28">
        <v>0.78472222222222221</v>
      </c>
      <c r="T51" s="28">
        <v>0.81805555555555554</v>
      </c>
      <c r="U51" s="138">
        <f>IF(S51=TIME(17,0,0),"",(S51-T50)*24*60)</f>
        <v>4.9999999999999822</v>
      </c>
      <c r="V51" s="146">
        <f t="shared" si="24"/>
        <v>47.999999999999986</v>
      </c>
      <c r="W51" s="16"/>
      <c r="X51" s="16"/>
      <c r="Y51" s="447"/>
      <c r="Z51" s="448"/>
      <c r="AA51" s="12">
        <f t="shared" si="16"/>
        <v>-72.499999999999545</v>
      </c>
      <c r="AB51" s="141">
        <f t="shared" si="17"/>
        <v>0.95166666666666699</v>
      </c>
      <c r="AC51" s="442"/>
    </row>
    <row r="52" spans="1:29">
      <c r="A52" s="452" t="s">
        <v>369</v>
      </c>
      <c r="B52" s="31" t="s">
        <v>367</v>
      </c>
      <c r="C52" s="446"/>
      <c r="D52" s="446"/>
      <c r="E52" s="142"/>
      <c r="F52" s="33"/>
      <c r="G52" s="10"/>
      <c r="H52" s="139"/>
      <c r="I52" s="19">
        <v>16.5</v>
      </c>
      <c r="J52" s="26">
        <v>1916.6666666666667</v>
      </c>
      <c r="K52" s="10">
        <f t="shared" si="11"/>
        <v>116.16161616161617</v>
      </c>
      <c r="L52" s="19">
        <v>16.5</v>
      </c>
      <c r="M52" s="11">
        <f>AVERAGE(M46:M51)</f>
        <v>1821.3892138883791</v>
      </c>
      <c r="N52" s="10">
        <f t="shared" si="12"/>
        <v>110.38722508414419</v>
      </c>
      <c r="O52" s="12">
        <f t="shared" si="13"/>
        <v>0</v>
      </c>
      <c r="P52" s="13">
        <f t="shared" si="14"/>
        <v>-5.7743910774719751</v>
      </c>
      <c r="Q52" s="141">
        <f t="shared" si="15"/>
        <v>0.95029002463741519</v>
      </c>
      <c r="R52" s="442"/>
      <c r="S52" s="29"/>
      <c r="T52" s="28"/>
      <c r="U52" s="10"/>
      <c r="V52" s="146"/>
      <c r="W52" s="10"/>
      <c r="X52" s="10"/>
      <c r="Y52" s="443"/>
      <c r="Z52" s="443"/>
      <c r="AA52" s="12">
        <f t="shared" si="16"/>
        <v>-95.277452778287625</v>
      </c>
      <c r="AB52" s="141">
        <f t="shared" si="17"/>
        <v>0.95029002463741519</v>
      </c>
      <c r="AC52" s="442"/>
    </row>
    <row r="53" spans="1:29" ht="15.75" customHeight="1">
      <c r="A53" s="449" t="s">
        <v>368</v>
      </c>
      <c r="B53" s="139" t="s">
        <v>92</v>
      </c>
      <c r="C53" s="441" t="s">
        <v>93</v>
      </c>
      <c r="D53" s="441"/>
      <c r="E53" s="31">
        <v>84.51</v>
      </c>
      <c r="F53" s="35">
        <v>1595</v>
      </c>
      <c r="G53" s="138">
        <f t="shared" ref="G53:G58" si="25">E53*F53</f>
        <v>134793.45000000001</v>
      </c>
      <c r="H53" s="143" t="s">
        <v>103</v>
      </c>
      <c r="I53" s="140">
        <v>17</v>
      </c>
      <c r="J53" s="26">
        <v>2400</v>
      </c>
      <c r="K53" s="10">
        <f t="shared" si="11"/>
        <v>141.1764705882353</v>
      </c>
      <c r="L53" s="19">
        <v>17</v>
      </c>
      <c r="M53" s="11">
        <f t="shared" ref="M53:M58" si="26">F53/V53*60</f>
        <v>2278.5714285714275</v>
      </c>
      <c r="N53" s="10">
        <f t="shared" si="12"/>
        <v>134.03361344537808</v>
      </c>
      <c r="O53" s="12">
        <f t="shared" si="13"/>
        <v>0</v>
      </c>
      <c r="P53" s="13">
        <f t="shared" si="14"/>
        <v>-7.1428571428572241</v>
      </c>
      <c r="Q53" s="141">
        <f t="shared" si="15"/>
        <v>0.94940476190476131</v>
      </c>
      <c r="R53" s="442">
        <f>Q59</f>
        <v>0.94793106384079184</v>
      </c>
      <c r="S53" s="28">
        <v>0.125</v>
      </c>
      <c r="T53" s="28">
        <v>0.15416666666666667</v>
      </c>
      <c r="U53" s="138"/>
      <c r="V53" s="146">
        <f t="shared" ref="V53:V58" si="27">(T53-S53)*24*60</f>
        <v>42.000000000000014</v>
      </c>
      <c r="W53" s="18"/>
      <c r="X53" s="18"/>
      <c r="Y53" s="443"/>
      <c r="Z53" s="443"/>
      <c r="AA53" s="12">
        <f t="shared" si="16"/>
        <v>-121.42857142857247</v>
      </c>
      <c r="AB53" s="141">
        <f t="shared" si="17"/>
        <v>0.94940476190476142</v>
      </c>
      <c r="AC53" s="442">
        <f>AB59</f>
        <v>0.94793106384079184</v>
      </c>
    </row>
    <row r="54" spans="1:29" ht="15.75" customHeight="1">
      <c r="A54" s="449" t="s">
        <v>368</v>
      </c>
      <c r="B54" s="139" t="s">
        <v>79</v>
      </c>
      <c r="C54" s="441" t="s">
        <v>94</v>
      </c>
      <c r="D54" s="441"/>
      <c r="E54" s="31">
        <v>26.78</v>
      </c>
      <c r="F54" s="35">
        <v>1987</v>
      </c>
      <c r="G54" s="138">
        <f t="shared" si="25"/>
        <v>53211.86</v>
      </c>
      <c r="H54" s="143" t="s">
        <v>103</v>
      </c>
      <c r="I54" s="140">
        <v>10</v>
      </c>
      <c r="J54" s="26">
        <v>3000</v>
      </c>
      <c r="K54" s="10">
        <f t="shared" si="11"/>
        <v>300</v>
      </c>
      <c r="L54" s="19">
        <v>10</v>
      </c>
      <c r="M54" s="11">
        <f t="shared" si="26"/>
        <v>2838.5714285714275</v>
      </c>
      <c r="N54" s="10">
        <f t="shared" si="12"/>
        <v>283.85714285714278</v>
      </c>
      <c r="O54" s="12">
        <f t="shared" si="13"/>
        <v>0</v>
      </c>
      <c r="P54" s="13">
        <f t="shared" si="14"/>
        <v>-16.142857142857224</v>
      </c>
      <c r="Q54" s="141">
        <f t="shared" si="15"/>
        <v>0.94619047619047592</v>
      </c>
      <c r="R54" s="442"/>
      <c r="S54" s="28">
        <v>0.1590277777777778</v>
      </c>
      <c r="T54" s="28">
        <v>0.18819444444444447</v>
      </c>
      <c r="U54" s="138">
        <f>(S54-T53)*24*60</f>
        <v>7.0000000000000151</v>
      </c>
      <c r="V54" s="146">
        <f t="shared" si="27"/>
        <v>42.000000000000014</v>
      </c>
      <c r="W54" s="16">
        <f>T54</f>
        <v>0.18819444444444447</v>
      </c>
      <c r="X54" s="16">
        <f>S55</f>
        <v>0.20763888888888893</v>
      </c>
      <c r="Y54" s="443"/>
      <c r="Z54" s="443"/>
      <c r="AA54" s="12">
        <f t="shared" si="16"/>
        <v>-161.42857142857247</v>
      </c>
      <c r="AB54" s="141">
        <f t="shared" si="17"/>
        <v>0.9461904761904758</v>
      </c>
      <c r="AC54" s="442"/>
    </row>
    <row r="55" spans="1:29" ht="15.75" customHeight="1">
      <c r="A55" s="449" t="s">
        <v>368</v>
      </c>
      <c r="B55" s="139" t="s">
        <v>79</v>
      </c>
      <c r="C55" s="441" t="s">
        <v>95</v>
      </c>
      <c r="D55" s="441"/>
      <c r="E55" s="31">
        <v>35.369999999999997</v>
      </c>
      <c r="F55" s="35">
        <v>1260</v>
      </c>
      <c r="G55" s="138">
        <f t="shared" si="25"/>
        <v>44566.2</v>
      </c>
      <c r="H55" s="143" t="s">
        <v>103</v>
      </c>
      <c r="I55" s="140">
        <v>10</v>
      </c>
      <c r="J55" s="26">
        <v>3000</v>
      </c>
      <c r="K55" s="10">
        <f t="shared" si="11"/>
        <v>300</v>
      </c>
      <c r="L55" s="19">
        <v>10</v>
      </c>
      <c r="M55" s="11">
        <f t="shared" si="26"/>
        <v>2907.6923076923094</v>
      </c>
      <c r="N55" s="10">
        <f t="shared" si="12"/>
        <v>290.76923076923094</v>
      </c>
      <c r="O55" s="12">
        <f t="shared" si="13"/>
        <v>0</v>
      </c>
      <c r="P55" s="13">
        <f t="shared" si="14"/>
        <v>-9.2307692307690559</v>
      </c>
      <c r="Q55" s="141">
        <f t="shared" si="15"/>
        <v>0.96923076923076978</v>
      </c>
      <c r="R55" s="442"/>
      <c r="S55" s="28">
        <v>0.20763888888888893</v>
      </c>
      <c r="T55" s="28">
        <v>0.22569444444444448</v>
      </c>
      <c r="U55" s="138">
        <f>(S55-T54)*24*60</f>
        <v>28.000000000000021</v>
      </c>
      <c r="V55" s="146">
        <f t="shared" si="27"/>
        <v>25.999999999999986</v>
      </c>
      <c r="W55" s="138"/>
      <c r="X55" s="138"/>
      <c r="Y55" s="443"/>
      <c r="Z55" s="443"/>
      <c r="AA55" s="12">
        <f t="shared" si="16"/>
        <v>-92.307692307690559</v>
      </c>
      <c r="AB55" s="141">
        <f t="shared" si="17"/>
        <v>0.96923076923076978</v>
      </c>
      <c r="AC55" s="442"/>
    </row>
    <row r="56" spans="1:29" ht="15.75" customHeight="1">
      <c r="A56" s="449" t="s">
        <v>368</v>
      </c>
      <c r="B56" s="139" t="s">
        <v>53</v>
      </c>
      <c r="C56" s="441" t="s">
        <v>96</v>
      </c>
      <c r="D56" s="441"/>
      <c r="E56" s="31">
        <v>26.97</v>
      </c>
      <c r="F56" s="35">
        <v>2657</v>
      </c>
      <c r="G56" s="138">
        <f t="shared" si="25"/>
        <v>71659.289999999994</v>
      </c>
      <c r="H56" s="143" t="s">
        <v>103</v>
      </c>
      <c r="I56" s="140">
        <v>8</v>
      </c>
      <c r="J56" s="26">
        <v>1500</v>
      </c>
      <c r="K56" s="10">
        <f t="shared" si="11"/>
        <v>187.5</v>
      </c>
      <c r="L56" s="19">
        <v>8</v>
      </c>
      <c r="M56" s="11">
        <f t="shared" si="26"/>
        <v>1410.7964601769911</v>
      </c>
      <c r="N56" s="10">
        <f t="shared" si="12"/>
        <v>176.34955752212389</v>
      </c>
      <c r="O56" s="12">
        <f t="shared" si="13"/>
        <v>0</v>
      </c>
      <c r="P56" s="13">
        <f t="shared" si="14"/>
        <v>-11.150442477876112</v>
      </c>
      <c r="Q56" s="141">
        <f t="shared" si="15"/>
        <v>0.94053097345132741</v>
      </c>
      <c r="R56" s="442"/>
      <c r="S56" s="28">
        <v>0.22916666666666669</v>
      </c>
      <c r="T56" s="28">
        <v>0.30763888888888891</v>
      </c>
      <c r="U56" s="138">
        <f>(S56-T55)*24*60</f>
        <v>4.9999999999999822</v>
      </c>
      <c r="V56" s="146">
        <f t="shared" si="27"/>
        <v>113</v>
      </c>
      <c r="W56" s="138"/>
      <c r="X56" s="138"/>
      <c r="Y56" s="443"/>
      <c r="Z56" s="443"/>
      <c r="AA56" s="12">
        <f t="shared" si="16"/>
        <v>-89.203539823008896</v>
      </c>
      <c r="AB56" s="141">
        <f t="shared" si="17"/>
        <v>0.94053097345132741</v>
      </c>
      <c r="AC56" s="442"/>
    </row>
    <row r="57" spans="1:29">
      <c r="A57" s="450" t="s">
        <v>368</v>
      </c>
      <c r="B57" s="139" t="s">
        <v>79</v>
      </c>
      <c r="C57" s="441" t="s">
        <v>97</v>
      </c>
      <c r="D57" s="441"/>
      <c r="E57" s="31">
        <v>35.119999999999997</v>
      </c>
      <c r="F57" s="35">
        <v>1030</v>
      </c>
      <c r="G57" s="138">
        <f t="shared" si="25"/>
        <v>36173.599999999999</v>
      </c>
      <c r="H57" s="143" t="s">
        <v>103</v>
      </c>
      <c r="I57" s="140">
        <v>13</v>
      </c>
      <c r="J57" s="26">
        <v>2000</v>
      </c>
      <c r="K57" s="10">
        <f t="shared" si="11"/>
        <v>153.84615384615384</v>
      </c>
      <c r="L57" s="19">
        <v>13</v>
      </c>
      <c r="M57" s="11">
        <f t="shared" si="26"/>
        <v>1872.7272727272702</v>
      </c>
      <c r="N57" s="10">
        <f t="shared" si="12"/>
        <v>144.05594405594385</v>
      </c>
      <c r="O57" s="12">
        <f t="shared" si="13"/>
        <v>0</v>
      </c>
      <c r="P57" s="13">
        <f t="shared" si="14"/>
        <v>-9.7902097902099854</v>
      </c>
      <c r="Q57" s="141">
        <f t="shared" si="15"/>
        <v>0.93636363636363507</v>
      </c>
      <c r="R57" s="442"/>
      <c r="S57" s="28">
        <v>0.3125</v>
      </c>
      <c r="T57" s="28">
        <v>0.3354166666666667</v>
      </c>
      <c r="U57" s="138">
        <f>(S57-T56)*24*60</f>
        <v>6.9999999999999751</v>
      </c>
      <c r="V57" s="146">
        <f t="shared" si="27"/>
        <v>33.000000000000043</v>
      </c>
      <c r="W57" s="16"/>
      <c r="X57" s="16"/>
      <c r="Y57" s="443"/>
      <c r="Z57" s="443"/>
      <c r="AA57" s="12">
        <f t="shared" si="16"/>
        <v>-127.27272727272975</v>
      </c>
      <c r="AB57" s="141">
        <f t="shared" si="17"/>
        <v>0.93636363636363518</v>
      </c>
      <c r="AC57" s="442"/>
    </row>
    <row r="58" spans="1:29" ht="15" customHeight="1">
      <c r="A58" s="450" t="s">
        <v>368</v>
      </c>
      <c r="B58" s="139" t="s">
        <v>79</v>
      </c>
      <c r="C58" s="444" t="s">
        <v>98</v>
      </c>
      <c r="D58" s="445"/>
      <c r="E58" s="31">
        <v>35.869999999999997</v>
      </c>
      <c r="F58" s="35">
        <v>2018</v>
      </c>
      <c r="G58" s="138">
        <f t="shared" si="25"/>
        <v>72385.659999999989</v>
      </c>
      <c r="H58" s="143" t="s">
        <v>103</v>
      </c>
      <c r="I58" s="140">
        <v>10</v>
      </c>
      <c r="J58" s="26">
        <v>3000</v>
      </c>
      <c r="K58" s="10">
        <f t="shared" si="11"/>
        <v>300</v>
      </c>
      <c r="L58" s="19">
        <v>10</v>
      </c>
      <c r="M58" s="11">
        <f t="shared" si="26"/>
        <v>2815.8139534883717</v>
      </c>
      <c r="N58" s="10">
        <f t="shared" si="12"/>
        <v>281.58139534883719</v>
      </c>
      <c r="O58" s="12">
        <f t="shared" si="13"/>
        <v>0</v>
      </c>
      <c r="P58" s="13">
        <f t="shared" si="14"/>
        <v>-18.418604651162809</v>
      </c>
      <c r="Q58" s="141">
        <f t="shared" si="15"/>
        <v>0.93860465116279068</v>
      </c>
      <c r="R58" s="442"/>
      <c r="S58" s="28">
        <v>0.33958333333333335</v>
      </c>
      <c r="T58" s="28">
        <v>0.36944444444444446</v>
      </c>
      <c r="U58" s="138">
        <f>(S58-T57)*24*60</f>
        <v>5.9999999999999787</v>
      </c>
      <c r="V58" s="146">
        <f t="shared" si="27"/>
        <v>43.000000000000007</v>
      </c>
      <c r="W58" s="138"/>
      <c r="X58" s="138"/>
      <c r="Y58" s="447"/>
      <c r="Z58" s="448"/>
      <c r="AA58" s="12">
        <f t="shared" si="16"/>
        <v>-184.18604651162832</v>
      </c>
      <c r="AB58" s="141">
        <f t="shared" si="17"/>
        <v>0.93860465116279057</v>
      </c>
      <c r="AC58" s="442"/>
    </row>
    <row r="59" spans="1:29">
      <c r="A59" s="450" t="s">
        <v>50</v>
      </c>
      <c r="B59" s="31" t="s">
        <v>367</v>
      </c>
      <c r="C59" s="446"/>
      <c r="D59" s="446"/>
      <c r="E59" s="142"/>
      <c r="F59" s="33"/>
      <c r="G59" s="10"/>
      <c r="H59" s="139"/>
      <c r="I59" s="19">
        <v>11.333333333333334</v>
      </c>
      <c r="J59" s="26">
        <v>2483.3333333333335</v>
      </c>
      <c r="K59" s="10">
        <f t="shared" si="11"/>
        <v>219.11764705882354</v>
      </c>
      <c r="L59" s="19">
        <v>11.333333333333334</v>
      </c>
      <c r="M59" s="11">
        <f>AVERAGE(M53:M58)</f>
        <v>2354.0288085379666</v>
      </c>
      <c r="N59" s="10">
        <f t="shared" si="12"/>
        <v>207.70842428276174</v>
      </c>
      <c r="O59" s="12">
        <f t="shared" si="13"/>
        <v>0</v>
      </c>
      <c r="P59" s="13">
        <f t="shared" si="14"/>
        <v>-11.409222776061796</v>
      </c>
      <c r="Q59" s="141">
        <f t="shared" si="15"/>
        <v>0.94793106384079184</v>
      </c>
      <c r="R59" s="442"/>
      <c r="S59" s="28"/>
      <c r="T59" s="28"/>
      <c r="U59" s="10"/>
      <c r="V59" s="146"/>
      <c r="W59" s="10"/>
      <c r="X59" s="10"/>
      <c r="Y59" s="443"/>
      <c r="Z59" s="443"/>
      <c r="AA59" s="12">
        <f t="shared" si="16"/>
        <v>-129.30452479536689</v>
      </c>
      <c r="AB59" s="141">
        <f t="shared" si="17"/>
        <v>0.94793106384079184</v>
      </c>
      <c r="AC59" s="442"/>
    </row>
    <row r="60" spans="1:29" ht="15.75" customHeight="1">
      <c r="A60" s="439" t="s">
        <v>366</v>
      </c>
      <c r="B60" s="139" t="s">
        <v>67</v>
      </c>
      <c r="C60" s="441" t="s">
        <v>99</v>
      </c>
      <c r="D60" s="441"/>
      <c r="E60" s="31">
        <v>20.2</v>
      </c>
      <c r="F60" s="139">
        <v>2532</v>
      </c>
      <c r="G60" s="138">
        <f>E60*F60</f>
        <v>51146.400000000001</v>
      </c>
      <c r="H60" s="143" t="s">
        <v>103</v>
      </c>
      <c r="I60" s="140">
        <v>19</v>
      </c>
      <c r="J60" s="26">
        <v>2400</v>
      </c>
      <c r="K60" s="10">
        <f t="shared" si="11"/>
        <v>126.31578947368421</v>
      </c>
      <c r="L60" s="19">
        <v>19</v>
      </c>
      <c r="M60" s="11">
        <f>F60/V60*60</f>
        <v>2267.4626865671653</v>
      </c>
      <c r="N60" s="10">
        <f t="shared" si="12"/>
        <v>119.34014139827185</v>
      </c>
      <c r="O60" s="12">
        <f t="shared" si="13"/>
        <v>0</v>
      </c>
      <c r="P60" s="13">
        <f t="shared" si="14"/>
        <v>-6.9756480754123515</v>
      </c>
      <c r="Q60" s="141">
        <f t="shared" si="15"/>
        <v>0.94477611940298556</v>
      </c>
      <c r="R60" s="442">
        <f>Q65</f>
        <v>0.94349459892991461</v>
      </c>
      <c r="S60" s="28">
        <v>8.3333333333333329E-2</v>
      </c>
      <c r="T60" s="28">
        <v>0.12986111111111109</v>
      </c>
      <c r="U60" s="18"/>
      <c r="V60" s="146">
        <f>(T60-S60)*24*60</f>
        <v>66.999999999999972</v>
      </c>
      <c r="W60" s="16">
        <f>T60</f>
        <v>0.12986111111111109</v>
      </c>
      <c r="X60" s="16">
        <f>S61</f>
        <v>0.14930555555555555</v>
      </c>
      <c r="Y60" s="443"/>
      <c r="Z60" s="443"/>
      <c r="AA60" s="12">
        <f t="shared" si="16"/>
        <v>-132.53731343283471</v>
      </c>
      <c r="AB60" s="141">
        <f t="shared" si="17"/>
        <v>0.94477611940298556</v>
      </c>
      <c r="AC60" s="442">
        <f>AB65</f>
        <v>0.9434945989299145</v>
      </c>
    </row>
    <row r="61" spans="1:29" ht="15.75" customHeight="1">
      <c r="A61" s="439" t="s">
        <v>365</v>
      </c>
      <c r="B61" s="139" t="s">
        <v>67</v>
      </c>
      <c r="C61" s="441" t="s">
        <v>100</v>
      </c>
      <c r="D61" s="441"/>
      <c r="E61" s="31">
        <v>19.02</v>
      </c>
      <c r="F61" s="139">
        <v>7782</v>
      </c>
      <c r="G61" s="138">
        <f>E61*F61</f>
        <v>148013.63999999998</v>
      </c>
      <c r="H61" s="143" t="s">
        <v>103</v>
      </c>
      <c r="I61" s="140">
        <v>15</v>
      </c>
      <c r="J61" s="26">
        <v>2400</v>
      </c>
      <c r="K61" s="10">
        <f t="shared" si="11"/>
        <v>160</v>
      </c>
      <c r="L61" s="19">
        <v>15</v>
      </c>
      <c r="M61" s="11">
        <f>F61/V61*60</f>
        <v>2255.6521739130435</v>
      </c>
      <c r="N61" s="10">
        <f t="shared" si="12"/>
        <v>150.37681159420291</v>
      </c>
      <c r="O61" s="12">
        <f t="shared" si="13"/>
        <v>0</v>
      </c>
      <c r="P61" s="13">
        <f t="shared" si="14"/>
        <v>-9.6231884057970944</v>
      </c>
      <c r="Q61" s="141">
        <f t="shared" si="15"/>
        <v>0.9398550724637682</v>
      </c>
      <c r="R61" s="442"/>
      <c r="S61" s="28">
        <v>0.14930555555555555</v>
      </c>
      <c r="T61" s="28">
        <v>0.29305555555555557</v>
      </c>
      <c r="U61" s="138">
        <f>(S61-T60)*24*60</f>
        <v>28.000000000000021</v>
      </c>
      <c r="V61" s="146">
        <f>(T61-S61)*24*60</f>
        <v>207</v>
      </c>
      <c r="W61" s="16"/>
      <c r="X61" s="16"/>
      <c r="Y61" s="443"/>
      <c r="Z61" s="443"/>
      <c r="AA61" s="12">
        <f t="shared" si="16"/>
        <v>-144.3478260869565</v>
      </c>
      <c r="AB61" s="141">
        <f t="shared" si="17"/>
        <v>0.93985507246376809</v>
      </c>
      <c r="AC61" s="442"/>
    </row>
    <row r="62" spans="1:29" ht="15.75" customHeight="1">
      <c r="A62" s="439" t="s">
        <v>365</v>
      </c>
      <c r="B62" s="139" t="s">
        <v>67</v>
      </c>
      <c r="C62" s="441" t="s">
        <v>101</v>
      </c>
      <c r="D62" s="441"/>
      <c r="E62" s="31">
        <v>25</v>
      </c>
      <c r="F62" s="139">
        <v>3268</v>
      </c>
      <c r="G62" s="138">
        <f>E62*F62</f>
        <v>81700</v>
      </c>
      <c r="H62" s="143" t="s">
        <v>103</v>
      </c>
      <c r="I62" s="140">
        <v>15</v>
      </c>
      <c r="J62" s="26">
        <v>2400</v>
      </c>
      <c r="K62" s="10">
        <f t="shared" si="11"/>
        <v>160</v>
      </c>
      <c r="L62" s="19">
        <v>15</v>
      </c>
      <c r="M62" s="11">
        <f>F62/V62*60</f>
        <v>2253.7931034482754</v>
      </c>
      <c r="N62" s="10">
        <f t="shared" si="12"/>
        <v>150.25287356321834</v>
      </c>
      <c r="O62" s="12">
        <f t="shared" si="13"/>
        <v>0</v>
      </c>
      <c r="P62" s="13">
        <f t="shared" si="14"/>
        <v>-9.7471264367816559</v>
      </c>
      <c r="Q62" s="141">
        <f t="shared" si="15"/>
        <v>0.93908045977011467</v>
      </c>
      <c r="R62" s="442"/>
      <c r="S62" s="28">
        <v>0.29722222222222222</v>
      </c>
      <c r="T62" s="28">
        <v>0.3576388888888889</v>
      </c>
      <c r="U62" s="138">
        <f>(S62-T61)*24*60</f>
        <v>5.9999999999999787</v>
      </c>
      <c r="V62" s="146">
        <f>(T62-S62)*24*60</f>
        <v>87.000000000000014</v>
      </c>
      <c r="W62" s="16"/>
      <c r="X62" s="16"/>
      <c r="Y62" s="443"/>
      <c r="Z62" s="443"/>
      <c r="AA62" s="12">
        <f t="shared" si="16"/>
        <v>-146.20689655172464</v>
      </c>
      <c r="AB62" s="141">
        <f t="shared" si="17"/>
        <v>0.93908045977011478</v>
      </c>
      <c r="AC62" s="442"/>
    </row>
    <row r="63" spans="1:29" ht="15.75" customHeight="1">
      <c r="A63" s="439" t="s">
        <v>365</v>
      </c>
      <c r="B63" s="139" t="s">
        <v>67</v>
      </c>
      <c r="C63" s="441" t="s">
        <v>102</v>
      </c>
      <c r="D63" s="441"/>
      <c r="E63" s="31">
        <v>20.52</v>
      </c>
      <c r="F63" s="139">
        <v>3282</v>
      </c>
      <c r="G63" s="138">
        <f>E63*F63</f>
        <v>67346.64</v>
      </c>
      <c r="H63" s="143" t="s">
        <v>103</v>
      </c>
      <c r="I63" s="140">
        <v>18</v>
      </c>
      <c r="J63" s="26">
        <v>2400</v>
      </c>
      <c r="K63" s="10">
        <f t="shared" si="11"/>
        <v>133.33333333333334</v>
      </c>
      <c r="L63" s="19">
        <v>18</v>
      </c>
      <c r="M63" s="11">
        <f>F63/V63*60</f>
        <v>2263.4482758620688</v>
      </c>
      <c r="N63" s="10">
        <f t="shared" si="12"/>
        <v>125.7471264367816</v>
      </c>
      <c r="O63" s="12">
        <f t="shared" si="13"/>
        <v>0</v>
      </c>
      <c r="P63" s="13">
        <f t="shared" si="14"/>
        <v>-7.5862068965517437</v>
      </c>
      <c r="Q63" s="141">
        <f t="shared" si="15"/>
        <v>0.9431034482758619</v>
      </c>
      <c r="R63" s="442"/>
      <c r="S63" s="28">
        <v>0.3611111111111111</v>
      </c>
      <c r="T63" s="28">
        <v>0.42152777777777778</v>
      </c>
      <c r="U63" s="138">
        <f>(S63-T62)*24*60</f>
        <v>4.9999999999999822</v>
      </c>
      <c r="V63" s="146">
        <f>(T63-S63)*24*60</f>
        <v>87.000000000000014</v>
      </c>
      <c r="W63" s="16"/>
      <c r="X63" s="16"/>
      <c r="Y63" s="443"/>
      <c r="Z63" s="443"/>
      <c r="AA63" s="12">
        <f t="shared" si="16"/>
        <v>-136.55172413793116</v>
      </c>
      <c r="AB63" s="141">
        <f t="shared" si="17"/>
        <v>0.94310344827586201</v>
      </c>
      <c r="AC63" s="442"/>
    </row>
    <row r="64" spans="1:29" ht="15.75" customHeight="1">
      <c r="A64" s="439" t="s">
        <v>365</v>
      </c>
      <c r="B64" s="139" t="s">
        <v>67</v>
      </c>
      <c r="C64" s="441" t="s">
        <v>71</v>
      </c>
      <c r="D64" s="441"/>
      <c r="E64" s="31">
        <v>22.35</v>
      </c>
      <c r="F64" s="139">
        <v>1445</v>
      </c>
      <c r="G64" s="138">
        <f>E64*F64</f>
        <v>32295.750000000004</v>
      </c>
      <c r="H64" s="143" t="s">
        <v>103</v>
      </c>
      <c r="I64" s="140">
        <v>16</v>
      </c>
      <c r="J64" s="26">
        <v>2400</v>
      </c>
      <c r="K64" s="10">
        <f t="shared" si="11"/>
        <v>150</v>
      </c>
      <c r="L64" s="19">
        <v>16</v>
      </c>
      <c r="M64" s="11">
        <f>F64/V64*60</f>
        <v>2281.5789473684194</v>
      </c>
      <c r="N64" s="10">
        <f t="shared" si="12"/>
        <v>142.59868421052622</v>
      </c>
      <c r="O64" s="12">
        <f t="shared" si="13"/>
        <v>0</v>
      </c>
      <c r="P64" s="13">
        <f t="shared" si="14"/>
        <v>-7.4013157894737844</v>
      </c>
      <c r="Q64" s="141">
        <f t="shared" si="15"/>
        <v>0.95065789473684148</v>
      </c>
      <c r="R64" s="442"/>
      <c r="S64" s="28">
        <v>0.42499999999999999</v>
      </c>
      <c r="T64" s="28">
        <v>0.4513888888888889</v>
      </c>
      <c r="U64" s="138">
        <f>(S64-T63)*24*60</f>
        <v>4.9999999999999822</v>
      </c>
      <c r="V64" s="146">
        <f>(T64-S64)*24*60</f>
        <v>38.000000000000028</v>
      </c>
      <c r="W64" s="16"/>
      <c r="X64" s="16"/>
      <c r="Y64" s="443"/>
      <c r="Z64" s="443"/>
      <c r="AA64" s="12">
        <f t="shared" si="16"/>
        <v>-118.42105263158055</v>
      </c>
      <c r="AB64" s="141">
        <f t="shared" si="17"/>
        <v>0.95065789473684148</v>
      </c>
      <c r="AC64" s="442"/>
    </row>
    <row r="65" spans="1:29" ht="16.5" customHeight="1">
      <c r="A65" s="440" t="s">
        <v>365</v>
      </c>
      <c r="B65" s="31" t="s">
        <v>364</v>
      </c>
      <c r="C65" s="446"/>
      <c r="D65" s="446"/>
      <c r="E65" s="142"/>
      <c r="F65" s="33"/>
      <c r="G65" s="10"/>
      <c r="H65" s="139"/>
      <c r="I65" s="19">
        <v>16.600000000000001</v>
      </c>
      <c r="J65" s="26">
        <v>2400</v>
      </c>
      <c r="K65" s="10">
        <f t="shared" si="11"/>
        <v>144.57831325301203</v>
      </c>
      <c r="L65" s="19">
        <v>16.600000000000001</v>
      </c>
      <c r="M65" s="11">
        <f>AVERAGE(M60:M64)</f>
        <v>2264.3870374317949</v>
      </c>
      <c r="N65" s="10">
        <f t="shared" si="12"/>
        <v>136.40885767661413</v>
      </c>
      <c r="O65" s="12">
        <f t="shared" si="13"/>
        <v>0</v>
      </c>
      <c r="P65" s="13">
        <f t="shared" si="14"/>
        <v>-8.169455576397894</v>
      </c>
      <c r="Q65" s="141">
        <f t="shared" si="15"/>
        <v>0.94349459892991461</v>
      </c>
      <c r="R65" s="442"/>
      <c r="S65" s="28"/>
      <c r="T65" s="28"/>
      <c r="U65" s="10"/>
      <c r="V65" s="146"/>
      <c r="W65" s="10"/>
      <c r="X65" s="10"/>
      <c r="Y65" s="443"/>
      <c r="Z65" s="443"/>
      <c r="AA65" s="12">
        <f t="shared" si="16"/>
        <v>-135.61296256820515</v>
      </c>
      <c r="AB65" s="141">
        <f t="shared" si="17"/>
        <v>0.9434945989299145</v>
      </c>
      <c r="AC65" s="442"/>
    </row>
    <row r="66" spans="1:29">
      <c r="D66" s="22"/>
      <c r="E66" s="22"/>
    </row>
  </sheetData>
  <mergeCells count="178">
    <mergeCell ref="Y1:Z2"/>
    <mergeCell ref="AA1:AC2"/>
    <mergeCell ref="AA3:AA4"/>
    <mergeCell ref="AB3:AB4"/>
    <mergeCell ref="AC3:AC4"/>
    <mergeCell ref="I3:I4"/>
    <mergeCell ref="J3:J4"/>
    <mergeCell ref="K3:K4"/>
    <mergeCell ref="L3:L4"/>
    <mergeCell ref="M3:M4"/>
    <mergeCell ref="O1:R2"/>
    <mergeCell ref="P3:P4"/>
    <mergeCell ref="Q3:Q4"/>
    <mergeCell ref="R3:R4"/>
    <mergeCell ref="N3:N4"/>
    <mergeCell ref="O3:O4"/>
    <mergeCell ref="I1:K2"/>
    <mergeCell ref="L1:N2"/>
    <mergeCell ref="S1:X2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C8:D8"/>
    <mergeCell ref="Y8:Z8"/>
    <mergeCell ref="A3:A4"/>
    <mergeCell ref="B3:B4"/>
    <mergeCell ref="C3:D4"/>
    <mergeCell ref="E3:E4"/>
    <mergeCell ref="F3:F4"/>
    <mergeCell ref="U3:U4"/>
    <mergeCell ref="V3:V4"/>
    <mergeCell ref="W3:X3"/>
    <mergeCell ref="Y3:Z4"/>
    <mergeCell ref="S3:T3"/>
    <mergeCell ref="H3:H4"/>
    <mergeCell ref="G3:G4"/>
    <mergeCell ref="AC13:AC17"/>
    <mergeCell ref="C14:D14"/>
    <mergeCell ref="Y14:Z14"/>
    <mergeCell ref="C15:D15"/>
    <mergeCell ref="Y15:Z15"/>
    <mergeCell ref="C16:D16"/>
    <mergeCell ref="Y16:Z16"/>
    <mergeCell ref="A9:A12"/>
    <mergeCell ref="C9:D9"/>
    <mergeCell ref="R9:R12"/>
    <mergeCell ref="Y9:Z9"/>
    <mergeCell ref="AC9:AC12"/>
    <mergeCell ref="C10:D10"/>
    <mergeCell ref="Y10:Z10"/>
    <mergeCell ref="C11:D11"/>
    <mergeCell ref="Y11:Z11"/>
    <mergeCell ref="A18:A23"/>
    <mergeCell ref="C18:D18"/>
    <mergeCell ref="R18:R23"/>
    <mergeCell ref="Y18:Z18"/>
    <mergeCell ref="C23:D23"/>
    <mergeCell ref="Y23:Z23"/>
    <mergeCell ref="C17:D17"/>
    <mergeCell ref="Y17:Z17"/>
    <mergeCell ref="C12:D12"/>
    <mergeCell ref="Y12:Z12"/>
    <mergeCell ref="A13:A17"/>
    <mergeCell ref="C13:D13"/>
    <mergeCell ref="R13:R17"/>
    <mergeCell ref="Y13:Z13"/>
    <mergeCell ref="AC18:AC23"/>
    <mergeCell ref="C19:D19"/>
    <mergeCell ref="Y19:Z19"/>
    <mergeCell ref="C20:D20"/>
    <mergeCell ref="Y20:Z20"/>
    <mergeCell ref="C21:D21"/>
    <mergeCell ref="Y28:Z28"/>
    <mergeCell ref="Y21:Z21"/>
    <mergeCell ref="C22:D22"/>
    <mergeCell ref="Y22:Z22"/>
    <mergeCell ref="AC30:AC37"/>
    <mergeCell ref="C31:D31"/>
    <mergeCell ref="Y31:Z31"/>
    <mergeCell ref="C32:D32"/>
    <mergeCell ref="Y32:Z32"/>
    <mergeCell ref="C33:D33"/>
    <mergeCell ref="C36:D36"/>
    <mergeCell ref="Y36:Z36"/>
    <mergeCell ref="A24:A29"/>
    <mergeCell ref="C24:D24"/>
    <mergeCell ref="R24:R29"/>
    <mergeCell ref="Y24:Z24"/>
    <mergeCell ref="C29:D29"/>
    <mergeCell ref="Y29:Z29"/>
    <mergeCell ref="AC24:AC29"/>
    <mergeCell ref="C25:D25"/>
    <mergeCell ref="Y25:Z25"/>
    <mergeCell ref="C26:D26"/>
    <mergeCell ref="Y26:Z26"/>
    <mergeCell ref="C27:D27"/>
    <mergeCell ref="Y27:Z27"/>
    <mergeCell ref="C28:D28"/>
    <mergeCell ref="A30:A37"/>
    <mergeCell ref="C30:D30"/>
    <mergeCell ref="C56:D56"/>
    <mergeCell ref="A46:A52"/>
    <mergeCell ref="C53:D53"/>
    <mergeCell ref="R53:R59"/>
    <mergeCell ref="Y53:Z53"/>
    <mergeCell ref="R38:R45"/>
    <mergeCell ref="Y38:Z38"/>
    <mergeCell ref="Y43:Z43"/>
    <mergeCell ref="C44:D44"/>
    <mergeCell ref="Y44:Z44"/>
    <mergeCell ref="C45:D45"/>
    <mergeCell ref="Y45:Z45"/>
    <mergeCell ref="Y42:Z42"/>
    <mergeCell ref="C43:D43"/>
    <mergeCell ref="C54:D54"/>
    <mergeCell ref="Y54:Z54"/>
    <mergeCell ref="C55:D55"/>
    <mergeCell ref="Y55:Z55"/>
    <mergeCell ref="R30:R37"/>
    <mergeCell ref="Y30:Z30"/>
    <mergeCell ref="C37:D37"/>
    <mergeCell ref="Y37:Z37"/>
    <mergeCell ref="A38:A45"/>
    <mergeCell ref="C38:D38"/>
    <mergeCell ref="Y33:Z33"/>
    <mergeCell ref="C34:D34"/>
    <mergeCell ref="Y34:Z34"/>
    <mergeCell ref="C35:D35"/>
    <mergeCell ref="Y35:Z35"/>
    <mergeCell ref="AC38:AC45"/>
    <mergeCell ref="C39:D39"/>
    <mergeCell ref="Y39:Z39"/>
    <mergeCell ref="C40:D40"/>
    <mergeCell ref="Y40:Z40"/>
    <mergeCell ref="C41:D41"/>
    <mergeCell ref="Y41:Z41"/>
    <mergeCell ref="C42:D42"/>
    <mergeCell ref="AC46:AC52"/>
    <mergeCell ref="C47:D47"/>
    <mergeCell ref="Y47:Z47"/>
    <mergeCell ref="C48:D48"/>
    <mergeCell ref="C51:D51"/>
    <mergeCell ref="Y51:Z51"/>
    <mergeCell ref="C52:D52"/>
    <mergeCell ref="Y52:Z52"/>
    <mergeCell ref="C46:D46"/>
    <mergeCell ref="R46:R52"/>
    <mergeCell ref="Y46:Z46"/>
    <mergeCell ref="AC60:AC65"/>
    <mergeCell ref="A60:A65"/>
    <mergeCell ref="C60:D60"/>
    <mergeCell ref="R60:R65"/>
    <mergeCell ref="Y60:Z60"/>
    <mergeCell ref="Y56:Z56"/>
    <mergeCell ref="C57:D57"/>
    <mergeCell ref="Y57:Z57"/>
    <mergeCell ref="C58:D58"/>
    <mergeCell ref="Y58:Z58"/>
    <mergeCell ref="A53:A59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Y65:Z65"/>
    <mergeCell ref="AC53:AC59"/>
    <mergeCell ref="C59:D59"/>
    <mergeCell ref="Y59:Z59"/>
  </mergeCells>
  <phoneticPr fontId="3" type="noConversion"/>
  <conditionalFormatting sqref="O56:O65 O5:O9 O12:O14 O45:O53 O17:O43">
    <cfRule type="cellIs" dxfId="250" priority="37" operator="greaterThan">
      <formula>0</formula>
    </cfRule>
  </conditionalFormatting>
  <conditionalFormatting sqref="P5:P7 P56:P58 AA56:AA58 P60:P64 P24:P28 P53 P9 P12:P14 P18:P22 P46:P51 P30:P43 AA5:AA53 AA60:AA65">
    <cfRule type="cellIs" dxfId="249" priority="41" operator="lessThan">
      <formula>0</formula>
    </cfRule>
  </conditionalFormatting>
  <conditionalFormatting sqref="AB56:AB58 Q56:Q65 Q5:Q9 Q12:Q14 Q45:Q53 Q17:Q43 AB5:AB53 AB60:AB65">
    <cfRule type="cellIs" dxfId="248" priority="38" operator="greaterThan">
      <formula>1</formula>
    </cfRule>
    <cfRule type="cellIs" dxfId="247" priority="39" operator="lessThan">
      <formula>0.8</formula>
    </cfRule>
  </conditionalFormatting>
  <conditionalFormatting sqref="AC13:AC14 R13:R14 AC56 R56:R65 AC5:AC9 R5:R9 R17:R43 AC17:AC43 AC45:AC53 R45:R53">
    <cfRule type="cellIs" dxfId="246" priority="43" operator="lessThan">
      <formula>0.8</formula>
    </cfRule>
  </conditionalFormatting>
  <conditionalFormatting sqref="AC38">
    <cfRule type="cellIs" dxfId="245" priority="45" operator="lessThan">
      <formula>0.8</formula>
    </cfRule>
  </conditionalFormatting>
  <conditionalFormatting sqref="AC18:AC22">
    <cfRule type="cellIs" dxfId="244" priority="42" operator="lessThan">
      <formula>0.8</formula>
    </cfRule>
  </conditionalFormatting>
  <conditionalFormatting sqref="AC24">
    <cfRule type="cellIs" dxfId="243" priority="44" operator="lessThan">
      <formula>0.8</formula>
    </cfRule>
  </conditionalFormatting>
  <conditionalFormatting sqref="AC30:AC36">
    <cfRule type="cellIs" dxfId="242" priority="40" operator="lessThan">
      <formula>0.8</formula>
    </cfRule>
  </conditionalFormatting>
  <conditionalFormatting sqref="AA59">
    <cfRule type="cellIs" dxfId="241" priority="36" operator="lessThan">
      <formula>0</formula>
    </cfRule>
  </conditionalFormatting>
  <conditionalFormatting sqref="AB59">
    <cfRule type="cellIs" dxfId="240" priority="34" operator="greaterThan">
      <formula>1</formula>
    </cfRule>
    <cfRule type="cellIs" dxfId="239" priority="35" operator="lessThan">
      <formula>0.8</formula>
    </cfRule>
  </conditionalFormatting>
  <conditionalFormatting sqref="O15:O16">
    <cfRule type="cellIs" dxfId="238" priority="29" operator="greaterThan">
      <formula>0</formula>
    </cfRule>
  </conditionalFormatting>
  <conditionalFormatting sqref="P15:P16">
    <cfRule type="cellIs" dxfId="237" priority="32" operator="lessThan">
      <formula>0</formula>
    </cfRule>
  </conditionalFormatting>
  <conditionalFormatting sqref="Q15:Q16">
    <cfRule type="cellIs" dxfId="236" priority="30" operator="greaterThan">
      <formula>1</formula>
    </cfRule>
    <cfRule type="cellIs" dxfId="235" priority="31" operator="lessThan">
      <formula>0.8</formula>
    </cfRule>
  </conditionalFormatting>
  <conditionalFormatting sqref="R15:R16 AC15:AC16">
    <cfRule type="cellIs" dxfId="234" priority="33" operator="lessThan">
      <formula>0.8</formula>
    </cfRule>
  </conditionalFormatting>
  <conditionalFormatting sqref="O10:O11">
    <cfRule type="cellIs" dxfId="233" priority="25" operator="greaterThan">
      <formula>0</formula>
    </cfRule>
  </conditionalFormatting>
  <conditionalFormatting sqref="P10:P11">
    <cfRule type="cellIs" dxfId="232" priority="28" operator="lessThan">
      <formula>0</formula>
    </cfRule>
  </conditionalFormatting>
  <conditionalFormatting sqref="Q10:Q11">
    <cfRule type="cellIs" dxfId="231" priority="26" operator="greaterThan">
      <formula>1</formula>
    </cfRule>
    <cfRule type="cellIs" dxfId="230" priority="27" operator="lessThan">
      <formula>0.8</formula>
    </cfRule>
  </conditionalFormatting>
  <conditionalFormatting sqref="O55">
    <cfRule type="cellIs" dxfId="229" priority="20" operator="greaterThan">
      <formula>0</formula>
    </cfRule>
  </conditionalFormatting>
  <conditionalFormatting sqref="P55 AA55">
    <cfRule type="cellIs" dxfId="228" priority="23" operator="lessThan">
      <formula>0</formula>
    </cfRule>
  </conditionalFormatting>
  <conditionalFormatting sqref="Q55 AB55">
    <cfRule type="cellIs" dxfId="227" priority="21" operator="greaterThan">
      <formula>1</formula>
    </cfRule>
    <cfRule type="cellIs" dxfId="226" priority="22" operator="lessThan">
      <formula>0.8</formula>
    </cfRule>
  </conditionalFormatting>
  <conditionalFormatting sqref="R55 AC55">
    <cfRule type="cellIs" dxfId="225" priority="24" operator="lessThan">
      <formula>0.8</formula>
    </cfRule>
  </conditionalFormatting>
  <conditionalFormatting sqref="O44">
    <cfRule type="cellIs" dxfId="224" priority="14" operator="greaterThan">
      <formula>0</formula>
    </cfRule>
  </conditionalFormatting>
  <conditionalFormatting sqref="P44">
    <cfRule type="cellIs" dxfId="223" priority="18" operator="lessThan">
      <formula>0</formula>
    </cfRule>
  </conditionalFormatting>
  <conditionalFormatting sqref="Q44">
    <cfRule type="cellIs" dxfId="222" priority="15" operator="greaterThan">
      <formula>1</formula>
    </cfRule>
    <cfRule type="cellIs" dxfId="221" priority="16" operator="lessThan">
      <formula>0.8</formula>
    </cfRule>
  </conditionalFormatting>
  <conditionalFormatting sqref="R44 AC44">
    <cfRule type="cellIs" dxfId="220" priority="19" operator="lessThan">
      <formula>0.8</formula>
    </cfRule>
  </conditionalFormatting>
  <conditionalFormatting sqref="AC44">
    <cfRule type="cellIs" dxfId="219" priority="17" operator="lessThan">
      <formula>0.8</formula>
    </cfRule>
  </conditionalFormatting>
  <conditionalFormatting sqref="O54">
    <cfRule type="cellIs" dxfId="218" priority="9" operator="greaterThan">
      <formula>0</formula>
    </cfRule>
  </conditionalFormatting>
  <conditionalFormatting sqref="P54 AA54">
    <cfRule type="cellIs" dxfId="217" priority="12" operator="lessThan">
      <formula>0</formula>
    </cfRule>
  </conditionalFormatting>
  <conditionalFormatting sqref="Q54 AB54">
    <cfRule type="cellIs" dxfId="216" priority="10" operator="greaterThan">
      <formula>1</formula>
    </cfRule>
    <cfRule type="cellIs" dxfId="215" priority="11" operator="lessThan">
      <formula>0.8</formula>
    </cfRule>
  </conditionalFormatting>
  <conditionalFormatting sqref="R54 AC54">
    <cfRule type="cellIs" dxfId="214" priority="13" operator="lessThan">
      <formula>0.8</formula>
    </cfRule>
  </conditionalFormatting>
  <conditionalFormatting sqref="P8">
    <cfRule type="cellIs" dxfId="213" priority="8" operator="lessThan">
      <formula>0</formula>
    </cfRule>
  </conditionalFormatting>
  <conditionalFormatting sqref="P17">
    <cfRule type="cellIs" dxfId="212" priority="7" operator="lessThan">
      <formula>0</formula>
    </cfRule>
  </conditionalFormatting>
  <conditionalFormatting sqref="P23">
    <cfRule type="cellIs" dxfId="211" priority="6" operator="lessThan">
      <formula>0</formula>
    </cfRule>
  </conditionalFormatting>
  <conditionalFormatting sqref="P29">
    <cfRule type="cellIs" dxfId="210" priority="5" operator="lessThan">
      <formula>0</formula>
    </cfRule>
  </conditionalFormatting>
  <conditionalFormatting sqref="P45">
    <cfRule type="cellIs" dxfId="209" priority="4" operator="lessThan">
      <formula>0</formula>
    </cfRule>
  </conditionalFormatting>
  <conditionalFormatting sqref="P52">
    <cfRule type="cellIs" dxfId="208" priority="3" operator="lessThan">
      <formula>0</formula>
    </cfRule>
  </conditionalFormatting>
  <conditionalFormatting sqref="P59">
    <cfRule type="cellIs" dxfId="207" priority="2" operator="lessThan">
      <formula>0</formula>
    </cfRule>
  </conditionalFormatting>
  <conditionalFormatting sqref="P65">
    <cfRule type="cellIs" dxfId="206" priority="1" operator="lessThan">
      <formula>0</formula>
    </cfRule>
  </conditionalFormatting>
  <dataValidations count="1">
    <dataValidation type="list" allowBlank="1" showInputMessage="1" showErrorMessage="1" sqref="Z8 Z57:Z58 Y5:Z7 Y8:Y58 Z10:Z53 Y59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B1:Q28"/>
  <sheetViews>
    <sheetView zoomScale="80" zoomScaleNormal="80" workbookViewId="0">
      <selection activeCell="F3" sqref="F3:G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108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35" t="s">
        <v>109</v>
      </c>
      <c r="C3" s="493" t="str">
        <f>TEXT('0904 4度C'!A2,"yyyy.mm.ddaaaa")</f>
        <v>2025.09.04星期四</v>
      </c>
      <c r="D3" s="493"/>
      <c r="E3" s="135" t="s">
        <v>110</v>
      </c>
      <c r="F3" s="494">
        <f>'0904 4度C'!D1</f>
        <v>168001</v>
      </c>
      <c r="G3" s="494"/>
      <c r="H3" s="135" t="s">
        <v>111</v>
      </c>
      <c r="I3" s="495">
        <f>'0904 4度C'!F1</f>
        <v>5632441.8299999982</v>
      </c>
      <c r="J3" s="495"/>
      <c r="K3" s="45"/>
      <c r="L3" s="46"/>
      <c r="M3" s="47"/>
      <c r="N3" s="47"/>
    </row>
    <row r="4" spans="2:17" ht="28.5" customHeight="1">
      <c r="B4" s="496" t="s">
        <v>112</v>
      </c>
      <c r="C4" s="496" t="s">
        <v>113</v>
      </c>
      <c r="D4" s="496"/>
      <c r="E4" s="497" t="s">
        <v>114</v>
      </c>
      <c r="F4" s="497"/>
      <c r="G4" s="497" t="s">
        <v>115</v>
      </c>
      <c r="H4" s="497"/>
      <c r="I4" s="497" t="s">
        <v>116</v>
      </c>
      <c r="J4" s="497"/>
      <c r="L4" s="47"/>
      <c r="M4" s="47"/>
      <c r="N4" s="47"/>
    </row>
    <row r="5" spans="2:17" ht="28.5" customHeight="1">
      <c r="B5" s="496"/>
      <c r="C5" s="496" t="s">
        <v>117</v>
      </c>
      <c r="D5" s="496"/>
      <c r="E5" s="496" t="s">
        <v>118</v>
      </c>
      <c r="F5" s="496"/>
      <c r="G5" s="498" t="s">
        <v>119</v>
      </c>
      <c r="H5" s="498"/>
      <c r="I5" s="499" t="s">
        <v>120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145.31802723197319</v>
      </c>
      <c r="F6" s="496">
        <f>AVERAGE(D27:O27,D13:J13)</f>
        <v>148.77238774297598</v>
      </c>
      <c r="G6" s="501">
        <f>AVERAGE(D13:J13)</f>
        <v>148.77238774297598</v>
      </c>
      <c r="H6" s="501"/>
      <c r="I6" s="501">
        <f>AVERAGE(K13:M13)</f>
        <v>137.25785270629993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137.44926844370963</v>
      </c>
      <c r="F7" s="506">
        <f>AVERAGE(D28:O28,D14:J14)</f>
        <v>140.91056766449728</v>
      </c>
      <c r="G7" s="507">
        <f>AVERAGE(D14:J14)</f>
        <v>140.91056766449728</v>
      </c>
      <c r="H7" s="507"/>
      <c r="I7" s="507">
        <f>AVERAGE(K14:M14)</f>
        <v>129.37290359520503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0.94513805136249529</v>
      </c>
      <c r="F8" s="504">
        <f>AVERAGE(D15:J15,D29:O29)</f>
        <v>0.9462272843038334</v>
      </c>
      <c r="G8" s="509">
        <f>AVERAGE(D15:J15)</f>
        <v>0.9462272843038334</v>
      </c>
      <c r="H8" s="509"/>
      <c r="I8" s="509">
        <f>AVERAGE(K15:M15)</f>
        <v>0.94259650783270621</v>
      </c>
      <c r="J8" s="509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125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503" t="s">
        <v>128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10</v>
      </c>
      <c r="C13" s="58" t="s">
        <v>140</v>
      </c>
      <c r="D13" s="59">
        <f>SUMIFS('0904 4度C'!$K:$K,'0904 4度C'!$A:$A,"新豐6線",'0904 4度C'!$B:$B,"平均")</f>
        <v>117.64705882352941</v>
      </c>
      <c r="E13" s="60">
        <f>SUMIFS('0904 4度C'!$K:$K,'0904 4度C'!$A:$A,"新豐2線",'0904 4度C'!$B:$B,"平均")</f>
        <v>83.333333333333329</v>
      </c>
      <c r="F13" s="61">
        <f>SUMIFS('0904 4度C'!$K:$K,'0904 4度C'!$A:$A,"新豐5線",'0904 4度C'!$B:$B,"平均")</f>
        <v>87.5</v>
      </c>
      <c r="G13" s="61">
        <f>SUMIFS('0904 4度C'!$K:$K,'0904 4度C'!$A:$A,"新豐7線",'0904 4度C'!$B:$B,"平均")</f>
        <v>117.64705882352941</v>
      </c>
      <c r="H13" s="61">
        <f>SUMIFS('0904 4度C'!$K:$K,'0904 4度C'!$A:$A,"新豐3線",'0904 4度C'!$B:$B,"平均")</f>
        <v>300</v>
      </c>
      <c r="I13" s="61">
        <f>SUMIFS('0904 4度C'!$K:$K,'0904 4度C'!$A:$A,"新豐1線",'0904 4度C'!$B:$B,"平均")</f>
        <v>116.16161616161617</v>
      </c>
      <c r="J13" s="62">
        <f>SUMIFS('0904 4度C'!$K:$K,'0904 4度C'!$A:$A,"新豐10線",'0904 4度C'!$B:$B,"平均")</f>
        <v>219.11764705882354</v>
      </c>
      <c r="K13" s="63">
        <f>SUMIFS('0904 4度C'!$K:$K,'0904 4度C'!$A:$A,"新豐8線",'0904 4度C'!$B:$B,"平均")</f>
        <v>134.4</v>
      </c>
      <c r="L13" s="64">
        <f>SUMIFS('0904 4度C'!$K:$K,'0904 4度C'!$A:$A,"新豐9線",'0904 4度C'!$B:$B,"平均")</f>
        <v>130.43478260869566</v>
      </c>
      <c r="M13" s="62">
        <f>SUMIFS('0904 4度C'!$K:$K,'0904 4度C'!$A:$A,"新豐4線",'0904 4度C'!$B:$B,"平均")</f>
        <v>146.9387755102041</v>
      </c>
    </row>
    <row r="14" spans="2:17" ht="39.6" customHeight="1">
      <c r="B14" s="515"/>
      <c r="C14" s="65" t="s">
        <v>141</v>
      </c>
      <c r="D14" s="66">
        <f>SUMIFS('0904 4度C'!$N:$N,'0904 4度C'!$A:$A,"新豐6線",'0904 4度C'!$B:$B,"平均")</f>
        <v>111.59536541889476</v>
      </c>
      <c r="E14" s="67">
        <f>SUMIFS('0904 4度C'!$N:$N,'0904 4度C'!$A:$A,"新豐2線",'0904 4度C'!$B:$B,"平均")</f>
        <v>78.438146849172199</v>
      </c>
      <c r="F14" s="67">
        <f>SUMIFS('0904 4度C'!$N:$N,'0904 4度C'!$A:$A,"新豐5線",'0904 4度C'!$B:$B,"平均")</f>
        <v>82.333863287694385</v>
      </c>
      <c r="G14" s="67">
        <f>SUMIFS('0904 4度C'!$N:$N,'0904 4度C'!$A:$A,"新豐7線",'0904 4度C'!$B:$B,"平均")</f>
        <v>111.95963450016359</v>
      </c>
      <c r="H14" s="67">
        <f>SUMIFS('0904 4度C'!$N:$N,'0904 4度C'!$A:$A,"新豐3線",'0904 4度C'!$B:$B,"平均")</f>
        <v>284.55667414385567</v>
      </c>
      <c r="I14" s="67">
        <f>SUMIFS('0904 4度C'!$N:$N,'0904 4度C'!$A:$A,"新豐1線",'0904 4度C'!$B:$B,"平均")</f>
        <v>109.68923448547277</v>
      </c>
      <c r="J14" s="68">
        <f>SUMIFS('0904 4度C'!$N:$N,'0904 4度C'!$A:$A,"新豐10線",'0904 4度C'!$B:$B,"平均")</f>
        <v>207.80105496622753</v>
      </c>
      <c r="K14" s="69">
        <f>SUMIFS('0904 4度C'!$N:$N,'0904 4度C'!$A:$A,"新豐8線",'0904 4度C'!$B:$B,"平均")</f>
        <v>126.50802045400505</v>
      </c>
      <c r="L14" s="70">
        <f>SUMIFS('0904 4度C'!$N:$N,'0904 4度C'!$A:$A,"新豐9線",'0904 4度C'!$B:$B,"平均")</f>
        <v>123.21699378596892</v>
      </c>
      <c r="M14" s="68">
        <f>SUMIFS('0904 4度C'!$N:$N,'0904 4度C'!$A:$A,"新豐4線",'0904 4度C'!$B:$B,"平均")</f>
        <v>138.39369654564112</v>
      </c>
    </row>
    <row r="15" spans="2:17" ht="40.15" customHeight="1">
      <c r="B15" s="515"/>
      <c r="C15" s="71" t="s">
        <v>142</v>
      </c>
      <c r="D15" s="72">
        <f>D14/D13</f>
        <v>0.94856060606060544</v>
      </c>
      <c r="E15" s="73">
        <f t="shared" ref="E15:M15" si="0">E14/E13</f>
        <v>0.9412577621900664</v>
      </c>
      <c r="F15" s="73">
        <f t="shared" si="0"/>
        <v>0.94095843757365016</v>
      </c>
      <c r="G15" s="73">
        <f t="shared" si="0"/>
        <v>0.95165689325139058</v>
      </c>
      <c r="H15" s="73">
        <f>H14/H13</f>
        <v>0.9485222471461856</v>
      </c>
      <c r="I15" s="73">
        <f>I14/I13</f>
        <v>0.94428123600537417</v>
      </c>
      <c r="J15" s="74">
        <f>J14/J13</f>
        <v>0.94835380789956181</v>
      </c>
      <c r="K15" s="72">
        <f>K14/K13</f>
        <v>0.94127991409229939</v>
      </c>
      <c r="L15" s="73">
        <f>L14/L13</f>
        <v>0.94466361902576168</v>
      </c>
      <c r="M15" s="74">
        <f t="shared" si="0"/>
        <v>0.94184599038005756</v>
      </c>
    </row>
    <row r="16" spans="2:17" ht="17.25" customHeight="1">
      <c r="B16" s="502" t="s">
        <v>143</v>
      </c>
      <c r="C16" s="134" t="s">
        <v>144</v>
      </c>
      <c r="D16" s="76">
        <f>VLOOKUP("新豐6線",'0904 4度C'!$A:$T,19,0)</f>
        <v>0.70833333333333337</v>
      </c>
      <c r="E16" s="28">
        <f>VLOOKUP("新豐2線",'0904 4度C'!$A:$T,19,0)</f>
        <v>8.3333333333333329E-2</v>
      </c>
      <c r="F16" s="28">
        <f>VLOOKUP("新豐5線",'0904 4度C'!$A:$T,19,0)</f>
        <v>0.20833333333333334</v>
      </c>
      <c r="G16" s="28">
        <f>VLOOKUP("新豐7線",'0904 4度C'!$A:$T,19,0)</f>
        <v>0.20833333333333334</v>
      </c>
      <c r="H16" s="28">
        <f>VLOOKUP("新豐3線",'0904 4度C'!$A:$T,19,0)</f>
        <v>8.3333333333333329E-2</v>
      </c>
      <c r="I16" s="28">
        <f>VLOOKUP("新豐1線",'0904 4度C'!$A:$T,19,0)</f>
        <v>0.25</v>
      </c>
      <c r="J16" s="77">
        <f>VLOOKUP("新豐10線",'0904 4度C'!$A:$T,19,0)</f>
        <v>0.125</v>
      </c>
      <c r="K16" s="78">
        <f>VLOOKUP("新豐8線",'0904 4度C'!$A:$T,19,0)</f>
        <v>8.3333333333333329E-2</v>
      </c>
      <c r="L16" s="79">
        <f>VLOOKUP("新豐9線",'0904 4度C'!$A:$T,19,0)</f>
        <v>0.125</v>
      </c>
      <c r="M16" s="80">
        <f>VLOOKUP("新豐4線",'0904 4度C'!$A:$T,19,0)</f>
        <v>8.3333333333333329E-2</v>
      </c>
    </row>
    <row r="17" spans="2:13" ht="17.25" customHeight="1">
      <c r="B17" s="503"/>
      <c r="C17" s="134" t="s">
        <v>145</v>
      </c>
      <c r="D17" s="78">
        <f>LOOKUP(2,1/(('0904 4度C'!$A:$A="新豐6線")*('0904 4度C'!$T:$T&lt;&gt;"")),'0904 4度C'!$T:$T)</f>
        <v>0.80555555555555558</v>
      </c>
      <c r="E17" s="28">
        <f>LOOKUP(2,1/(('0904 4度C'!$A:$A="新豐2線")*('0904 4度C'!$T:$T&lt;&gt;"")),'0904 4度C'!$T:$T)</f>
        <v>0.56180555555555556</v>
      </c>
      <c r="F17" s="28">
        <f>LOOKUP(2,1/(('0904 4度C'!$A:$A="新豐5線")*('0904 4度C'!$T:$T&lt;&gt;"")),'0904 4度C'!$T:$T)</f>
        <v>0.82083333333333341</v>
      </c>
      <c r="G17" s="28">
        <f>LOOKUP(2,1/(('0904 4度C'!$A:$A="新豐7線")*('0904 4度C'!$T:$T&lt;&gt;"")),'0904 4度C'!$T:$T)</f>
        <v>0.78125</v>
      </c>
      <c r="H17" s="28">
        <f>LOOKUP(2,1/(('0904 4度C'!$A:$A="新豐3線")*('0904 4度C'!$T:$T&lt;&gt;"")),'0904 4度C'!$T:$T)</f>
        <v>0.45833333333333326</v>
      </c>
      <c r="I17" s="28">
        <f>LOOKUP(2,1/(('0904 4度C'!$A:$A="新豐1線")*('0904 4度C'!$T:$T&lt;&gt;"")),'0904 4度C'!$T:$T)</f>
        <v>0.82152777777777775</v>
      </c>
      <c r="J17" s="77">
        <f>LOOKUP(2,1/(('0904 4度C'!$A:$A="新豐10線")*('0904 4度C'!$T:$T&lt;&gt;"")),'0904 4度C'!$T:$T)</f>
        <v>0.39374999999999993</v>
      </c>
      <c r="K17" s="76">
        <f>LOOKUP(2,1/(('0904 4度C'!$A:$A="新豐8線")*('0904 4度C'!$T:$T&lt;&gt;"")),'0904 4度C'!$T:$T)</f>
        <v>0.65555555555555556</v>
      </c>
      <c r="L17" s="28">
        <f>LOOKUP(2,1/(('0904 4度C'!$A:$A="新豐9線")*('0904 4度C'!$T:$T&lt;&gt;"")),'0904 4度C'!$T:$T)</f>
        <v>0.71319444444444435</v>
      </c>
      <c r="M17" s="77">
        <f>LOOKUP(2,1/(('0904 4度C'!$A:$A="新豐4線")*('0904 4度C'!$T:$T&lt;&gt;"")),'0904 4度C'!$T:$T)</f>
        <v>0.60416666666666652</v>
      </c>
    </row>
    <row r="18" spans="2:13" ht="17.25" customHeight="1">
      <c r="B18" s="503" t="s">
        <v>146</v>
      </c>
      <c r="C18" s="514"/>
      <c r="D18" s="81">
        <f>SUMIFS('0904 4度C'!$I:$I,'0904 4度C'!$A:$A,"新豐6線",'0904 4度C'!$B:$B,"平均")</f>
        <v>17</v>
      </c>
      <c r="E18" s="82">
        <f>SUMIFS('0904 4度C'!$I:$I,'0904 4度C'!$A:$A,"新豐2線",'0904 4度C'!$B:$B,"平均")</f>
        <v>18</v>
      </c>
      <c r="F18" s="82">
        <f>SUMIFS('0904 4度C'!$I:$I,'0904 4度C'!$A:$A,"新豐5線",'0904 4度C'!$B:$B,"平均")</f>
        <v>20</v>
      </c>
      <c r="G18" s="82">
        <f>SUMIFS('0904 4度C'!$I:$I,'0904 4度C'!$A:$A,"新豐7線",'0904 4度C'!$B:$B,"平均")</f>
        <v>17</v>
      </c>
      <c r="H18" s="82">
        <f>SUMIFS('0904 4度C'!$I:$I,'0904 4度C'!$A:$A,"新豐3線",'0904 4度C'!$B:$B,"平均")</f>
        <v>10</v>
      </c>
      <c r="I18" s="82">
        <f>SUMIFS('0904 4度C'!$I:$I,'0904 4度C'!$A:$A,"新豐1線",'0904 4度C'!$B:$B,"平均")</f>
        <v>16.5</v>
      </c>
      <c r="J18" s="83">
        <f>SUMIFS('0904 4度C'!$I:$I,'0904 4度C'!$A:$A,"新豐10線",'0904 4度C'!$B:$B,"平均")</f>
        <v>11.333333333333334</v>
      </c>
      <c r="K18" s="81">
        <f>SUMIFS('0904 4度C'!$I:$I,'0904 4度C'!$A:$A,"新豐8線",'0904 4度C'!$B:$B,"平均")</f>
        <v>17.857142857142858</v>
      </c>
      <c r="L18" s="82">
        <f>SUMIFS('0904 4度C'!$I:$I,'0904 4度C'!$A:$A,"新豐9線",'0904 4度C'!$B:$B,"平均")</f>
        <v>18.399999999999999</v>
      </c>
      <c r="M18" s="83">
        <f>SUMIFS('0904 4度C'!$I:$I,'0904 4度C'!$A:$A,"新豐4線",'0904 4度C'!$B:$B,"平均")</f>
        <v>16.333333333333332</v>
      </c>
    </row>
    <row r="19" spans="2:13" ht="17.25" customHeight="1">
      <c r="B19" s="510" t="s">
        <v>147</v>
      </c>
      <c r="C19" s="511"/>
      <c r="D19" s="84" t="s">
        <v>148</v>
      </c>
      <c r="E19" s="85" t="s">
        <v>149</v>
      </c>
      <c r="F19" s="85" t="s">
        <v>150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152</v>
      </c>
      <c r="L19" s="85" t="s">
        <v>152</v>
      </c>
      <c r="M19" s="86" t="s">
        <v>152</v>
      </c>
    </row>
    <row r="20" spans="2:13" ht="17.25" customHeight="1">
      <c r="B20" s="510" t="s">
        <v>153</v>
      </c>
      <c r="C20" s="511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155</v>
      </c>
      <c r="C21" s="513"/>
      <c r="D21" s="87"/>
      <c r="E21" s="88" t="s">
        <v>156</v>
      </c>
      <c r="F21" s="387" t="s">
        <v>157</v>
      </c>
      <c r="G21" s="388"/>
      <c r="H21" s="88" t="s">
        <v>158</v>
      </c>
      <c r="I21" s="88" t="s">
        <v>159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0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pageSetUpPr fitToPage="1"/>
  </sheetPr>
  <dimension ref="A1:AC73"/>
  <sheetViews>
    <sheetView zoomScale="80" zoomScaleNormal="80" workbookViewId="0">
      <pane ySplit="4" topLeftCell="A20" activePane="bottomLeft" state="frozen"/>
      <selection activeCell="AO33" activeCellId="2" sqref="AO26 AO28:AO31 AO33:AO35"/>
      <selection pane="bottomLeft" activeCell="B46" sqref="B4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329</v>
      </c>
      <c r="B1" s="1"/>
      <c r="C1" s="2" t="s">
        <v>328</v>
      </c>
      <c r="D1" s="3">
        <f>SUM(F5:F72)</f>
        <v>168001</v>
      </c>
      <c r="E1" s="120" t="s">
        <v>327</v>
      </c>
      <c r="F1" s="1">
        <f>SUM(G5:G72)</f>
        <v>5632441.8299999982</v>
      </c>
      <c r="G1" s="1" t="s">
        <v>326</v>
      </c>
      <c r="H1" s="38">
        <v>162.42380952380952</v>
      </c>
      <c r="I1" s="482" t="s">
        <v>325</v>
      </c>
      <c r="J1" s="482"/>
      <c r="K1" s="482"/>
      <c r="L1" s="482" t="s">
        <v>324</v>
      </c>
      <c r="M1" s="482"/>
      <c r="N1" s="482"/>
      <c r="O1" s="482" t="s">
        <v>323</v>
      </c>
      <c r="P1" s="482"/>
      <c r="Q1" s="482"/>
      <c r="R1" s="482"/>
      <c r="S1" s="482" t="s">
        <v>322</v>
      </c>
      <c r="T1" s="482"/>
      <c r="U1" s="482"/>
      <c r="V1" s="482"/>
      <c r="W1" s="482"/>
      <c r="X1" s="482"/>
      <c r="Y1" s="482" t="s">
        <v>321</v>
      </c>
      <c r="Z1" s="482"/>
      <c r="AA1" s="482" t="s">
        <v>320</v>
      </c>
      <c r="AB1" s="483"/>
      <c r="AC1" s="483"/>
    </row>
    <row r="2" spans="1:29" ht="26.25" customHeight="1">
      <c r="A2" s="133">
        <v>45904</v>
      </c>
      <c r="B2" s="132" t="s">
        <v>319</v>
      </c>
      <c r="C2" s="2" t="s">
        <v>307</v>
      </c>
      <c r="D2" s="6">
        <f>AVERAGE(N8,N13,N51,N58,N18,N65,N24,N32,N43,N72)</f>
        <v>137.44926844370963</v>
      </c>
      <c r="E2" s="7" t="s">
        <v>11</v>
      </c>
      <c r="F2" s="8">
        <f>F1/D1</f>
        <v>33.526239903333895</v>
      </c>
      <c r="G2" s="1" t="s">
        <v>318</v>
      </c>
      <c r="H2" s="39">
        <v>8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317</v>
      </c>
      <c r="B3" s="443" t="s">
        <v>316</v>
      </c>
      <c r="C3" s="443" t="s">
        <v>315</v>
      </c>
      <c r="D3" s="443"/>
      <c r="E3" s="484" t="s">
        <v>314</v>
      </c>
      <c r="F3" s="443" t="s">
        <v>313</v>
      </c>
      <c r="G3" s="484" t="s">
        <v>312</v>
      </c>
      <c r="H3" s="487" t="s">
        <v>311</v>
      </c>
      <c r="I3" s="474" t="s">
        <v>308</v>
      </c>
      <c r="J3" s="479" t="s">
        <v>310</v>
      </c>
      <c r="K3" s="481" t="s">
        <v>309</v>
      </c>
      <c r="L3" s="474" t="s">
        <v>308</v>
      </c>
      <c r="M3" s="479" t="s">
        <v>301</v>
      </c>
      <c r="N3" s="481" t="s">
        <v>307</v>
      </c>
      <c r="O3" s="474" t="s">
        <v>306</v>
      </c>
      <c r="P3" s="481" t="s">
        <v>281</v>
      </c>
      <c r="Q3" s="480" t="s">
        <v>305</v>
      </c>
      <c r="R3" s="451" t="s">
        <v>299</v>
      </c>
      <c r="S3" s="486" t="s">
        <v>25</v>
      </c>
      <c r="T3" s="486"/>
      <c r="U3" s="476" t="s">
        <v>26</v>
      </c>
      <c r="V3" s="476" t="s">
        <v>304</v>
      </c>
      <c r="W3" s="443" t="s">
        <v>303</v>
      </c>
      <c r="X3" s="443"/>
      <c r="Y3" s="477" t="s">
        <v>302</v>
      </c>
      <c r="Z3" s="478"/>
      <c r="AA3" s="479" t="s">
        <v>301</v>
      </c>
      <c r="AB3" s="480" t="s">
        <v>300</v>
      </c>
      <c r="AC3" s="451" t="s">
        <v>299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130" t="s">
        <v>31</v>
      </c>
      <c r="T4" s="130" t="s">
        <v>32</v>
      </c>
      <c r="U4" s="476"/>
      <c r="V4" s="476"/>
      <c r="W4" s="120" t="s">
        <v>298</v>
      </c>
      <c r="X4" s="120" t="s">
        <v>297</v>
      </c>
      <c r="Y4" s="478"/>
      <c r="Z4" s="478"/>
      <c r="AA4" s="479"/>
      <c r="AB4" s="480"/>
      <c r="AC4" s="451"/>
    </row>
    <row r="5" spans="1:29">
      <c r="A5" s="473" t="s">
        <v>296</v>
      </c>
      <c r="B5" s="31" t="s">
        <v>58</v>
      </c>
      <c r="C5" s="475" t="s">
        <v>104</v>
      </c>
      <c r="D5" s="475"/>
      <c r="E5" s="31">
        <v>46.93</v>
      </c>
      <c r="F5" s="130">
        <v>764</v>
      </c>
      <c r="G5" s="120">
        <f>E5*F5</f>
        <v>35854.519999999997</v>
      </c>
      <c r="H5" s="131" t="s">
        <v>103</v>
      </c>
      <c r="I5" s="128">
        <v>17</v>
      </c>
      <c r="J5" s="26">
        <v>2000</v>
      </c>
      <c r="K5" s="10">
        <f t="shared" ref="K5:K36" si="0">J5/I5</f>
        <v>117.64705882352941</v>
      </c>
      <c r="L5" s="128">
        <v>17</v>
      </c>
      <c r="M5" s="11">
        <f>F5/V5*60</f>
        <v>1909.9999999999939</v>
      </c>
      <c r="N5" s="10">
        <f t="shared" ref="N5:N36" si="1">M5/L5</f>
        <v>112.35294117647022</v>
      </c>
      <c r="O5" s="12">
        <f t="shared" ref="O5:O36" si="2">L5-I5</f>
        <v>0</v>
      </c>
      <c r="P5" s="13">
        <f t="shared" ref="P5:P36" si="3">N5-K5</f>
        <v>-5.2941176470591813</v>
      </c>
      <c r="Q5" s="122">
        <f t="shared" ref="Q5:Q36" si="4">N5/K5</f>
        <v>0.95499999999999696</v>
      </c>
      <c r="R5" s="442">
        <f>Q8</f>
        <v>0.94856060606060544</v>
      </c>
      <c r="S5" s="28">
        <v>0.70833333333333337</v>
      </c>
      <c r="T5" s="28">
        <v>0.72500000000000009</v>
      </c>
      <c r="U5" s="120"/>
      <c r="V5" s="129">
        <f>(T5-S5)*24*60</f>
        <v>24.000000000000075</v>
      </c>
      <c r="W5" s="16"/>
      <c r="X5" s="17"/>
      <c r="Y5" s="443"/>
      <c r="Z5" s="443"/>
      <c r="AA5" s="12">
        <f t="shared" ref="AA5:AA36" si="5">M5-J5</f>
        <v>-90.000000000006139</v>
      </c>
      <c r="AB5" s="122">
        <f t="shared" ref="AB5:AB36" si="6">M5/J5</f>
        <v>0.95499999999999696</v>
      </c>
      <c r="AC5" s="442">
        <f>AB8</f>
        <v>0.94856060606060544</v>
      </c>
    </row>
    <row r="6" spans="1:29">
      <c r="A6" s="474" t="s">
        <v>296</v>
      </c>
      <c r="B6" s="31" t="s">
        <v>58</v>
      </c>
      <c r="C6" s="475" t="s">
        <v>105</v>
      </c>
      <c r="D6" s="475"/>
      <c r="E6" s="31">
        <v>50.49</v>
      </c>
      <c r="F6" s="130">
        <v>1720</v>
      </c>
      <c r="G6" s="120">
        <f>E6*F6</f>
        <v>86842.8</v>
      </c>
      <c r="H6" s="131" t="s">
        <v>103</v>
      </c>
      <c r="I6" s="128">
        <v>16</v>
      </c>
      <c r="J6" s="26">
        <v>2000</v>
      </c>
      <c r="K6" s="10">
        <f t="shared" si="0"/>
        <v>125</v>
      </c>
      <c r="L6" s="128">
        <v>16</v>
      </c>
      <c r="M6" s="11">
        <f>F6/V6*60</f>
        <v>1876.3636363636376</v>
      </c>
      <c r="N6" s="10">
        <f t="shared" si="1"/>
        <v>117.27272727272735</v>
      </c>
      <c r="O6" s="12">
        <f t="shared" si="2"/>
        <v>0</v>
      </c>
      <c r="P6" s="13">
        <f t="shared" si="3"/>
        <v>-7.7272727272726485</v>
      </c>
      <c r="Q6" s="122">
        <f t="shared" si="4"/>
        <v>0.93818181818181878</v>
      </c>
      <c r="R6" s="442"/>
      <c r="S6" s="28">
        <v>0.73055555555555562</v>
      </c>
      <c r="T6" s="28">
        <v>0.76875000000000004</v>
      </c>
      <c r="U6" s="120">
        <f>(S6-T5)*24*60</f>
        <v>7.9999999999999716</v>
      </c>
      <c r="V6" s="129">
        <f>(T6-S6)*24*60</f>
        <v>54.999999999999964</v>
      </c>
      <c r="W6" s="16"/>
      <c r="X6" s="16"/>
      <c r="Y6" s="443"/>
      <c r="Z6" s="443"/>
      <c r="AA6" s="12">
        <f t="shared" si="5"/>
        <v>-123.63636363636238</v>
      </c>
      <c r="AB6" s="122">
        <f t="shared" si="6"/>
        <v>0.93818181818181878</v>
      </c>
      <c r="AC6" s="442"/>
    </row>
    <row r="7" spans="1:29">
      <c r="A7" s="474" t="s">
        <v>296</v>
      </c>
      <c r="B7" s="31" t="s">
        <v>58</v>
      </c>
      <c r="C7" s="471" t="s">
        <v>106</v>
      </c>
      <c r="D7" s="472"/>
      <c r="E7" s="31">
        <v>50.67</v>
      </c>
      <c r="F7" s="130">
        <v>1524</v>
      </c>
      <c r="G7" s="120">
        <f>E7*F7</f>
        <v>77221.08</v>
      </c>
      <c r="H7" s="131" t="s">
        <v>103</v>
      </c>
      <c r="I7" s="128">
        <v>18</v>
      </c>
      <c r="J7" s="26">
        <v>2000</v>
      </c>
      <c r="K7" s="10">
        <f t="shared" si="0"/>
        <v>111.11111111111111</v>
      </c>
      <c r="L7" s="128">
        <v>18</v>
      </c>
      <c r="M7" s="11">
        <f>F7/V7*60</f>
        <v>1905.0000000000007</v>
      </c>
      <c r="N7" s="10">
        <f t="shared" si="1"/>
        <v>105.83333333333337</v>
      </c>
      <c r="O7" s="12">
        <f t="shared" si="2"/>
        <v>0</v>
      </c>
      <c r="P7" s="13">
        <f t="shared" si="3"/>
        <v>-5.277777777777743</v>
      </c>
      <c r="Q7" s="122">
        <f t="shared" si="4"/>
        <v>0.95250000000000035</v>
      </c>
      <c r="R7" s="442"/>
      <c r="S7" s="28">
        <v>0.77222222222222225</v>
      </c>
      <c r="T7" s="28">
        <v>0.80555555555555558</v>
      </c>
      <c r="U7" s="120">
        <f>(S7-T6)*24*60</f>
        <v>4.9999999999999822</v>
      </c>
      <c r="V7" s="129">
        <f>(T7-S7)*24*60</f>
        <v>47.999999999999986</v>
      </c>
      <c r="W7" s="16"/>
      <c r="X7" s="16"/>
      <c r="Y7" s="447"/>
      <c r="Z7" s="448"/>
      <c r="AA7" s="12">
        <f t="shared" si="5"/>
        <v>-94.999999999999318</v>
      </c>
      <c r="AB7" s="122">
        <f t="shared" si="6"/>
        <v>0.95250000000000035</v>
      </c>
      <c r="AC7" s="442"/>
    </row>
    <row r="8" spans="1:29">
      <c r="A8" s="474" t="s">
        <v>296</v>
      </c>
      <c r="B8" s="31" t="s">
        <v>282</v>
      </c>
      <c r="C8" s="446"/>
      <c r="D8" s="446"/>
      <c r="E8" s="121"/>
      <c r="F8" s="33"/>
      <c r="G8" s="10"/>
      <c r="H8" s="130"/>
      <c r="I8" s="19">
        <v>17</v>
      </c>
      <c r="J8" s="26">
        <v>2000</v>
      </c>
      <c r="K8" s="10">
        <f t="shared" si="0"/>
        <v>117.64705882352941</v>
      </c>
      <c r="L8" s="19">
        <v>17</v>
      </c>
      <c r="M8" s="11">
        <f>AVERAGE(M5:M7)</f>
        <v>1897.1212121212109</v>
      </c>
      <c r="N8" s="10">
        <f t="shared" si="1"/>
        <v>111.59536541889476</v>
      </c>
      <c r="O8" s="12">
        <f t="shared" si="2"/>
        <v>0</v>
      </c>
      <c r="P8" s="13">
        <f t="shared" si="3"/>
        <v>-6.0516934046346478</v>
      </c>
      <c r="Q8" s="122">
        <f t="shared" si="4"/>
        <v>0.94856060606060544</v>
      </c>
      <c r="R8" s="442"/>
      <c r="S8" s="28"/>
      <c r="T8" s="28"/>
      <c r="U8" s="120"/>
      <c r="V8" s="129"/>
      <c r="W8" s="10"/>
      <c r="X8" s="10"/>
      <c r="Y8" s="443"/>
      <c r="Z8" s="443"/>
      <c r="AA8" s="12">
        <f t="shared" si="5"/>
        <v>-102.87878787878913</v>
      </c>
      <c r="AB8" s="122">
        <f t="shared" si="6"/>
        <v>0.94856060606060544</v>
      </c>
      <c r="AC8" s="442"/>
    </row>
    <row r="9" spans="1:29" ht="15.75" customHeight="1">
      <c r="A9" s="439" t="s">
        <v>295</v>
      </c>
      <c r="B9" s="31" t="s">
        <v>53</v>
      </c>
      <c r="C9" s="471" t="s">
        <v>107</v>
      </c>
      <c r="D9" s="472"/>
      <c r="E9" s="31">
        <v>39.619999999999997</v>
      </c>
      <c r="F9" s="130">
        <v>4439</v>
      </c>
      <c r="G9" s="120">
        <f>E9*F9</f>
        <v>175873.18</v>
      </c>
      <c r="H9" s="131" t="s">
        <v>103</v>
      </c>
      <c r="I9" s="128">
        <v>19</v>
      </c>
      <c r="J9" s="26">
        <v>1500</v>
      </c>
      <c r="K9" s="10">
        <f t="shared" si="0"/>
        <v>78.94736842105263</v>
      </c>
      <c r="L9" s="128">
        <v>19</v>
      </c>
      <c r="M9" s="11">
        <f>F9/V9*60</f>
        <v>1409.2063492063489</v>
      </c>
      <c r="N9" s="10">
        <f t="shared" si="1"/>
        <v>74.168755221386789</v>
      </c>
      <c r="O9" s="12">
        <f t="shared" si="2"/>
        <v>0</v>
      </c>
      <c r="P9" s="13">
        <f t="shared" si="3"/>
        <v>-4.7786131996658412</v>
      </c>
      <c r="Q9" s="122">
        <f t="shared" si="4"/>
        <v>0.93947089947089935</v>
      </c>
      <c r="R9" s="442">
        <f>Q13</f>
        <v>0.9412577621900664</v>
      </c>
      <c r="S9" s="28">
        <v>8.3333333333333329E-2</v>
      </c>
      <c r="T9" s="28">
        <v>0.21458333333333335</v>
      </c>
      <c r="U9" s="120"/>
      <c r="V9" s="129">
        <f>(T9-S9)*24*60</f>
        <v>189.00000000000006</v>
      </c>
      <c r="W9" s="16">
        <f>T9</f>
        <v>0.21458333333333335</v>
      </c>
      <c r="X9" s="16">
        <f>S10</f>
        <v>0.23194444444444443</v>
      </c>
      <c r="Y9" s="443"/>
      <c r="Z9" s="443"/>
      <c r="AA9" s="12">
        <f t="shared" si="5"/>
        <v>-90.793650793651068</v>
      </c>
      <c r="AB9" s="122">
        <f t="shared" si="6"/>
        <v>0.93947089947089923</v>
      </c>
      <c r="AC9" s="442">
        <f>AB13</f>
        <v>0.9412577621900664</v>
      </c>
    </row>
    <row r="10" spans="1:29" ht="15.75" customHeight="1">
      <c r="A10" s="439" t="s">
        <v>295</v>
      </c>
      <c r="B10" s="31" t="s">
        <v>53</v>
      </c>
      <c r="C10" s="471" t="s">
        <v>54</v>
      </c>
      <c r="D10" s="472"/>
      <c r="E10" s="31">
        <v>39.799999999999997</v>
      </c>
      <c r="F10" s="130">
        <v>4000</v>
      </c>
      <c r="G10" s="120">
        <f>E10*F10</f>
        <v>159200</v>
      </c>
      <c r="H10" s="131">
        <v>2</v>
      </c>
      <c r="I10" s="128">
        <v>17</v>
      </c>
      <c r="J10" s="26">
        <v>1500</v>
      </c>
      <c r="K10" s="10">
        <f t="shared" si="0"/>
        <v>88.235294117647058</v>
      </c>
      <c r="L10" s="128">
        <v>17</v>
      </c>
      <c r="M10" s="11">
        <f>F10/V10*60</f>
        <v>1411.7647058823532</v>
      </c>
      <c r="N10" s="10">
        <f t="shared" si="1"/>
        <v>83.044982698961945</v>
      </c>
      <c r="O10" s="12">
        <f t="shared" si="2"/>
        <v>0</v>
      </c>
      <c r="P10" s="13">
        <f t="shared" si="3"/>
        <v>-5.1903114186851127</v>
      </c>
      <c r="Q10" s="122">
        <f t="shared" si="4"/>
        <v>0.94117647058823539</v>
      </c>
      <c r="R10" s="442"/>
      <c r="S10" s="28">
        <v>0.23194444444444443</v>
      </c>
      <c r="T10" s="28">
        <v>0.35</v>
      </c>
      <c r="U10" s="120">
        <f>(S10-T9)*24*60</f>
        <v>24.99999999999995</v>
      </c>
      <c r="V10" s="129">
        <f>(T10-S10)*24*60</f>
        <v>169.99999999999997</v>
      </c>
      <c r="W10" s="16"/>
      <c r="X10" s="16"/>
      <c r="Y10" s="443"/>
      <c r="Z10" s="443"/>
      <c r="AA10" s="12">
        <f t="shared" si="5"/>
        <v>-88.235294117646845</v>
      </c>
      <c r="AB10" s="122">
        <f t="shared" si="6"/>
        <v>0.94117647058823539</v>
      </c>
      <c r="AC10" s="442"/>
    </row>
    <row r="11" spans="1:29" ht="15.75" customHeight="1">
      <c r="A11" s="439" t="s">
        <v>295</v>
      </c>
      <c r="B11" s="31" t="s">
        <v>53</v>
      </c>
      <c r="C11" s="471" t="s">
        <v>55</v>
      </c>
      <c r="D11" s="472"/>
      <c r="E11" s="31">
        <v>39.29</v>
      </c>
      <c r="F11" s="130">
        <v>3548</v>
      </c>
      <c r="G11" s="120">
        <f>E11*F11</f>
        <v>139400.91999999998</v>
      </c>
      <c r="H11" s="131" t="s">
        <v>103</v>
      </c>
      <c r="I11" s="128">
        <v>19</v>
      </c>
      <c r="J11" s="26">
        <v>1500</v>
      </c>
      <c r="K11" s="10">
        <f t="shared" si="0"/>
        <v>78.94736842105263</v>
      </c>
      <c r="L11" s="128">
        <v>19</v>
      </c>
      <c r="M11" s="11">
        <f>F11/V11*60</f>
        <v>1409.801324503311</v>
      </c>
      <c r="N11" s="10">
        <f t="shared" si="1"/>
        <v>74.200069710700575</v>
      </c>
      <c r="O11" s="12">
        <f t="shared" si="2"/>
        <v>0</v>
      </c>
      <c r="P11" s="13">
        <f t="shared" si="3"/>
        <v>-4.7472987103520552</v>
      </c>
      <c r="Q11" s="122">
        <f t="shared" si="4"/>
        <v>0.93986754966887398</v>
      </c>
      <c r="R11" s="442"/>
      <c r="S11" s="28">
        <v>0.35347222222222219</v>
      </c>
      <c r="T11" s="28">
        <v>0.45833333333333331</v>
      </c>
      <c r="U11" s="120">
        <f>(S11-T10)*24*60</f>
        <v>4.9999999999999822</v>
      </c>
      <c r="V11" s="129">
        <f>(T11-S11)*24*60</f>
        <v>151.00000000000003</v>
      </c>
      <c r="W11" s="16">
        <f>T11</f>
        <v>0.45833333333333331</v>
      </c>
      <c r="X11" s="16">
        <f>S12</f>
        <v>0.49722222222222218</v>
      </c>
      <c r="Y11" s="443"/>
      <c r="Z11" s="443"/>
      <c r="AA11" s="12">
        <f t="shared" si="5"/>
        <v>-90.19867549668902</v>
      </c>
      <c r="AB11" s="122">
        <f t="shared" si="6"/>
        <v>0.93986754966887398</v>
      </c>
      <c r="AC11" s="442"/>
    </row>
    <row r="12" spans="1:29" ht="15.75" customHeight="1">
      <c r="A12" s="439" t="s">
        <v>37</v>
      </c>
      <c r="B12" s="31" t="s">
        <v>53</v>
      </c>
      <c r="C12" s="471" t="s">
        <v>54</v>
      </c>
      <c r="D12" s="472"/>
      <c r="E12" s="31">
        <v>39.799999999999997</v>
      </c>
      <c r="F12" s="130">
        <v>2196</v>
      </c>
      <c r="G12" s="120">
        <f>E12*F12</f>
        <v>87400.799999999988</v>
      </c>
      <c r="H12" s="131" t="s">
        <v>103</v>
      </c>
      <c r="I12" s="128">
        <v>17</v>
      </c>
      <c r="J12" s="26">
        <v>1500</v>
      </c>
      <c r="K12" s="10">
        <f t="shared" si="0"/>
        <v>88.235294117647058</v>
      </c>
      <c r="L12" s="128">
        <v>17</v>
      </c>
      <c r="M12" s="11">
        <f>F12/V12*60</f>
        <v>1416.7741935483859</v>
      </c>
      <c r="N12" s="10">
        <f t="shared" si="1"/>
        <v>83.339658444022703</v>
      </c>
      <c r="O12" s="12">
        <f t="shared" si="2"/>
        <v>0</v>
      </c>
      <c r="P12" s="13">
        <f t="shared" si="3"/>
        <v>-4.8956356736243549</v>
      </c>
      <c r="Q12" s="122">
        <f t="shared" si="4"/>
        <v>0.94451612903225735</v>
      </c>
      <c r="R12" s="442"/>
      <c r="S12" s="28">
        <v>0.49722222222222218</v>
      </c>
      <c r="T12" s="28">
        <v>0.56180555555555556</v>
      </c>
      <c r="U12" s="120">
        <f>(S12-T11)*24*60</f>
        <v>55.999999999999957</v>
      </c>
      <c r="V12" s="129">
        <f>(T12-S12)*24*60</f>
        <v>93.000000000000071</v>
      </c>
      <c r="W12" s="16"/>
      <c r="X12" s="16"/>
      <c r="Y12" s="443"/>
      <c r="Z12" s="443"/>
      <c r="AA12" s="12">
        <f t="shared" si="5"/>
        <v>-83.225806451614062</v>
      </c>
      <c r="AB12" s="122">
        <f t="shared" si="6"/>
        <v>0.94451612903225735</v>
      </c>
      <c r="AC12" s="442"/>
    </row>
    <row r="13" spans="1:29" ht="16.5" customHeight="1">
      <c r="A13" s="439" t="s">
        <v>295</v>
      </c>
      <c r="B13" s="31" t="s">
        <v>282</v>
      </c>
      <c r="C13" s="446"/>
      <c r="D13" s="446"/>
      <c r="E13" s="121"/>
      <c r="F13" s="26"/>
      <c r="G13" s="11"/>
      <c r="H13" s="130"/>
      <c r="I13" s="19">
        <v>18</v>
      </c>
      <c r="J13" s="26">
        <v>1500</v>
      </c>
      <c r="K13" s="10">
        <f t="shared" si="0"/>
        <v>83.333333333333329</v>
      </c>
      <c r="L13" s="19">
        <v>18</v>
      </c>
      <c r="M13" s="11">
        <f>AVERAGE(M9:M12)</f>
        <v>1411.8866432850996</v>
      </c>
      <c r="N13" s="10">
        <f t="shared" si="1"/>
        <v>78.438146849172199</v>
      </c>
      <c r="O13" s="12">
        <f t="shared" si="2"/>
        <v>0</v>
      </c>
      <c r="P13" s="13">
        <f t="shared" si="3"/>
        <v>-4.8951864841611297</v>
      </c>
      <c r="Q13" s="122">
        <f t="shared" si="4"/>
        <v>0.9412577621900664</v>
      </c>
      <c r="R13" s="442"/>
      <c r="S13" s="28"/>
      <c r="T13" s="28"/>
      <c r="U13" s="10"/>
      <c r="V13" s="129"/>
      <c r="W13" s="10"/>
      <c r="X13" s="10"/>
      <c r="Y13" s="443"/>
      <c r="Z13" s="443"/>
      <c r="AA13" s="12">
        <f t="shared" si="5"/>
        <v>-88.113356714900419</v>
      </c>
      <c r="AB13" s="122">
        <f t="shared" si="6"/>
        <v>0.9412577621900664</v>
      </c>
      <c r="AC13" s="442"/>
    </row>
    <row r="14" spans="1:29" ht="16.5" customHeight="1">
      <c r="A14" s="469" t="s">
        <v>294</v>
      </c>
      <c r="B14" s="130" t="s">
        <v>56</v>
      </c>
      <c r="C14" s="464" t="s">
        <v>57</v>
      </c>
      <c r="D14" s="464"/>
      <c r="E14" s="31">
        <v>41</v>
      </c>
      <c r="F14" s="130">
        <v>1720</v>
      </c>
      <c r="G14" s="120">
        <f>E14*F14</f>
        <v>70520</v>
      </c>
      <c r="H14" s="131" t="s">
        <v>103</v>
      </c>
      <c r="I14" s="128">
        <v>26</v>
      </c>
      <c r="J14" s="26">
        <v>1500</v>
      </c>
      <c r="K14" s="10">
        <f t="shared" si="0"/>
        <v>57.692307692307693</v>
      </c>
      <c r="L14" s="128">
        <v>26</v>
      </c>
      <c r="M14" s="11">
        <f>F14/V14*60</f>
        <v>1413.6986301369859</v>
      </c>
      <c r="N14" s="10">
        <f t="shared" si="1"/>
        <v>54.373024236037921</v>
      </c>
      <c r="O14" s="12">
        <f t="shared" si="2"/>
        <v>0</v>
      </c>
      <c r="P14" s="13">
        <f t="shared" si="3"/>
        <v>-3.3192834562697726</v>
      </c>
      <c r="Q14" s="122">
        <f t="shared" si="4"/>
        <v>0.94246575342465733</v>
      </c>
      <c r="R14" s="442">
        <f>Q18</f>
        <v>0.94095843757365016</v>
      </c>
      <c r="S14" s="28">
        <v>0.20833333333333334</v>
      </c>
      <c r="T14" s="28">
        <v>0.2590277777777778</v>
      </c>
      <c r="U14" s="120"/>
      <c r="V14" s="129">
        <f>(T14-S14)*24*60</f>
        <v>73.000000000000014</v>
      </c>
      <c r="W14" s="18"/>
      <c r="X14" s="18"/>
      <c r="Y14" s="443"/>
      <c r="Z14" s="443"/>
      <c r="AA14" s="12">
        <f t="shared" si="5"/>
        <v>-86.301369863014088</v>
      </c>
      <c r="AB14" s="122">
        <f t="shared" si="6"/>
        <v>0.94246575342465733</v>
      </c>
      <c r="AC14" s="442">
        <f>AB18</f>
        <v>0.94095843757365016</v>
      </c>
    </row>
    <row r="15" spans="1:29" ht="16.5" customHeight="1">
      <c r="A15" s="470" t="s">
        <v>294</v>
      </c>
      <c r="B15" s="130" t="s">
        <v>53</v>
      </c>
      <c r="C15" s="464" t="s">
        <v>163</v>
      </c>
      <c r="D15" s="464"/>
      <c r="E15" s="31">
        <v>37.5</v>
      </c>
      <c r="F15" s="130">
        <v>5946</v>
      </c>
      <c r="G15" s="120">
        <f>E15*F15</f>
        <v>222975</v>
      </c>
      <c r="H15" s="131" t="s">
        <v>103</v>
      </c>
      <c r="I15" s="128">
        <v>21</v>
      </c>
      <c r="J15" s="26">
        <v>1500</v>
      </c>
      <c r="K15" s="10">
        <f t="shared" si="0"/>
        <v>71.428571428571431</v>
      </c>
      <c r="L15" s="128">
        <v>21</v>
      </c>
      <c r="M15" s="11">
        <f>F15/V15*60</f>
        <v>1404.5669291338586</v>
      </c>
      <c r="N15" s="10">
        <f t="shared" si="1"/>
        <v>66.884139482564692</v>
      </c>
      <c r="O15" s="12">
        <f t="shared" si="2"/>
        <v>0</v>
      </c>
      <c r="P15" s="13">
        <f t="shared" si="3"/>
        <v>-4.5444319460067391</v>
      </c>
      <c r="Q15" s="122">
        <f t="shared" si="4"/>
        <v>0.93637795275590563</v>
      </c>
      <c r="R15" s="442"/>
      <c r="S15" s="28">
        <v>0.26250000000000001</v>
      </c>
      <c r="T15" s="28">
        <v>0.43888888888888888</v>
      </c>
      <c r="U15" s="120">
        <f>IF(S15=TIME(17,0,0),"",(S15-T14)*24*60)</f>
        <v>4.9999999999999822</v>
      </c>
      <c r="V15" s="129">
        <f>(T15-S15)*24*60</f>
        <v>253.99999999999994</v>
      </c>
      <c r="W15" s="16"/>
      <c r="X15" s="16"/>
      <c r="Y15" s="443"/>
      <c r="Z15" s="443"/>
      <c r="AA15" s="12">
        <f t="shared" si="5"/>
        <v>-95.433070866141406</v>
      </c>
      <c r="AB15" s="122">
        <f t="shared" si="6"/>
        <v>0.93637795275590574</v>
      </c>
      <c r="AC15" s="442"/>
    </row>
    <row r="16" spans="1:29" ht="16.5" customHeight="1">
      <c r="A16" s="470" t="s">
        <v>294</v>
      </c>
      <c r="B16" s="130" t="s">
        <v>58</v>
      </c>
      <c r="C16" s="464" t="s">
        <v>59</v>
      </c>
      <c r="D16" s="464"/>
      <c r="E16" s="31">
        <v>50.98</v>
      </c>
      <c r="F16" s="130">
        <v>2327</v>
      </c>
      <c r="G16" s="120">
        <f>E16*F16</f>
        <v>118630.45999999999</v>
      </c>
      <c r="H16" s="131" t="s">
        <v>103</v>
      </c>
      <c r="I16" s="128">
        <v>17</v>
      </c>
      <c r="J16" s="26">
        <v>2000</v>
      </c>
      <c r="K16" s="10">
        <f t="shared" si="0"/>
        <v>117.64705882352941</v>
      </c>
      <c r="L16" s="128">
        <v>17</v>
      </c>
      <c r="M16" s="11">
        <f>F16/V16*60</f>
        <v>1886.7567567567553</v>
      </c>
      <c r="N16" s="10">
        <f t="shared" si="1"/>
        <v>110.98569157392679</v>
      </c>
      <c r="O16" s="12">
        <f t="shared" si="2"/>
        <v>0</v>
      </c>
      <c r="P16" s="13">
        <f t="shared" si="3"/>
        <v>-6.6613672496026197</v>
      </c>
      <c r="Q16" s="122">
        <f t="shared" si="4"/>
        <v>0.94337837837837768</v>
      </c>
      <c r="R16" s="442"/>
      <c r="S16" s="28">
        <v>0.70833333333333337</v>
      </c>
      <c r="T16" s="28">
        <v>0.7597222222222223</v>
      </c>
      <c r="U16" s="120" t="str">
        <f>IF(S16=TIME(17,0,0),"",(S16-T15)*24*60)</f>
        <v/>
      </c>
      <c r="V16" s="129">
        <f>(T16-S16)*24*60</f>
        <v>74.000000000000057</v>
      </c>
      <c r="W16" s="16"/>
      <c r="X16" s="16"/>
      <c r="Y16" s="443"/>
      <c r="Z16" s="443"/>
      <c r="AA16" s="12">
        <f t="shared" si="5"/>
        <v>-113.24324324324471</v>
      </c>
      <c r="AB16" s="122">
        <f t="shared" si="6"/>
        <v>0.94337837837837768</v>
      </c>
      <c r="AC16" s="442"/>
    </row>
    <row r="17" spans="1:29" ht="16.5" customHeight="1">
      <c r="A17" s="470" t="s">
        <v>294</v>
      </c>
      <c r="B17" s="130" t="s">
        <v>58</v>
      </c>
      <c r="C17" s="464" t="s">
        <v>60</v>
      </c>
      <c r="D17" s="464"/>
      <c r="E17" s="31">
        <v>50.92</v>
      </c>
      <c r="F17" s="130">
        <v>2603</v>
      </c>
      <c r="G17" s="120">
        <f>E17*F17</f>
        <v>132544.76</v>
      </c>
      <c r="H17" s="131" t="s">
        <v>103</v>
      </c>
      <c r="I17" s="128">
        <v>16</v>
      </c>
      <c r="J17" s="26">
        <v>2000</v>
      </c>
      <c r="K17" s="10">
        <f t="shared" si="0"/>
        <v>125</v>
      </c>
      <c r="L17" s="128">
        <v>16</v>
      </c>
      <c r="M17" s="11">
        <f>F17/V17*60</f>
        <v>1881.6867469879512</v>
      </c>
      <c r="N17" s="10">
        <f t="shared" si="1"/>
        <v>117.60542168674695</v>
      </c>
      <c r="O17" s="12">
        <f t="shared" si="2"/>
        <v>0</v>
      </c>
      <c r="P17" s="13">
        <f t="shared" si="3"/>
        <v>-7.3945783132530494</v>
      </c>
      <c r="Q17" s="122">
        <f t="shared" si="4"/>
        <v>0.94084337349397562</v>
      </c>
      <c r="R17" s="442"/>
      <c r="S17" s="28">
        <v>0.76319444444444451</v>
      </c>
      <c r="T17" s="28">
        <v>0.82083333333333341</v>
      </c>
      <c r="U17" s="120">
        <f>IF(S17=TIME(17,0,0),"",(S17-T16)*24*60)</f>
        <v>4.9999999999999822</v>
      </c>
      <c r="V17" s="129">
        <f>(T17-S17)*24*60</f>
        <v>83.000000000000028</v>
      </c>
      <c r="W17" s="16"/>
      <c r="X17" s="16"/>
      <c r="Y17" s="443"/>
      <c r="Z17" s="443"/>
      <c r="AA17" s="12">
        <f t="shared" si="5"/>
        <v>-118.31325301204879</v>
      </c>
      <c r="AB17" s="122">
        <f t="shared" si="6"/>
        <v>0.94084337349397562</v>
      </c>
      <c r="AC17" s="442"/>
    </row>
    <row r="18" spans="1:29" ht="16.5" customHeight="1">
      <c r="A18" s="470" t="s">
        <v>293</v>
      </c>
      <c r="B18" s="31" t="s">
        <v>286</v>
      </c>
      <c r="C18" s="446"/>
      <c r="D18" s="446"/>
      <c r="E18" s="121"/>
      <c r="F18" s="33"/>
      <c r="G18" s="10"/>
      <c r="H18" s="130"/>
      <c r="I18" s="19">
        <v>20</v>
      </c>
      <c r="J18" s="26">
        <v>1750</v>
      </c>
      <c r="K18" s="10">
        <f t="shared" si="0"/>
        <v>87.5</v>
      </c>
      <c r="L18" s="19">
        <v>20</v>
      </c>
      <c r="M18" s="11">
        <f>AVERAGE(M14:M17)</f>
        <v>1646.6772657538877</v>
      </c>
      <c r="N18" s="10">
        <f t="shared" si="1"/>
        <v>82.333863287694385</v>
      </c>
      <c r="O18" s="12">
        <f t="shared" si="2"/>
        <v>0</v>
      </c>
      <c r="P18" s="13">
        <f t="shared" si="3"/>
        <v>-5.1661367123056152</v>
      </c>
      <c r="Q18" s="122">
        <f t="shared" si="4"/>
        <v>0.94095843757365016</v>
      </c>
      <c r="R18" s="442"/>
      <c r="S18" s="28"/>
      <c r="T18" s="28"/>
      <c r="U18" s="120"/>
      <c r="V18" s="129"/>
      <c r="W18" s="10"/>
      <c r="X18" s="10"/>
      <c r="Y18" s="443"/>
      <c r="Z18" s="443"/>
      <c r="AA18" s="12">
        <f t="shared" si="5"/>
        <v>-103.3227342461123</v>
      </c>
      <c r="AB18" s="122">
        <f t="shared" si="6"/>
        <v>0.94095843757365016</v>
      </c>
      <c r="AC18" s="442"/>
    </row>
    <row r="19" spans="1:29" ht="15.75" customHeight="1">
      <c r="A19" s="467" t="s">
        <v>292</v>
      </c>
      <c r="B19" s="31" t="s">
        <v>56</v>
      </c>
      <c r="C19" s="464" t="s">
        <v>61</v>
      </c>
      <c r="D19" s="464"/>
      <c r="E19" s="31">
        <v>43.14</v>
      </c>
      <c r="F19" s="130">
        <v>1489</v>
      </c>
      <c r="G19" s="120">
        <f>E19*F19</f>
        <v>64235.46</v>
      </c>
      <c r="H19" s="131" t="s">
        <v>103</v>
      </c>
      <c r="I19" s="128">
        <v>17</v>
      </c>
      <c r="J19" s="26">
        <v>2000</v>
      </c>
      <c r="K19" s="10">
        <f t="shared" si="0"/>
        <v>117.64705882352941</v>
      </c>
      <c r="L19" s="128">
        <v>17</v>
      </c>
      <c r="M19" s="11">
        <f>F19/V19*60</f>
        <v>1900.8510638297876</v>
      </c>
      <c r="N19" s="10">
        <f t="shared" si="1"/>
        <v>111.81476846057573</v>
      </c>
      <c r="O19" s="12">
        <f t="shared" si="2"/>
        <v>0</v>
      </c>
      <c r="P19" s="13">
        <f t="shared" si="3"/>
        <v>-5.8322903629536711</v>
      </c>
      <c r="Q19" s="122">
        <f t="shared" si="4"/>
        <v>0.95042553191489376</v>
      </c>
      <c r="R19" s="442">
        <f>Q24</f>
        <v>0.95165689325139058</v>
      </c>
      <c r="S19" s="28">
        <v>0.20833333333333334</v>
      </c>
      <c r="T19" s="28">
        <v>0.24097222222222223</v>
      </c>
      <c r="U19" s="120"/>
      <c r="V19" s="129">
        <f>(T19-S19)*24*60</f>
        <v>46.999999999999993</v>
      </c>
      <c r="W19" s="18"/>
      <c r="X19" s="18"/>
      <c r="Y19" s="443"/>
      <c r="Z19" s="443"/>
      <c r="AA19" s="12">
        <f t="shared" si="5"/>
        <v>-99.148936170212437</v>
      </c>
      <c r="AB19" s="122">
        <f t="shared" si="6"/>
        <v>0.95042553191489376</v>
      </c>
      <c r="AC19" s="442">
        <f>AB24</f>
        <v>0.95165689325139047</v>
      </c>
    </row>
    <row r="20" spans="1:29" ht="15.75" customHeight="1">
      <c r="A20" s="468" t="s">
        <v>292</v>
      </c>
      <c r="B20" s="31" t="s">
        <v>58</v>
      </c>
      <c r="C20" s="464" t="s">
        <v>62</v>
      </c>
      <c r="D20" s="464"/>
      <c r="E20" s="31">
        <v>57.73</v>
      </c>
      <c r="F20" s="130">
        <v>2480</v>
      </c>
      <c r="G20" s="120">
        <f>E20*F20</f>
        <v>143170.4</v>
      </c>
      <c r="H20" s="131" t="s">
        <v>103</v>
      </c>
      <c r="I20" s="128">
        <v>16</v>
      </c>
      <c r="J20" s="26">
        <v>2000</v>
      </c>
      <c r="K20" s="10">
        <f t="shared" si="0"/>
        <v>125</v>
      </c>
      <c r="L20" s="128">
        <v>16</v>
      </c>
      <c r="M20" s="11">
        <f>F20/V20*60</f>
        <v>1883.5443037974674</v>
      </c>
      <c r="N20" s="10">
        <f t="shared" si="1"/>
        <v>117.72151898734171</v>
      </c>
      <c r="O20" s="12">
        <f t="shared" si="2"/>
        <v>0</v>
      </c>
      <c r="P20" s="13">
        <f t="shared" si="3"/>
        <v>-7.2784810126582897</v>
      </c>
      <c r="Q20" s="122">
        <f t="shared" si="4"/>
        <v>0.94177215189873364</v>
      </c>
      <c r="R20" s="442"/>
      <c r="S20" s="28">
        <v>0.24583333333333335</v>
      </c>
      <c r="T20" s="28">
        <v>0.30069444444444449</v>
      </c>
      <c r="U20" s="120">
        <f>IF(S20=TIME(17,0,0),"",(S20-T19)*24*60)</f>
        <v>7.0000000000000151</v>
      </c>
      <c r="V20" s="129">
        <f>(T20-S20)*24*60</f>
        <v>79.000000000000043</v>
      </c>
      <c r="W20" s="16"/>
      <c r="X20" s="120"/>
      <c r="Y20" s="443"/>
      <c r="Z20" s="443"/>
      <c r="AA20" s="12">
        <f t="shared" si="5"/>
        <v>-116.45569620253264</v>
      </c>
      <c r="AB20" s="122">
        <f t="shared" si="6"/>
        <v>0.94177215189873364</v>
      </c>
      <c r="AC20" s="442"/>
    </row>
    <row r="21" spans="1:29" ht="15.75" customHeight="1">
      <c r="A21" s="468" t="s">
        <v>292</v>
      </c>
      <c r="B21" s="31" t="s">
        <v>58</v>
      </c>
      <c r="C21" s="464" t="s">
        <v>63</v>
      </c>
      <c r="D21" s="464"/>
      <c r="E21" s="31">
        <v>53.68</v>
      </c>
      <c r="F21" s="130">
        <v>1665</v>
      </c>
      <c r="G21" s="120">
        <f>E21*F21</f>
        <v>89377.2</v>
      </c>
      <c r="H21" s="131" t="s">
        <v>103</v>
      </c>
      <c r="I21" s="128">
        <v>17</v>
      </c>
      <c r="J21" s="26">
        <v>2000</v>
      </c>
      <c r="K21" s="10">
        <f t="shared" si="0"/>
        <v>117.64705882352941</v>
      </c>
      <c r="L21" s="128">
        <v>17</v>
      </c>
      <c r="M21" s="11">
        <f>F21/V21*60</f>
        <v>1884.9056603773595</v>
      </c>
      <c r="N21" s="10">
        <f t="shared" si="1"/>
        <v>110.87680355160938</v>
      </c>
      <c r="O21" s="12">
        <f t="shared" si="2"/>
        <v>0</v>
      </c>
      <c r="P21" s="13">
        <f t="shared" si="3"/>
        <v>-6.7702552719200213</v>
      </c>
      <c r="Q21" s="122">
        <f t="shared" si="4"/>
        <v>0.94245283018867987</v>
      </c>
      <c r="R21" s="442"/>
      <c r="S21" s="28">
        <v>0.30625000000000002</v>
      </c>
      <c r="T21" s="28">
        <v>0.34305555555555556</v>
      </c>
      <c r="U21" s="120">
        <f>IF(S21=TIME(17,0,0),"",(S21-T20)*24*60)</f>
        <v>7.9999999999999716</v>
      </c>
      <c r="V21" s="129">
        <f>(T21-S21)*24*60</f>
        <v>52.999999999999972</v>
      </c>
      <c r="W21" s="16"/>
      <c r="X21" s="120"/>
      <c r="Y21" s="443"/>
      <c r="Z21" s="443"/>
      <c r="AA21" s="12">
        <f t="shared" si="5"/>
        <v>-115.09433962264052</v>
      </c>
      <c r="AB21" s="122">
        <f t="shared" si="6"/>
        <v>0.94245283018867976</v>
      </c>
      <c r="AC21" s="442"/>
    </row>
    <row r="22" spans="1:29" ht="15.75" customHeight="1">
      <c r="A22" s="468" t="s">
        <v>292</v>
      </c>
      <c r="B22" s="31" t="s">
        <v>58</v>
      </c>
      <c r="C22" s="464" t="s">
        <v>65</v>
      </c>
      <c r="D22" s="464"/>
      <c r="E22" s="31">
        <v>54.09</v>
      </c>
      <c r="F22" s="130">
        <v>2741</v>
      </c>
      <c r="G22" s="120">
        <f>E22*F22</f>
        <v>148260.69</v>
      </c>
      <c r="H22" s="131" t="s">
        <v>103</v>
      </c>
      <c r="I22" s="128">
        <v>20</v>
      </c>
      <c r="J22" s="26">
        <v>2000</v>
      </c>
      <c r="K22" s="10">
        <f t="shared" si="0"/>
        <v>100</v>
      </c>
      <c r="L22" s="128">
        <v>20</v>
      </c>
      <c r="M22" s="11">
        <f>F22/V22*60</f>
        <v>1890.3448275862065</v>
      </c>
      <c r="N22" s="10">
        <f t="shared" si="1"/>
        <v>94.51724137931032</v>
      </c>
      <c r="O22" s="12">
        <f t="shared" si="2"/>
        <v>0</v>
      </c>
      <c r="P22" s="13">
        <f t="shared" si="3"/>
        <v>-5.4827586206896797</v>
      </c>
      <c r="Q22" s="122">
        <f t="shared" si="4"/>
        <v>0.94517241379310324</v>
      </c>
      <c r="R22" s="442"/>
      <c r="S22" s="28">
        <v>0.70833333333333337</v>
      </c>
      <c r="T22" s="28">
        <v>0.76875000000000004</v>
      </c>
      <c r="U22" s="120" t="str">
        <f>IF(S22=TIME(17,0,0),"",(S22-T21)*24*60)</f>
        <v/>
      </c>
      <c r="V22" s="129">
        <f>(T22-S22)*24*60</f>
        <v>87.000000000000014</v>
      </c>
      <c r="W22" s="16"/>
      <c r="X22" s="120"/>
      <c r="Y22" s="443"/>
      <c r="Z22" s="443"/>
      <c r="AA22" s="12">
        <f t="shared" si="5"/>
        <v>-109.65517241379348</v>
      </c>
      <c r="AB22" s="122">
        <f t="shared" si="6"/>
        <v>0.94517241379310324</v>
      </c>
      <c r="AC22" s="442"/>
    </row>
    <row r="23" spans="1:29" ht="15.75" customHeight="1">
      <c r="A23" s="468" t="s">
        <v>292</v>
      </c>
      <c r="B23" s="31" t="s">
        <v>58</v>
      </c>
      <c r="C23" s="464" t="s">
        <v>66</v>
      </c>
      <c r="D23" s="464"/>
      <c r="E23" s="31">
        <v>53.27</v>
      </c>
      <c r="F23" s="130">
        <v>424</v>
      </c>
      <c r="G23" s="120">
        <f>E23*F23</f>
        <v>22586.48</v>
      </c>
      <c r="H23" s="131" t="s">
        <v>103</v>
      </c>
      <c r="I23" s="128">
        <v>15</v>
      </c>
      <c r="J23" s="26">
        <v>2000</v>
      </c>
      <c r="K23" s="10">
        <f t="shared" si="0"/>
        <v>133.33333333333334</v>
      </c>
      <c r="L23" s="128">
        <v>15</v>
      </c>
      <c r="M23" s="11">
        <f>F23/V23*60</f>
        <v>1956.923076923084</v>
      </c>
      <c r="N23" s="10">
        <f t="shared" si="1"/>
        <v>130.46153846153894</v>
      </c>
      <c r="O23" s="12">
        <f t="shared" si="2"/>
        <v>0</v>
      </c>
      <c r="P23" s="13">
        <f t="shared" si="3"/>
        <v>-2.8717948717944068</v>
      </c>
      <c r="Q23" s="122">
        <f t="shared" si="4"/>
        <v>0.97846153846154194</v>
      </c>
      <c r="R23" s="442"/>
      <c r="S23" s="28">
        <v>0.77222222222222225</v>
      </c>
      <c r="T23" s="28">
        <v>0.78125</v>
      </c>
      <c r="U23" s="120">
        <f>IF(S23=TIME(17,0,0),"",(S23-T22)*24*60)</f>
        <v>4.9999999999999822</v>
      </c>
      <c r="V23" s="129">
        <f>(T23-S23)*24*60</f>
        <v>12.999999999999954</v>
      </c>
      <c r="W23" s="16"/>
      <c r="X23" s="120"/>
      <c r="Y23" s="443"/>
      <c r="Z23" s="443"/>
      <c r="AA23" s="12">
        <f t="shared" si="5"/>
        <v>-43.076923076916046</v>
      </c>
      <c r="AB23" s="122">
        <f t="shared" si="6"/>
        <v>0.97846153846154194</v>
      </c>
      <c r="AC23" s="442"/>
    </row>
    <row r="24" spans="1:29" ht="15.75" customHeight="1">
      <c r="A24" s="468" t="s">
        <v>292</v>
      </c>
      <c r="B24" s="31" t="s">
        <v>286</v>
      </c>
      <c r="C24" s="446"/>
      <c r="D24" s="446"/>
      <c r="E24" s="121"/>
      <c r="F24" s="130"/>
      <c r="G24" s="120"/>
      <c r="H24" s="130"/>
      <c r="I24" s="19">
        <v>17</v>
      </c>
      <c r="J24" s="26">
        <v>2000</v>
      </c>
      <c r="K24" s="10">
        <f t="shared" si="0"/>
        <v>117.64705882352941</v>
      </c>
      <c r="L24" s="19">
        <v>17</v>
      </c>
      <c r="M24" s="11">
        <f>AVERAGE(M19:M23)</f>
        <v>1903.3137865027809</v>
      </c>
      <c r="N24" s="10">
        <f t="shared" si="1"/>
        <v>111.95963450016359</v>
      </c>
      <c r="O24" s="12">
        <f t="shared" si="2"/>
        <v>0</v>
      </c>
      <c r="P24" s="13">
        <f t="shared" si="3"/>
        <v>-5.6874243233658177</v>
      </c>
      <c r="Q24" s="122">
        <f t="shared" si="4"/>
        <v>0.95165689325139058</v>
      </c>
      <c r="R24" s="442"/>
      <c r="S24" s="28"/>
      <c r="T24" s="28"/>
      <c r="U24" s="10"/>
      <c r="V24" s="129"/>
      <c r="W24" s="10"/>
      <c r="X24" s="10"/>
      <c r="Y24" s="443"/>
      <c r="Z24" s="443"/>
      <c r="AA24" s="12">
        <f t="shared" si="5"/>
        <v>-96.686213497219114</v>
      </c>
      <c r="AB24" s="122">
        <f t="shared" si="6"/>
        <v>0.95165689325139047</v>
      </c>
      <c r="AC24" s="442"/>
    </row>
    <row r="25" spans="1:29" ht="15.75" customHeight="1">
      <c r="A25" s="463" t="s">
        <v>291</v>
      </c>
      <c r="B25" s="31" t="s">
        <v>67</v>
      </c>
      <c r="C25" s="464" t="s">
        <v>68</v>
      </c>
      <c r="D25" s="464"/>
      <c r="E25" s="31">
        <v>26.2</v>
      </c>
      <c r="F25" s="130">
        <v>4072</v>
      </c>
      <c r="G25" s="120">
        <f t="shared" ref="G25:G31" si="7">E25*F25</f>
        <v>106686.39999999999</v>
      </c>
      <c r="H25" s="131" t="s">
        <v>103</v>
      </c>
      <c r="I25" s="128">
        <v>20</v>
      </c>
      <c r="J25" s="26">
        <v>2400</v>
      </c>
      <c r="K25" s="10">
        <f t="shared" si="0"/>
        <v>120</v>
      </c>
      <c r="L25" s="128">
        <v>20</v>
      </c>
      <c r="M25" s="11">
        <f t="shared" ref="M25:M31" si="8">F25/V25*60</f>
        <v>2262.2222222222226</v>
      </c>
      <c r="N25" s="10">
        <f t="shared" si="1"/>
        <v>113.11111111111113</v>
      </c>
      <c r="O25" s="12">
        <f t="shared" si="2"/>
        <v>0</v>
      </c>
      <c r="P25" s="13">
        <f t="shared" si="3"/>
        <v>-6.8888888888888715</v>
      </c>
      <c r="Q25" s="122">
        <f t="shared" si="4"/>
        <v>0.94259259259259276</v>
      </c>
      <c r="R25" s="442">
        <f>Q32</f>
        <v>0.94127991409229939</v>
      </c>
      <c r="S25" s="28">
        <v>8.3333333333333329E-2</v>
      </c>
      <c r="T25" s="28">
        <v>0.15833333333333333</v>
      </c>
      <c r="U25" s="120"/>
      <c r="V25" s="129">
        <f t="shared" ref="V25:V31" si="9">(T25-S25)*24*60</f>
        <v>107.99999999999999</v>
      </c>
      <c r="W25" s="16">
        <f>T25</f>
        <v>0.15833333333333333</v>
      </c>
      <c r="X25" s="16">
        <f>S26</f>
        <v>0.17777777777777778</v>
      </c>
      <c r="Y25" s="443"/>
      <c r="Z25" s="443"/>
      <c r="AA25" s="12">
        <f t="shared" si="5"/>
        <v>-137.77777777777737</v>
      </c>
      <c r="AB25" s="122">
        <f t="shared" si="6"/>
        <v>0.94259259259259276</v>
      </c>
      <c r="AC25" s="442">
        <f>AB32</f>
        <v>0.9412799140922995</v>
      </c>
    </row>
    <row r="26" spans="1:29" ht="15.75" customHeight="1">
      <c r="A26" s="463" t="s">
        <v>291</v>
      </c>
      <c r="B26" s="31" t="s">
        <v>67</v>
      </c>
      <c r="C26" s="464" t="s">
        <v>69</v>
      </c>
      <c r="D26" s="464"/>
      <c r="E26" s="31">
        <v>31.29</v>
      </c>
      <c r="F26" s="130">
        <v>5000</v>
      </c>
      <c r="G26" s="120">
        <f t="shared" si="7"/>
        <v>156450</v>
      </c>
      <c r="H26" s="131">
        <v>2</v>
      </c>
      <c r="I26" s="128">
        <v>16</v>
      </c>
      <c r="J26" s="26">
        <v>2400</v>
      </c>
      <c r="K26" s="10">
        <f t="shared" si="0"/>
        <v>150</v>
      </c>
      <c r="L26" s="128">
        <v>16</v>
      </c>
      <c r="M26" s="11">
        <f t="shared" si="8"/>
        <v>2255.6390977443598</v>
      </c>
      <c r="N26" s="10">
        <f t="shared" si="1"/>
        <v>140.97744360902249</v>
      </c>
      <c r="O26" s="12">
        <f t="shared" si="2"/>
        <v>0</v>
      </c>
      <c r="P26" s="13">
        <f t="shared" si="3"/>
        <v>-9.0225563909775133</v>
      </c>
      <c r="Q26" s="122">
        <f t="shared" si="4"/>
        <v>0.93984962406014994</v>
      </c>
      <c r="R26" s="442"/>
      <c r="S26" s="28">
        <v>0.17777777777777778</v>
      </c>
      <c r="T26" s="28">
        <v>0.27013888888888893</v>
      </c>
      <c r="U26" s="120">
        <f t="shared" ref="U26:U31" si="10">(S26-T25)*24*60</f>
        <v>28.000000000000021</v>
      </c>
      <c r="V26" s="129">
        <f t="shared" si="9"/>
        <v>133.00000000000006</v>
      </c>
      <c r="W26" s="16"/>
      <c r="X26" s="16"/>
      <c r="Y26" s="443"/>
      <c r="Z26" s="443"/>
      <c r="AA26" s="12">
        <f t="shared" si="5"/>
        <v>-144.36090225564021</v>
      </c>
      <c r="AB26" s="122">
        <f t="shared" si="6"/>
        <v>0.93984962406014994</v>
      </c>
      <c r="AC26" s="442"/>
    </row>
    <row r="27" spans="1:29" ht="15.75" customHeight="1">
      <c r="A27" s="463" t="s">
        <v>291</v>
      </c>
      <c r="B27" s="31" t="s">
        <v>67</v>
      </c>
      <c r="C27" s="464" t="s">
        <v>70</v>
      </c>
      <c r="D27" s="464"/>
      <c r="E27" s="31">
        <v>24.25</v>
      </c>
      <c r="F27" s="130">
        <v>3910</v>
      </c>
      <c r="G27" s="120">
        <f t="shared" si="7"/>
        <v>94817.5</v>
      </c>
      <c r="H27" s="131" t="s">
        <v>103</v>
      </c>
      <c r="I27" s="128">
        <v>18</v>
      </c>
      <c r="J27" s="26">
        <v>2400</v>
      </c>
      <c r="K27" s="10">
        <f t="shared" si="0"/>
        <v>133.33333333333334</v>
      </c>
      <c r="L27" s="128">
        <v>18</v>
      </c>
      <c r="M27" s="11">
        <f t="shared" si="8"/>
        <v>2255.76923076923</v>
      </c>
      <c r="N27" s="10">
        <f t="shared" si="1"/>
        <v>125.32051282051277</v>
      </c>
      <c r="O27" s="12">
        <f t="shared" si="2"/>
        <v>0</v>
      </c>
      <c r="P27" s="13">
        <f t="shared" si="3"/>
        <v>-8.0128205128205678</v>
      </c>
      <c r="Q27" s="122">
        <f t="shared" si="4"/>
        <v>0.9399038461538457</v>
      </c>
      <c r="R27" s="442"/>
      <c r="S27" s="28">
        <v>0.27500000000000002</v>
      </c>
      <c r="T27" s="28">
        <v>0.34722222222222227</v>
      </c>
      <c r="U27" s="120">
        <f t="shared" si="10"/>
        <v>6.9999999999999751</v>
      </c>
      <c r="V27" s="129">
        <f t="shared" si="9"/>
        <v>104.00000000000003</v>
      </c>
      <c r="W27" s="16"/>
      <c r="X27" s="16"/>
      <c r="Y27" s="443"/>
      <c r="Z27" s="443"/>
      <c r="AA27" s="12">
        <f t="shared" si="5"/>
        <v>-144.23076923076997</v>
      </c>
      <c r="AB27" s="122">
        <f t="shared" si="6"/>
        <v>0.93990384615384581</v>
      </c>
      <c r="AC27" s="442"/>
    </row>
    <row r="28" spans="1:29" ht="15.75" customHeight="1">
      <c r="A28" s="463" t="s">
        <v>291</v>
      </c>
      <c r="B28" s="31" t="s">
        <v>67</v>
      </c>
      <c r="C28" s="464" t="s">
        <v>72</v>
      </c>
      <c r="D28" s="464"/>
      <c r="E28" s="31">
        <v>25.98</v>
      </c>
      <c r="F28" s="130">
        <v>3608</v>
      </c>
      <c r="G28" s="120">
        <f t="shared" si="7"/>
        <v>93735.84</v>
      </c>
      <c r="H28" s="131" t="s">
        <v>103</v>
      </c>
      <c r="I28" s="128">
        <v>17</v>
      </c>
      <c r="J28" s="26">
        <v>2400</v>
      </c>
      <c r="K28" s="10">
        <f t="shared" si="0"/>
        <v>141.1764705882353</v>
      </c>
      <c r="L28" s="128">
        <v>17</v>
      </c>
      <c r="M28" s="11">
        <f t="shared" si="8"/>
        <v>2255.0000000000005</v>
      </c>
      <c r="N28" s="10">
        <f t="shared" si="1"/>
        <v>132.64705882352945</v>
      </c>
      <c r="O28" s="12">
        <f t="shared" si="2"/>
        <v>0</v>
      </c>
      <c r="P28" s="13">
        <f t="shared" si="3"/>
        <v>-8.5294117647058556</v>
      </c>
      <c r="Q28" s="122">
        <f t="shared" si="4"/>
        <v>0.93958333333333355</v>
      </c>
      <c r="R28" s="442"/>
      <c r="S28" s="28">
        <v>0.35208333333333336</v>
      </c>
      <c r="T28" s="28">
        <v>0.41875000000000001</v>
      </c>
      <c r="U28" s="120">
        <f t="shared" si="10"/>
        <v>6.9999999999999751</v>
      </c>
      <c r="V28" s="129">
        <f t="shared" si="9"/>
        <v>95.999999999999972</v>
      </c>
      <c r="W28" s="16"/>
      <c r="X28" s="16"/>
      <c r="Y28" s="443"/>
      <c r="Z28" s="443"/>
      <c r="AA28" s="12">
        <f t="shared" si="5"/>
        <v>-144.99999999999955</v>
      </c>
      <c r="AB28" s="122">
        <f t="shared" si="6"/>
        <v>0.93958333333333355</v>
      </c>
      <c r="AC28" s="442"/>
    </row>
    <row r="29" spans="1:29" ht="15.75" customHeight="1">
      <c r="A29" s="463" t="s">
        <v>291</v>
      </c>
      <c r="B29" s="31" t="s">
        <v>67</v>
      </c>
      <c r="C29" s="464" t="s">
        <v>165</v>
      </c>
      <c r="D29" s="464"/>
      <c r="E29" s="31">
        <v>25.02</v>
      </c>
      <c r="F29" s="130">
        <v>4000</v>
      </c>
      <c r="G29" s="120">
        <f t="shared" si="7"/>
        <v>100080</v>
      </c>
      <c r="H29" s="131">
        <v>2</v>
      </c>
      <c r="I29" s="128">
        <v>19</v>
      </c>
      <c r="J29" s="26">
        <v>2400</v>
      </c>
      <c r="K29" s="10">
        <f t="shared" si="0"/>
        <v>126.31578947368421</v>
      </c>
      <c r="L29" s="128">
        <v>19</v>
      </c>
      <c r="M29" s="11">
        <f t="shared" si="8"/>
        <v>2264.1509433962256</v>
      </c>
      <c r="N29" s="10">
        <f t="shared" si="1"/>
        <v>119.16583912611713</v>
      </c>
      <c r="O29" s="12">
        <f t="shared" si="2"/>
        <v>0</v>
      </c>
      <c r="P29" s="13">
        <f t="shared" si="3"/>
        <v>-7.1499503475670707</v>
      </c>
      <c r="Q29" s="122">
        <f t="shared" si="4"/>
        <v>0.94339622641509402</v>
      </c>
      <c r="R29" s="442"/>
      <c r="S29" s="28">
        <v>0.4236111111111111</v>
      </c>
      <c r="T29" s="28">
        <v>0.49722222222222223</v>
      </c>
      <c r="U29" s="120">
        <f t="shared" si="10"/>
        <v>6.9999999999999751</v>
      </c>
      <c r="V29" s="129">
        <f t="shared" si="9"/>
        <v>106.00000000000003</v>
      </c>
      <c r="W29" s="16">
        <f>T29</f>
        <v>0.49722222222222223</v>
      </c>
      <c r="X29" s="16">
        <f>S30</f>
        <v>0.53819444444444442</v>
      </c>
      <c r="Y29" s="443"/>
      <c r="Z29" s="443"/>
      <c r="AA29" s="12">
        <f t="shared" si="5"/>
        <v>-135.84905660377444</v>
      </c>
      <c r="AB29" s="122">
        <f t="shared" si="6"/>
        <v>0.94339622641509402</v>
      </c>
      <c r="AC29" s="442"/>
    </row>
    <row r="30" spans="1:29" ht="15.75" customHeight="1">
      <c r="A30" s="463" t="s">
        <v>291</v>
      </c>
      <c r="B30" s="31" t="s">
        <v>67</v>
      </c>
      <c r="C30" s="464" t="s">
        <v>165</v>
      </c>
      <c r="D30" s="464"/>
      <c r="E30" s="31">
        <v>25.02</v>
      </c>
      <c r="F30" s="130">
        <v>2568</v>
      </c>
      <c r="G30" s="120">
        <f t="shared" si="7"/>
        <v>64251.360000000001</v>
      </c>
      <c r="H30" s="131" t="s">
        <v>103</v>
      </c>
      <c r="I30" s="128">
        <v>19</v>
      </c>
      <c r="J30" s="26">
        <v>2400</v>
      </c>
      <c r="K30" s="10">
        <f t="shared" si="0"/>
        <v>126.31578947368421</v>
      </c>
      <c r="L30" s="128">
        <v>19</v>
      </c>
      <c r="M30" s="11">
        <f t="shared" si="8"/>
        <v>2265.8823529411734</v>
      </c>
      <c r="N30" s="10">
        <f t="shared" si="1"/>
        <v>119.25696594427228</v>
      </c>
      <c r="O30" s="12">
        <f t="shared" si="2"/>
        <v>0</v>
      </c>
      <c r="P30" s="13">
        <f t="shared" si="3"/>
        <v>-7.0588235294119244</v>
      </c>
      <c r="Q30" s="122">
        <f t="shared" si="4"/>
        <v>0.94411764705882228</v>
      </c>
      <c r="R30" s="442"/>
      <c r="S30" s="28">
        <v>0.53819444444444442</v>
      </c>
      <c r="T30" s="28">
        <v>0.5854166666666667</v>
      </c>
      <c r="U30" s="120">
        <f t="shared" si="10"/>
        <v>58.99999999999995</v>
      </c>
      <c r="V30" s="129">
        <f t="shared" si="9"/>
        <v>68.000000000000085</v>
      </c>
      <c r="W30" s="16"/>
      <c r="X30" s="16"/>
      <c r="Y30" s="443"/>
      <c r="Z30" s="443"/>
      <c r="AA30" s="12">
        <f t="shared" si="5"/>
        <v>-134.11764705882661</v>
      </c>
      <c r="AB30" s="122">
        <f t="shared" si="6"/>
        <v>0.94411764705882228</v>
      </c>
      <c r="AC30" s="442"/>
    </row>
    <row r="31" spans="1:29" ht="15.75" customHeight="1">
      <c r="A31" s="463" t="s">
        <v>291</v>
      </c>
      <c r="B31" s="31" t="s">
        <v>67</v>
      </c>
      <c r="C31" s="464" t="s">
        <v>69</v>
      </c>
      <c r="D31" s="464"/>
      <c r="E31" s="31">
        <v>31.29</v>
      </c>
      <c r="F31" s="130">
        <v>3495</v>
      </c>
      <c r="G31" s="120">
        <f t="shared" si="7"/>
        <v>109358.55</v>
      </c>
      <c r="H31" s="131" t="s">
        <v>103</v>
      </c>
      <c r="I31" s="128">
        <v>16</v>
      </c>
      <c r="J31" s="26">
        <v>2400</v>
      </c>
      <c r="K31" s="10">
        <f t="shared" si="0"/>
        <v>150</v>
      </c>
      <c r="L31" s="128">
        <v>16</v>
      </c>
      <c r="M31" s="11">
        <f t="shared" si="8"/>
        <v>2254.8387096774195</v>
      </c>
      <c r="N31" s="10">
        <f t="shared" si="1"/>
        <v>140.92741935483872</v>
      </c>
      <c r="O31" s="12">
        <f t="shared" si="2"/>
        <v>0</v>
      </c>
      <c r="P31" s="13">
        <f t="shared" si="3"/>
        <v>-9.0725806451612812</v>
      </c>
      <c r="Q31" s="122">
        <f t="shared" si="4"/>
        <v>0.93951612903225812</v>
      </c>
      <c r="R31" s="442"/>
      <c r="S31" s="28">
        <v>0.59097222222222223</v>
      </c>
      <c r="T31" s="28">
        <v>0.65555555555555556</v>
      </c>
      <c r="U31" s="120">
        <f t="shared" si="10"/>
        <v>7.9999999999999716</v>
      </c>
      <c r="V31" s="129">
        <f t="shared" si="9"/>
        <v>92.999999999999986</v>
      </c>
      <c r="W31" s="16"/>
      <c r="X31" s="16"/>
      <c r="Y31" s="443"/>
      <c r="Z31" s="443"/>
      <c r="AA31" s="12">
        <f t="shared" si="5"/>
        <v>-145.1612903225805</v>
      </c>
      <c r="AB31" s="122">
        <f t="shared" si="6"/>
        <v>0.93951612903225812</v>
      </c>
      <c r="AC31" s="442"/>
    </row>
    <row r="32" spans="1:29" ht="15.75" customHeight="1">
      <c r="A32" s="463" t="s">
        <v>291</v>
      </c>
      <c r="B32" s="31" t="s">
        <v>286</v>
      </c>
      <c r="C32" s="446"/>
      <c r="D32" s="446"/>
      <c r="E32" s="121"/>
      <c r="F32" s="130"/>
      <c r="G32" s="120"/>
      <c r="H32" s="130"/>
      <c r="I32" s="19">
        <v>17.857142857142858</v>
      </c>
      <c r="J32" s="26">
        <v>2400</v>
      </c>
      <c r="K32" s="10">
        <f t="shared" si="0"/>
        <v>134.4</v>
      </c>
      <c r="L32" s="19">
        <v>17.857142857142858</v>
      </c>
      <c r="M32" s="11">
        <f>AVERAGE(M25:M31)</f>
        <v>2259.0717938215189</v>
      </c>
      <c r="N32" s="10">
        <f t="shared" si="1"/>
        <v>126.50802045400505</v>
      </c>
      <c r="O32" s="12">
        <f t="shared" si="2"/>
        <v>0</v>
      </c>
      <c r="P32" s="13">
        <f t="shared" si="3"/>
        <v>-7.8919795459949569</v>
      </c>
      <c r="Q32" s="122">
        <f t="shared" si="4"/>
        <v>0.94127991409229939</v>
      </c>
      <c r="R32" s="442"/>
      <c r="S32" s="28"/>
      <c r="T32" s="28"/>
      <c r="U32" s="120"/>
      <c r="V32" s="129"/>
      <c r="W32" s="120"/>
      <c r="X32" s="120"/>
      <c r="Y32" s="443"/>
      <c r="Z32" s="443"/>
      <c r="AA32" s="12">
        <f t="shared" si="5"/>
        <v>-140.9282061784811</v>
      </c>
      <c r="AB32" s="122">
        <f t="shared" si="6"/>
        <v>0.9412799140922995</v>
      </c>
      <c r="AC32" s="442"/>
    </row>
    <row r="33" spans="1:29" ht="15.75" customHeight="1">
      <c r="A33" s="461" t="s">
        <v>290</v>
      </c>
      <c r="B33" s="31" t="s">
        <v>67</v>
      </c>
      <c r="C33" s="441" t="s">
        <v>73</v>
      </c>
      <c r="D33" s="441"/>
      <c r="E33" s="31">
        <v>26.2</v>
      </c>
      <c r="F33" s="130">
        <v>4000</v>
      </c>
      <c r="G33" s="120">
        <f t="shared" ref="G33:G42" si="11">E33*F33</f>
        <v>104800</v>
      </c>
      <c r="H33" s="131">
        <v>2</v>
      </c>
      <c r="I33" s="128">
        <v>18</v>
      </c>
      <c r="J33" s="26">
        <v>2400</v>
      </c>
      <c r="K33" s="10">
        <f t="shared" si="0"/>
        <v>133.33333333333334</v>
      </c>
      <c r="L33" s="128">
        <v>18</v>
      </c>
      <c r="M33" s="11">
        <f t="shared" ref="M33:M42" si="12">F33/V33*60</f>
        <v>2264.1509433962256</v>
      </c>
      <c r="N33" s="10">
        <f t="shared" si="1"/>
        <v>125.78616352201253</v>
      </c>
      <c r="O33" s="12">
        <f t="shared" si="2"/>
        <v>0</v>
      </c>
      <c r="P33" s="13">
        <f t="shared" si="3"/>
        <v>-7.5471698113208134</v>
      </c>
      <c r="Q33" s="122">
        <f t="shared" si="4"/>
        <v>0.94339622641509391</v>
      </c>
      <c r="R33" s="442">
        <f>Q43</f>
        <v>0.94466361902576168</v>
      </c>
      <c r="S33" s="28">
        <v>0.125</v>
      </c>
      <c r="T33" s="28">
        <v>0.19861111111111113</v>
      </c>
      <c r="U33" s="120"/>
      <c r="V33" s="129">
        <f t="shared" ref="V33:V42" si="13">(T33-S33)*24*60</f>
        <v>106.00000000000003</v>
      </c>
      <c r="W33" s="18">
        <f>T33</f>
        <v>0.19861111111111113</v>
      </c>
      <c r="X33" s="18">
        <f>S34</f>
        <v>0.21736111111111112</v>
      </c>
      <c r="Y33" s="443"/>
      <c r="Z33" s="443"/>
      <c r="AA33" s="12">
        <f t="shared" si="5"/>
        <v>-135.84905660377444</v>
      </c>
      <c r="AB33" s="122">
        <f t="shared" si="6"/>
        <v>0.94339622641509402</v>
      </c>
      <c r="AC33" s="442">
        <f>AB43</f>
        <v>0.94466361902576168</v>
      </c>
    </row>
    <row r="34" spans="1:29" ht="15.75" customHeight="1">
      <c r="A34" s="461" t="s">
        <v>290</v>
      </c>
      <c r="B34" s="31" t="s">
        <v>67</v>
      </c>
      <c r="C34" s="441" t="s">
        <v>74</v>
      </c>
      <c r="D34" s="441"/>
      <c r="E34" s="31">
        <v>24.45</v>
      </c>
      <c r="F34" s="130">
        <v>2202</v>
      </c>
      <c r="G34" s="120">
        <f t="shared" si="11"/>
        <v>53838.9</v>
      </c>
      <c r="H34" s="131" t="s">
        <v>103</v>
      </c>
      <c r="I34" s="128">
        <v>20</v>
      </c>
      <c r="J34" s="26">
        <v>2400</v>
      </c>
      <c r="K34" s="10">
        <f t="shared" si="0"/>
        <v>120</v>
      </c>
      <c r="L34" s="128">
        <v>20</v>
      </c>
      <c r="M34" s="11">
        <f t="shared" si="12"/>
        <v>2277.9310344827572</v>
      </c>
      <c r="N34" s="10">
        <f t="shared" si="1"/>
        <v>113.89655172413786</v>
      </c>
      <c r="O34" s="12">
        <f t="shared" si="2"/>
        <v>0</v>
      </c>
      <c r="P34" s="13">
        <f t="shared" si="3"/>
        <v>-6.1034482758621351</v>
      </c>
      <c r="Q34" s="122">
        <f t="shared" si="4"/>
        <v>0.94913793103448219</v>
      </c>
      <c r="R34" s="442"/>
      <c r="S34" s="28">
        <v>0.21736111111111112</v>
      </c>
      <c r="T34" s="28">
        <v>0.25763888888888892</v>
      </c>
      <c r="U34" s="120">
        <f t="shared" ref="U34:U42" si="14">(S34-T33)*24*60</f>
        <v>26.999999999999986</v>
      </c>
      <c r="V34" s="129">
        <f t="shared" si="13"/>
        <v>58.000000000000036</v>
      </c>
      <c r="W34" s="120"/>
      <c r="X34" s="120"/>
      <c r="Y34" s="443"/>
      <c r="Z34" s="443"/>
      <c r="AA34" s="12">
        <f t="shared" si="5"/>
        <v>-122.06896551724276</v>
      </c>
      <c r="AB34" s="122">
        <f t="shared" si="6"/>
        <v>0.94913793103448219</v>
      </c>
      <c r="AC34" s="442"/>
    </row>
    <row r="35" spans="1:29">
      <c r="A35" s="462" t="s">
        <v>290</v>
      </c>
      <c r="B35" s="31" t="s">
        <v>67</v>
      </c>
      <c r="C35" s="441" t="s">
        <v>75</v>
      </c>
      <c r="D35" s="441"/>
      <c r="E35" s="31">
        <v>26.39</v>
      </c>
      <c r="F35" s="130">
        <v>3700</v>
      </c>
      <c r="G35" s="120">
        <f t="shared" si="11"/>
        <v>97643</v>
      </c>
      <c r="H35" s="131">
        <v>2</v>
      </c>
      <c r="I35" s="128">
        <v>19</v>
      </c>
      <c r="J35" s="26">
        <v>2400</v>
      </c>
      <c r="K35" s="10">
        <f t="shared" si="0"/>
        <v>126.31578947368421</v>
      </c>
      <c r="L35" s="128">
        <v>19</v>
      </c>
      <c r="M35" s="11">
        <f t="shared" si="12"/>
        <v>2265.3061224489802</v>
      </c>
      <c r="N35" s="10">
        <f t="shared" si="1"/>
        <v>119.22663802363054</v>
      </c>
      <c r="O35" s="12">
        <f t="shared" si="2"/>
        <v>0</v>
      </c>
      <c r="P35" s="13">
        <f t="shared" si="3"/>
        <v>-7.089151450053663</v>
      </c>
      <c r="Q35" s="122">
        <f t="shared" si="4"/>
        <v>0.94387755102040849</v>
      </c>
      <c r="R35" s="442"/>
      <c r="S35" s="28">
        <v>0.26250000000000001</v>
      </c>
      <c r="T35" s="28">
        <v>0.33055555555555555</v>
      </c>
      <c r="U35" s="120">
        <f t="shared" si="14"/>
        <v>6.9999999999999751</v>
      </c>
      <c r="V35" s="129">
        <f t="shared" si="13"/>
        <v>97.999999999999972</v>
      </c>
      <c r="W35" s="120"/>
      <c r="X35" s="120"/>
      <c r="Y35" s="443"/>
      <c r="Z35" s="443"/>
      <c r="AA35" s="12">
        <f t="shared" si="5"/>
        <v>-134.6938775510198</v>
      </c>
      <c r="AB35" s="122">
        <f t="shared" si="6"/>
        <v>0.94387755102040838</v>
      </c>
      <c r="AC35" s="442"/>
    </row>
    <row r="36" spans="1:29">
      <c r="A36" s="462" t="s">
        <v>290</v>
      </c>
      <c r="B36" s="31" t="s">
        <v>67</v>
      </c>
      <c r="C36" s="441" t="s">
        <v>76</v>
      </c>
      <c r="D36" s="441"/>
      <c r="E36" s="31">
        <v>20.52</v>
      </c>
      <c r="F36" s="130">
        <v>3498</v>
      </c>
      <c r="G36" s="120">
        <f t="shared" si="11"/>
        <v>71778.959999999992</v>
      </c>
      <c r="H36" s="131" t="s">
        <v>103</v>
      </c>
      <c r="I36" s="128">
        <v>18</v>
      </c>
      <c r="J36" s="26">
        <v>2400</v>
      </c>
      <c r="K36" s="10">
        <f t="shared" si="0"/>
        <v>133.33333333333334</v>
      </c>
      <c r="L36" s="128">
        <v>18</v>
      </c>
      <c r="M36" s="11">
        <f t="shared" si="12"/>
        <v>2256.7741935483873</v>
      </c>
      <c r="N36" s="10">
        <f t="shared" si="1"/>
        <v>125.37634408602152</v>
      </c>
      <c r="O36" s="12">
        <f t="shared" si="2"/>
        <v>0</v>
      </c>
      <c r="P36" s="13">
        <f t="shared" si="3"/>
        <v>-7.9569892473118244</v>
      </c>
      <c r="Q36" s="122">
        <f t="shared" si="4"/>
        <v>0.94032258064516128</v>
      </c>
      <c r="R36" s="442"/>
      <c r="S36" s="28">
        <v>0.33402777777777776</v>
      </c>
      <c r="T36" s="28">
        <v>0.39861111111111108</v>
      </c>
      <c r="U36" s="120">
        <f t="shared" si="14"/>
        <v>4.9999999999999822</v>
      </c>
      <c r="V36" s="129">
        <f t="shared" si="13"/>
        <v>92.999999999999986</v>
      </c>
      <c r="W36" s="16"/>
      <c r="X36" s="16"/>
      <c r="Y36" s="443"/>
      <c r="Z36" s="443"/>
      <c r="AA36" s="12">
        <f t="shared" si="5"/>
        <v>-143.2258064516127</v>
      </c>
      <c r="AB36" s="122">
        <f t="shared" si="6"/>
        <v>0.94032258064516139</v>
      </c>
      <c r="AC36" s="442"/>
    </row>
    <row r="37" spans="1:29">
      <c r="A37" s="462" t="s">
        <v>290</v>
      </c>
      <c r="B37" s="31" t="s">
        <v>67</v>
      </c>
      <c r="C37" s="441" t="s">
        <v>77</v>
      </c>
      <c r="D37" s="441"/>
      <c r="E37" s="31">
        <v>26.2</v>
      </c>
      <c r="F37" s="130">
        <v>3100</v>
      </c>
      <c r="G37" s="120">
        <f t="shared" si="11"/>
        <v>81220</v>
      </c>
      <c r="H37" s="131">
        <v>2</v>
      </c>
      <c r="I37" s="128">
        <v>19</v>
      </c>
      <c r="J37" s="26">
        <v>2400</v>
      </c>
      <c r="K37" s="10">
        <f t="shared" ref="K37:K68" si="15">J37/I37</f>
        <v>126.31578947368421</v>
      </c>
      <c r="L37" s="128">
        <v>19</v>
      </c>
      <c r="M37" s="11">
        <f t="shared" si="12"/>
        <v>2268.2926829268285</v>
      </c>
      <c r="N37" s="10">
        <f t="shared" ref="N37:N68" si="16">M37/L37</f>
        <v>119.38382541720151</v>
      </c>
      <c r="O37" s="12">
        <f t="shared" ref="O37:O72" si="17">L37-I37</f>
        <v>0</v>
      </c>
      <c r="P37" s="13">
        <f t="shared" ref="P37:P72" si="18">N37-K37</f>
        <v>-6.9319640564826983</v>
      </c>
      <c r="Q37" s="122">
        <f t="shared" ref="Q37:Q72" si="19">N37/K37</f>
        <v>0.94512195121951192</v>
      </c>
      <c r="R37" s="442"/>
      <c r="S37" s="28">
        <v>0.40347222222222218</v>
      </c>
      <c r="T37" s="28">
        <v>0.46041666666666664</v>
      </c>
      <c r="U37" s="120">
        <f t="shared" si="14"/>
        <v>6.9999999999999751</v>
      </c>
      <c r="V37" s="129">
        <f t="shared" si="13"/>
        <v>82.000000000000028</v>
      </c>
      <c r="W37" s="16"/>
      <c r="X37" s="16"/>
      <c r="Y37" s="443"/>
      <c r="Z37" s="443"/>
      <c r="AA37" s="12">
        <f t="shared" ref="AA37:AA72" si="20">M37-J37</f>
        <v>-131.70731707317145</v>
      </c>
      <c r="AB37" s="122">
        <f t="shared" ref="AB37:AB72" si="21">M37/J37</f>
        <v>0.94512195121951192</v>
      </c>
      <c r="AC37" s="442"/>
    </row>
    <row r="38" spans="1:29">
      <c r="A38" s="462" t="s">
        <v>290</v>
      </c>
      <c r="B38" s="31" t="s">
        <v>67</v>
      </c>
      <c r="C38" s="441" t="s">
        <v>78</v>
      </c>
      <c r="D38" s="441"/>
      <c r="E38" s="31">
        <v>25.98</v>
      </c>
      <c r="F38" s="130">
        <v>2400</v>
      </c>
      <c r="G38" s="120">
        <f t="shared" si="11"/>
        <v>62352</v>
      </c>
      <c r="H38" s="131">
        <v>2</v>
      </c>
      <c r="I38" s="128">
        <v>17</v>
      </c>
      <c r="J38" s="26">
        <v>2400</v>
      </c>
      <c r="K38" s="10">
        <f t="shared" si="15"/>
        <v>141.1764705882353</v>
      </c>
      <c r="L38" s="128">
        <v>17</v>
      </c>
      <c r="M38" s="11">
        <f t="shared" si="12"/>
        <v>2249.9999999999995</v>
      </c>
      <c r="N38" s="10">
        <f t="shared" si="16"/>
        <v>132.35294117647055</v>
      </c>
      <c r="O38" s="12">
        <f t="shared" si="17"/>
        <v>0</v>
      </c>
      <c r="P38" s="13">
        <f t="shared" si="18"/>
        <v>-8.8235294117647527</v>
      </c>
      <c r="Q38" s="122">
        <f t="shared" si="19"/>
        <v>0.93749999999999967</v>
      </c>
      <c r="R38" s="442"/>
      <c r="S38" s="28">
        <v>0.46527777777777773</v>
      </c>
      <c r="T38" s="28">
        <v>0.50972222222222219</v>
      </c>
      <c r="U38" s="120">
        <f t="shared" si="14"/>
        <v>6.9999999999999751</v>
      </c>
      <c r="V38" s="129">
        <f t="shared" si="13"/>
        <v>64.000000000000014</v>
      </c>
      <c r="W38" s="16">
        <f>T38</f>
        <v>0.50972222222222219</v>
      </c>
      <c r="X38" s="16">
        <f>S39</f>
        <v>0.54999999999999993</v>
      </c>
      <c r="Y38" s="443"/>
      <c r="Z38" s="443"/>
      <c r="AA38" s="12">
        <f t="shared" si="20"/>
        <v>-150.00000000000045</v>
      </c>
      <c r="AB38" s="122">
        <f t="shared" si="21"/>
        <v>0.93749999999999978</v>
      </c>
      <c r="AC38" s="442"/>
    </row>
    <row r="39" spans="1:29">
      <c r="A39" s="462" t="s">
        <v>290</v>
      </c>
      <c r="B39" s="31" t="s">
        <v>67</v>
      </c>
      <c r="C39" s="441" t="s">
        <v>73</v>
      </c>
      <c r="D39" s="441"/>
      <c r="E39" s="31">
        <v>26.2</v>
      </c>
      <c r="F39" s="130">
        <v>3007</v>
      </c>
      <c r="G39" s="120">
        <f t="shared" si="11"/>
        <v>78783.399999999994</v>
      </c>
      <c r="H39" s="131" t="s">
        <v>103</v>
      </c>
      <c r="I39" s="128">
        <v>18</v>
      </c>
      <c r="J39" s="26">
        <v>2400</v>
      </c>
      <c r="K39" s="10">
        <f t="shared" si="15"/>
        <v>133.33333333333334</v>
      </c>
      <c r="L39" s="128">
        <v>18</v>
      </c>
      <c r="M39" s="11">
        <f t="shared" si="12"/>
        <v>2255.2499999999991</v>
      </c>
      <c r="N39" s="10">
        <f t="shared" si="16"/>
        <v>125.29166666666661</v>
      </c>
      <c r="O39" s="12">
        <f t="shared" si="17"/>
        <v>0</v>
      </c>
      <c r="P39" s="13">
        <f t="shared" si="18"/>
        <v>-8.0416666666667282</v>
      </c>
      <c r="Q39" s="122">
        <f t="shared" si="19"/>
        <v>0.93968749999999956</v>
      </c>
      <c r="R39" s="442"/>
      <c r="S39" s="28">
        <v>0.54999999999999993</v>
      </c>
      <c r="T39" s="28">
        <v>0.60555555555555551</v>
      </c>
      <c r="U39" s="120">
        <f t="shared" si="14"/>
        <v>57.999999999999957</v>
      </c>
      <c r="V39" s="129">
        <f t="shared" si="13"/>
        <v>80.000000000000028</v>
      </c>
      <c r="W39" s="16"/>
      <c r="X39" s="16"/>
      <c r="Y39" s="447"/>
      <c r="Z39" s="448"/>
      <c r="AA39" s="12">
        <f t="shared" si="20"/>
        <v>-144.75000000000091</v>
      </c>
      <c r="AB39" s="122">
        <f t="shared" si="21"/>
        <v>0.93968749999999968</v>
      </c>
      <c r="AC39" s="442"/>
    </row>
    <row r="40" spans="1:29">
      <c r="A40" s="462" t="s">
        <v>290</v>
      </c>
      <c r="B40" s="31" t="s">
        <v>67</v>
      </c>
      <c r="C40" s="441" t="s">
        <v>75</v>
      </c>
      <c r="D40" s="441"/>
      <c r="E40" s="31">
        <v>26.39</v>
      </c>
      <c r="F40" s="130">
        <v>2239</v>
      </c>
      <c r="G40" s="120">
        <f t="shared" si="11"/>
        <v>59087.21</v>
      </c>
      <c r="H40" s="131" t="s">
        <v>103</v>
      </c>
      <c r="I40" s="128">
        <v>19</v>
      </c>
      <c r="J40" s="26">
        <v>2400</v>
      </c>
      <c r="K40" s="10">
        <f t="shared" si="15"/>
        <v>126.31578947368421</v>
      </c>
      <c r="L40" s="128">
        <v>19</v>
      </c>
      <c r="M40" s="11">
        <f t="shared" si="12"/>
        <v>2276.949152542375</v>
      </c>
      <c r="N40" s="10">
        <f t="shared" si="16"/>
        <v>119.83942908117763</v>
      </c>
      <c r="O40" s="12">
        <f t="shared" si="17"/>
        <v>0</v>
      </c>
      <c r="P40" s="13">
        <f t="shared" si="18"/>
        <v>-6.476360392506578</v>
      </c>
      <c r="Q40" s="122">
        <f t="shared" si="19"/>
        <v>0.94872881355932293</v>
      </c>
      <c r="R40" s="442"/>
      <c r="S40" s="28">
        <v>0.61111111111111105</v>
      </c>
      <c r="T40" s="28">
        <v>0.65208333333333324</v>
      </c>
      <c r="U40" s="120">
        <f t="shared" si="14"/>
        <v>7.9999999999999716</v>
      </c>
      <c r="V40" s="129">
        <f t="shared" si="13"/>
        <v>58.99999999999995</v>
      </c>
      <c r="W40" s="16"/>
      <c r="X40" s="16"/>
      <c r="Y40" s="447"/>
      <c r="Z40" s="448"/>
      <c r="AA40" s="12">
        <f t="shared" si="20"/>
        <v>-123.05084745762497</v>
      </c>
      <c r="AB40" s="122">
        <f t="shared" si="21"/>
        <v>0.94872881355932293</v>
      </c>
      <c r="AC40" s="442"/>
    </row>
    <row r="41" spans="1:29">
      <c r="A41" s="462" t="s">
        <v>290</v>
      </c>
      <c r="B41" s="31" t="s">
        <v>67</v>
      </c>
      <c r="C41" s="441" t="s">
        <v>77</v>
      </c>
      <c r="D41" s="441"/>
      <c r="E41" s="31">
        <v>26.2</v>
      </c>
      <c r="F41" s="130">
        <v>1654</v>
      </c>
      <c r="G41" s="120">
        <f t="shared" si="11"/>
        <v>43334.799999999996</v>
      </c>
      <c r="H41" s="131" t="s">
        <v>103</v>
      </c>
      <c r="I41" s="128">
        <v>19</v>
      </c>
      <c r="J41" s="26">
        <v>2400</v>
      </c>
      <c r="K41" s="10">
        <f t="shared" si="15"/>
        <v>126.31578947368421</v>
      </c>
      <c r="L41" s="128">
        <v>19</v>
      </c>
      <c r="M41" s="11">
        <f t="shared" si="12"/>
        <v>2255.4545454545455</v>
      </c>
      <c r="N41" s="10">
        <f t="shared" si="16"/>
        <v>118.70813397129187</v>
      </c>
      <c r="O41" s="12">
        <f t="shared" si="17"/>
        <v>0</v>
      </c>
      <c r="P41" s="13">
        <f t="shared" si="18"/>
        <v>-7.6076555023923333</v>
      </c>
      <c r="Q41" s="122">
        <f t="shared" si="19"/>
        <v>0.93977272727272732</v>
      </c>
      <c r="R41" s="442"/>
      <c r="S41" s="28">
        <v>0.65555555555555545</v>
      </c>
      <c r="T41" s="28">
        <v>0.68611111111111101</v>
      </c>
      <c r="U41" s="120">
        <f t="shared" si="14"/>
        <v>4.9999999999999822</v>
      </c>
      <c r="V41" s="129">
        <f t="shared" si="13"/>
        <v>44</v>
      </c>
      <c r="W41" s="16"/>
      <c r="X41" s="16"/>
      <c r="Y41" s="447"/>
      <c r="Z41" s="448"/>
      <c r="AA41" s="12">
        <f t="shared" si="20"/>
        <v>-144.5454545454545</v>
      </c>
      <c r="AB41" s="122">
        <f t="shared" si="21"/>
        <v>0.93977272727272732</v>
      </c>
      <c r="AC41" s="442"/>
    </row>
    <row r="42" spans="1:29">
      <c r="A42" s="462" t="s">
        <v>290</v>
      </c>
      <c r="B42" s="31" t="s">
        <v>67</v>
      </c>
      <c r="C42" s="441" t="s">
        <v>78</v>
      </c>
      <c r="D42" s="441"/>
      <c r="E42" s="31">
        <v>25.98</v>
      </c>
      <c r="F42" s="130">
        <v>1266</v>
      </c>
      <c r="G42" s="120">
        <f t="shared" si="11"/>
        <v>32890.68</v>
      </c>
      <c r="H42" s="131" t="s">
        <v>103</v>
      </c>
      <c r="I42" s="128">
        <v>17</v>
      </c>
      <c r="J42" s="26">
        <v>2400</v>
      </c>
      <c r="K42" s="10">
        <f t="shared" si="15"/>
        <v>141.1764705882353</v>
      </c>
      <c r="L42" s="128">
        <v>17</v>
      </c>
      <c r="M42" s="11">
        <f t="shared" si="12"/>
        <v>2301.8181818181793</v>
      </c>
      <c r="N42" s="10">
        <f t="shared" si="16"/>
        <v>135.40106951871644</v>
      </c>
      <c r="O42" s="12">
        <f t="shared" si="17"/>
        <v>0</v>
      </c>
      <c r="P42" s="13">
        <f t="shared" si="18"/>
        <v>-5.775401069518864</v>
      </c>
      <c r="Q42" s="122">
        <f t="shared" si="19"/>
        <v>0.95909090909090799</v>
      </c>
      <c r="R42" s="442"/>
      <c r="S42" s="28">
        <v>0.69027777777777766</v>
      </c>
      <c r="T42" s="28">
        <v>0.71319444444444435</v>
      </c>
      <c r="U42" s="120">
        <f t="shared" si="14"/>
        <v>5.9999999999999787</v>
      </c>
      <c r="V42" s="129">
        <f t="shared" si="13"/>
        <v>33.000000000000043</v>
      </c>
      <c r="W42" s="16"/>
      <c r="X42" s="16"/>
      <c r="Y42" s="447"/>
      <c r="Z42" s="448"/>
      <c r="AA42" s="12">
        <f t="shared" si="20"/>
        <v>-98.181818181820745</v>
      </c>
      <c r="AB42" s="122">
        <f t="shared" si="21"/>
        <v>0.95909090909090799</v>
      </c>
      <c r="AC42" s="442"/>
    </row>
    <row r="43" spans="1:29">
      <c r="A43" s="462" t="s">
        <v>290</v>
      </c>
      <c r="B43" s="33" t="s">
        <v>286</v>
      </c>
      <c r="C43" s="446"/>
      <c r="D43" s="446"/>
      <c r="E43" s="121"/>
      <c r="F43" s="33"/>
      <c r="G43" s="10"/>
      <c r="H43" s="130"/>
      <c r="I43" s="19">
        <v>18.399999999999999</v>
      </c>
      <c r="J43" s="26">
        <v>2400</v>
      </c>
      <c r="K43" s="10">
        <f t="shared" si="15"/>
        <v>130.43478260869566</v>
      </c>
      <c r="L43" s="19">
        <v>18.399999999999999</v>
      </c>
      <c r="M43" s="11">
        <f>AVERAGE(M33:M42)</f>
        <v>2267.1926856618279</v>
      </c>
      <c r="N43" s="10">
        <f t="shared" si="16"/>
        <v>123.21699378596892</v>
      </c>
      <c r="O43" s="12">
        <f t="shared" si="17"/>
        <v>0</v>
      </c>
      <c r="P43" s="13">
        <f t="shared" si="18"/>
        <v>-7.2177888227267317</v>
      </c>
      <c r="Q43" s="122">
        <f t="shared" si="19"/>
        <v>0.94466361902576168</v>
      </c>
      <c r="R43" s="442"/>
      <c r="S43" s="28"/>
      <c r="T43" s="28"/>
      <c r="U43" s="10"/>
      <c r="V43" s="129"/>
      <c r="W43" s="10"/>
      <c r="X43" s="10"/>
      <c r="Y43" s="443"/>
      <c r="Z43" s="443"/>
      <c r="AA43" s="12">
        <f t="shared" si="20"/>
        <v>-132.80731433817209</v>
      </c>
      <c r="AB43" s="122">
        <f t="shared" si="21"/>
        <v>0.94466361902576168</v>
      </c>
      <c r="AC43" s="442"/>
    </row>
    <row r="44" spans="1:29" ht="15.75" customHeight="1">
      <c r="A44" s="453" t="s">
        <v>289</v>
      </c>
      <c r="B44" s="31" t="s">
        <v>79</v>
      </c>
      <c r="C44" s="444" t="s">
        <v>80</v>
      </c>
      <c r="D44" s="445"/>
      <c r="E44" s="31">
        <v>21.13</v>
      </c>
      <c r="F44" s="130">
        <v>4743</v>
      </c>
      <c r="G44" s="120">
        <f t="shared" ref="G44:G50" si="22">E44*F44</f>
        <v>100219.59</v>
      </c>
      <c r="H44" s="131" t="s">
        <v>103</v>
      </c>
      <c r="I44" s="128">
        <v>10</v>
      </c>
      <c r="J44" s="26">
        <v>3000</v>
      </c>
      <c r="K44" s="10">
        <f t="shared" si="15"/>
        <v>300</v>
      </c>
      <c r="L44" s="128">
        <v>10</v>
      </c>
      <c r="M44" s="11">
        <f t="shared" ref="M44:M50" si="23">F44/V44*60</f>
        <v>2817.6237623762372</v>
      </c>
      <c r="N44" s="11">
        <f t="shared" si="16"/>
        <v>281.7623762376237</v>
      </c>
      <c r="O44" s="12">
        <f t="shared" si="17"/>
        <v>0</v>
      </c>
      <c r="P44" s="13">
        <f t="shared" si="18"/>
        <v>-18.237623762376302</v>
      </c>
      <c r="Q44" s="122">
        <f t="shared" si="19"/>
        <v>0.93920792079207904</v>
      </c>
      <c r="R44" s="456">
        <f>Q51</f>
        <v>0.9485222471461856</v>
      </c>
      <c r="S44" s="28">
        <v>8.3333333333333329E-2</v>
      </c>
      <c r="T44" s="28">
        <v>0.15347222222222223</v>
      </c>
      <c r="U44" s="18"/>
      <c r="V44" s="129">
        <f t="shared" ref="V44:V50" si="24">(T44-S44)*24*60</f>
        <v>101.00000000000001</v>
      </c>
      <c r="W44" s="16">
        <f>T44</f>
        <v>0.15347222222222223</v>
      </c>
      <c r="X44" s="16">
        <f>S45</f>
        <v>0.17152777777777778</v>
      </c>
      <c r="Y44" s="447"/>
      <c r="Z44" s="448"/>
      <c r="AA44" s="12">
        <f t="shared" si="20"/>
        <v>-182.37623762376279</v>
      </c>
      <c r="AB44" s="122">
        <f t="shared" si="21"/>
        <v>0.93920792079207904</v>
      </c>
      <c r="AC44" s="456">
        <f>AB51</f>
        <v>0.94852224714618549</v>
      </c>
    </row>
    <row r="45" spans="1:29" ht="15.75" customHeight="1">
      <c r="A45" s="454" t="s">
        <v>289</v>
      </c>
      <c r="B45" s="31" t="s">
        <v>79</v>
      </c>
      <c r="C45" s="444" t="s">
        <v>81</v>
      </c>
      <c r="D45" s="445"/>
      <c r="E45" s="31">
        <v>27.17</v>
      </c>
      <c r="F45" s="130">
        <v>5946</v>
      </c>
      <c r="G45" s="120">
        <f t="shared" si="22"/>
        <v>161552.82</v>
      </c>
      <c r="H45" s="131" t="s">
        <v>103</v>
      </c>
      <c r="I45" s="128">
        <v>10</v>
      </c>
      <c r="J45" s="26">
        <v>3000</v>
      </c>
      <c r="K45" s="10">
        <f t="shared" si="15"/>
        <v>300</v>
      </c>
      <c r="L45" s="128">
        <v>10</v>
      </c>
      <c r="M45" s="11">
        <f t="shared" si="23"/>
        <v>2831.4285714285711</v>
      </c>
      <c r="N45" s="11">
        <f t="shared" si="16"/>
        <v>283.14285714285711</v>
      </c>
      <c r="O45" s="12">
        <f t="shared" si="17"/>
        <v>0</v>
      </c>
      <c r="P45" s="13">
        <f t="shared" si="18"/>
        <v>-16.85714285714289</v>
      </c>
      <c r="Q45" s="122">
        <f t="shared" si="19"/>
        <v>0.94380952380952365</v>
      </c>
      <c r="R45" s="457"/>
      <c r="S45" s="28">
        <v>0.17152777777777778</v>
      </c>
      <c r="T45" s="28">
        <v>0.2590277777777778</v>
      </c>
      <c r="U45" s="120">
        <f t="shared" ref="U45:U50" si="25">(S45-T44)*24*60</f>
        <v>25.999999999999986</v>
      </c>
      <c r="V45" s="129">
        <f t="shared" si="24"/>
        <v>126.00000000000003</v>
      </c>
      <c r="W45" s="16"/>
      <c r="X45" s="16"/>
      <c r="Y45" s="447"/>
      <c r="Z45" s="448"/>
      <c r="AA45" s="12">
        <f t="shared" si="20"/>
        <v>-168.5714285714289</v>
      </c>
      <c r="AB45" s="122">
        <f t="shared" si="21"/>
        <v>0.94380952380952365</v>
      </c>
      <c r="AC45" s="457"/>
    </row>
    <row r="46" spans="1:29" ht="15.75" customHeight="1">
      <c r="A46" s="454" t="s">
        <v>289</v>
      </c>
      <c r="B46" s="31" t="s">
        <v>79</v>
      </c>
      <c r="C46" s="444" t="s">
        <v>82</v>
      </c>
      <c r="D46" s="445"/>
      <c r="E46" s="31">
        <v>35.119999999999997</v>
      </c>
      <c r="F46" s="130">
        <v>4249</v>
      </c>
      <c r="G46" s="120">
        <f t="shared" si="22"/>
        <v>149224.87999999998</v>
      </c>
      <c r="H46" s="131" t="s">
        <v>103</v>
      </c>
      <c r="I46" s="128">
        <v>10</v>
      </c>
      <c r="J46" s="26">
        <v>3000</v>
      </c>
      <c r="K46" s="10">
        <f t="shared" si="15"/>
        <v>300</v>
      </c>
      <c r="L46" s="128">
        <v>10</v>
      </c>
      <c r="M46" s="11">
        <f t="shared" si="23"/>
        <v>2832.6666666666665</v>
      </c>
      <c r="N46" s="11">
        <f t="shared" si="16"/>
        <v>283.26666666666665</v>
      </c>
      <c r="O46" s="12">
        <f t="shared" si="17"/>
        <v>0</v>
      </c>
      <c r="P46" s="13">
        <f t="shared" si="18"/>
        <v>-16.733333333333348</v>
      </c>
      <c r="Q46" s="122">
        <f t="shared" si="19"/>
        <v>0.94422222222222219</v>
      </c>
      <c r="R46" s="457"/>
      <c r="S46" s="28">
        <v>0.2638888888888889</v>
      </c>
      <c r="T46" s="28">
        <v>0.3263888888888889</v>
      </c>
      <c r="U46" s="120">
        <f t="shared" si="25"/>
        <v>6.9999999999999751</v>
      </c>
      <c r="V46" s="129">
        <f t="shared" si="24"/>
        <v>90</v>
      </c>
      <c r="W46" s="16"/>
      <c r="X46" s="16"/>
      <c r="Y46" s="447"/>
      <c r="Z46" s="448"/>
      <c r="AA46" s="12">
        <f t="shared" si="20"/>
        <v>-167.33333333333348</v>
      </c>
      <c r="AB46" s="122">
        <f t="shared" si="21"/>
        <v>0.94422222222222219</v>
      </c>
      <c r="AC46" s="457"/>
    </row>
    <row r="47" spans="1:29" ht="15.75" customHeight="1">
      <c r="A47" s="454" t="s">
        <v>289</v>
      </c>
      <c r="B47" s="31" t="s">
        <v>79</v>
      </c>
      <c r="C47" s="444" t="s">
        <v>83</v>
      </c>
      <c r="D47" s="445"/>
      <c r="E47" s="31">
        <v>40.18</v>
      </c>
      <c r="F47" s="130">
        <v>1615</v>
      </c>
      <c r="G47" s="120">
        <f t="shared" si="22"/>
        <v>64890.7</v>
      </c>
      <c r="H47" s="131" t="s">
        <v>103</v>
      </c>
      <c r="I47" s="128">
        <v>10</v>
      </c>
      <c r="J47" s="26">
        <v>3000</v>
      </c>
      <c r="K47" s="10">
        <f t="shared" si="15"/>
        <v>300</v>
      </c>
      <c r="L47" s="128">
        <v>10</v>
      </c>
      <c r="M47" s="11">
        <f t="shared" si="23"/>
        <v>2850.0000000000036</v>
      </c>
      <c r="N47" s="11">
        <f t="shared" si="16"/>
        <v>285.00000000000034</v>
      </c>
      <c r="O47" s="12">
        <f t="shared" si="17"/>
        <v>0</v>
      </c>
      <c r="P47" s="13">
        <f t="shared" si="18"/>
        <v>-14.999999999999659</v>
      </c>
      <c r="Q47" s="122">
        <f t="shared" si="19"/>
        <v>0.95000000000000118</v>
      </c>
      <c r="R47" s="457"/>
      <c r="S47" s="28">
        <v>0.3298611111111111</v>
      </c>
      <c r="T47" s="28">
        <v>0.35347222222222219</v>
      </c>
      <c r="U47" s="120">
        <f t="shared" si="25"/>
        <v>4.9999999999999822</v>
      </c>
      <c r="V47" s="129">
        <f t="shared" si="24"/>
        <v>33.999999999999957</v>
      </c>
      <c r="W47" s="16"/>
      <c r="X47" s="16"/>
      <c r="Y47" s="447"/>
      <c r="Z47" s="448"/>
      <c r="AA47" s="12">
        <f t="shared" si="20"/>
        <v>-149.99999999999636</v>
      </c>
      <c r="AB47" s="122">
        <f t="shared" si="21"/>
        <v>0.95000000000000118</v>
      </c>
      <c r="AC47" s="457"/>
    </row>
    <row r="48" spans="1:29" ht="15.75" customHeight="1">
      <c r="A48" s="454" t="s">
        <v>289</v>
      </c>
      <c r="B48" s="31" t="s">
        <v>79</v>
      </c>
      <c r="C48" s="444" t="s">
        <v>84</v>
      </c>
      <c r="D48" s="445"/>
      <c r="E48" s="31">
        <v>28.5</v>
      </c>
      <c r="F48" s="130">
        <v>960</v>
      </c>
      <c r="G48" s="120">
        <f t="shared" si="22"/>
        <v>27360</v>
      </c>
      <c r="H48" s="131" t="s">
        <v>103</v>
      </c>
      <c r="I48" s="128">
        <v>10</v>
      </c>
      <c r="J48" s="26">
        <v>3000</v>
      </c>
      <c r="K48" s="10">
        <f t="shared" si="15"/>
        <v>300</v>
      </c>
      <c r="L48" s="128">
        <v>10</v>
      </c>
      <c r="M48" s="11">
        <f t="shared" si="23"/>
        <v>2879.9999999999991</v>
      </c>
      <c r="N48" s="11">
        <f t="shared" si="16"/>
        <v>287.99999999999989</v>
      </c>
      <c r="O48" s="12">
        <f t="shared" si="17"/>
        <v>0</v>
      </c>
      <c r="P48" s="13">
        <f t="shared" si="18"/>
        <v>-12.000000000000114</v>
      </c>
      <c r="Q48" s="122">
        <f t="shared" si="19"/>
        <v>0.95999999999999963</v>
      </c>
      <c r="R48" s="457"/>
      <c r="S48" s="28">
        <v>0.35763888888888884</v>
      </c>
      <c r="T48" s="28">
        <v>0.37152777777777773</v>
      </c>
      <c r="U48" s="120">
        <f t="shared" si="25"/>
        <v>5.9999999999999787</v>
      </c>
      <c r="V48" s="129">
        <f t="shared" si="24"/>
        <v>20.000000000000007</v>
      </c>
      <c r="W48" s="16"/>
      <c r="X48" s="16"/>
      <c r="Y48" s="447"/>
      <c r="Z48" s="448"/>
      <c r="AA48" s="12">
        <f t="shared" si="20"/>
        <v>-120.00000000000091</v>
      </c>
      <c r="AB48" s="122">
        <f t="shared" si="21"/>
        <v>0.95999999999999974</v>
      </c>
      <c r="AC48" s="457"/>
    </row>
    <row r="49" spans="1:29" ht="15.75" customHeight="1">
      <c r="A49" s="454" t="s">
        <v>289</v>
      </c>
      <c r="B49" s="31" t="s">
        <v>79</v>
      </c>
      <c r="C49" s="444" t="s">
        <v>85</v>
      </c>
      <c r="D49" s="445"/>
      <c r="E49" s="31">
        <v>35.869999999999997</v>
      </c>
      <c r="F49" s="130">
        <v>2943</v>
      </c>
      <c r="G49" s="120">
        <f t="shared" si="22"/>
        <v>105565.40999999999</v>
      </c>
      <c r="H49" s="131" t="s">
        <v>103</v>
      </c>
      <c r="I49" s="128">
        <v>10</v>
      </c>
      <c r="J49" s="26">
        <v>3000</v>
      </c>
      <c r="K49" s="10">
        <f t="shared" si="15"/>
        <v>300</v>
      </c>
      <c r="L49" s="128">
        <v>10</v>
      </c>
      <c r="M49" s="11">
        <f t="shared" si="23"/>
        <v>2848.0645161290313</v>
      </c>
      <c r="N49" s="11">
        <f t="shared" si="16"/>
        <v>284.80645161290312</v>
      </c>
      <c r="O49" s="12">
        <f t="shared" si="17"/>
        <v>0</v>
      </c>
      <c r="P49" s="13">
        <f t="shared" si="18"/>
        <v>-15.193548387096882</v>
      </c>
      <c r="Q49" s="122">
        <f t="shared" si="19"/>
        <v>0.94935483870967707</v>
      </c>
      <c r="R49" s="457"/>
      <c r="S49" s="28">
        <v>0.37638888888888883</v>
      </c>
      <c r="T49" s="28">
        <v>0.4194444444444444</v>
      </c>
      <c r="U49" s="120">
        <f t="shared" si="25"/>
        <v>6.9999999999999751</v>
      </c>
      <c r="V49" s="129">
        <f t="shared" si="24"/>
        <v>62.000000000000021</v>
      </c>
      <c r="W49" s="16"/>
      <c r="X49" s="16"/>
      <c r="Y49" s="447"/>
      <c r="Z49" s="448"/>
      <c r="AA49" s="12">
        <f t="shared" si="20"/>
        <v>-151.93548387096871</v>
      </c>
      <c r="AB49" s="122">
        <f t="shared" si="21"/>
        <v>0.94935483870967707</v>
      </c>
      <c r="AC49" s="457"/>
    </row>
    <row r="50" spans="1:29" ht="15.75" customHeight="1">
      <c r="A50" s="454" t="s">
        <v>289</v>
      </c>
      <c r="B50" s="31" t="s">
        <v>79</v>
      </c>
      <c r="C50" s="444" t="s">
        <v>86</v>
      </c>
      <c r="D50" s="445"/>
      <c r="E50" s="31">
        <v>36.14</v>
      </c>
      <c r="F50" s="130">
        <v>2335</v>
      </c>
      <c r="G50" s="120">
        <f t="shared" si="22"/>
        <v>84386.9</v>
      </c>
      <c r="H50" s="131" t="s">
        <v>103</v>
      </c>
      <c r="I50" s="128">
        <v>10</v>
      </c>
      <c r="J50" s="26">
        <v>3000</v>
      </c>
      <c r="K50" s="10">
        <f t="shared" si="15"/>
        <v>300</v>
      </c>
      <c r="L50" s="128">
        <v>10</v>
      </c>
      <c r="M50" s="11">
        <f t="shared" si="23"/>
        <v>2859.1836734693889</v>
      </c>
      <c r="N50" s="11">
        <f t="shared" si="16"/>
        <v>285.91836734693891</v>
      </c>
      <c r="O50" s="12">
        <f t="shared" si="17"/>
        <v>0</v>
      </c>
      <c r="P50" s="13">
        <f t="shared" si="18"/>
        <v>-14.081632653061092</v>
      </c>
      <c r="Q50" s="122">
        <f t="shared" si="19"/>
        <v>0.95306122448979635</v>
      </c>
      <c r="R50" s="457"/>
      <c r="S50" s="28">
        <v>0.42430555555555549</v>
      </c>
      <c r="T50" s="28">
        <v>0.45833333333333326</v>
      </c>
      <c r="U50" s="120">
        <f t="shared" si="25"/>
        <v>6.9999999999999751</v>
      </c>
      <c r="V50" s="129">
        <f t="shared" si="24"/>
        <v>48.999999999999986</v>
      </c>
      <c r="W50" s="16"/>
      <c r="X50" s="16"/>
      <c r="Y50" s="447"/>
      <c r="Z50" s="448"/>
      <c r="AA50" s="12">
        <f t="shared" si="20"/>
        <v>-140.81632653061115</v>
      </c>
      <c r="AB50" s="122">
        <f t="shared" si="21"/>
        <v>0.95306122448979624</v>
      </c>
      <c r="AC50" s="457"/>
    </row>
    <row r="51" spans="1:29" ht="15.75" customHeight="1">
      <c r="A51" s="455" t="s">
        <v>289</v>
      </c>
      <c r="B51" s="31" t="s">
        <v>286</v>
      </c>
      <c r="C51" s="459"/>
      <c r="D51" s="460"/>
      <c r="E51" s="127"/>
      <c r="F51" s="130"/>
      <c r="G51" s="120"/>
      <c r="H51" s="130"/>
      <c r="I51" s="19">
        <v>10</v>
      </c>
      <c r="J51" s="26">
        <v>3000</v>
      </c>
      <c r="K51" s="10">
        <f t="shared" si="15"/>
        <v>300</v>
      </c>
      <c r="L51" s="19">
        <v>10</v>
      </c>
      <c r="M51" s="11">
        <f>AVERAGE(M44:M50)</f>
        <v>2845.5667414385566</v>
      </c>
      <c r="N51" s="10">
        <f t="shared" si="16"/>
        <v>284.55667414385567</v>
      </c>
      <c r="O51" s="12">
        <f t="shared" si="17"/>
        <v>0</v>
      </c>
      <c r="P51" s="13">
        <f t="shared" si="18"/>
        <v>-15.443325856144327</v>
      </c>
      <c r="Q51" s="122">
        <f t="shared" si="19"/>
        <v>0.9485222471461856</v>
      </c>
      <c r="R51" s="458"/>
      <c r="S51" s="28"/>
      <c r="T51" s="28"/>
      <c r="U51" s="120"/>
      <c r="V51" s="129"/>
      <c r="W51" s="16"/>
      <c r="X51" s="16"/>
      <c r="Y51" s="447"/>
      <c r="Z51" s="448"/>
      <c r="AA51" s="12">
        <f t="shared" si="20"/>
        <v>-154.43325856144338</v>
      </c>
      <c r="AB51" s="122">
        <f t="shared" si="21"/>
        <v>0.94852224714618549</v>
      </c>
      <c r="AC51" s="458"/>
    </row>
    <row r="52" spans="1:29" ht="15.75" customHeight="1">
      <c r="A52" s="451" t="s">
        <v>287</v>
      </c>
      <c r="B52" s="31" t="s">
        <v>53</v>
      </c>
      <c r="C52" s="441" t="s">
        <v>87</v>
      </c>
      <c r="D52" s="441"/>
      <c r="E52" s="31">
        <v>46</v>
      </c>
      <c r="F52" s="35">
        <v>3089</v>
      </c>
      <c r="G52" s="120">
        <f t="shared" ref="G52:G57" si="26">E52*F52</f>
        <v>142094</v>
      </c>
      <c r="H52" s="131" t="s">
        <v>103</v>
      </c>
      <c r="I52" s="128">
        <v>17</v>
      </c>
      <c r="J52" s="26">
        <v>2000</v>
      </c>
      <c r="K52" s="10">
        <f t="shared" si="15"/>
        <v>117.64705882352941</v>
      </c>
      <c r="L52" s="128">
        <v>17</v>
      </c>
      <c r="M52" s="11">
        <f t="shared" ref="M52:M57" si="27">F52/V52*60</f>
        <v>1891.224489795919</v>
      </c>
      <c r="N52" s="11">
        <f t="shared" si="16"/>
        <v>111.24849939975994</v>
      </c>
      <c r="O52" s="12">
        <f t="shared" si="17"/>
        <v>0</v>
      </c>
      <c r="P52" s="13">
        <f t="shared" si="18"/>
        <v>-6.3985594237694698</v>
      </c>
      <c r="Q52" s="122">
        <f t="shared" si="19"/>
        <v>0.94561224489795948</v>
      </c>
      <c r="R52" s="442">
        <f>Q58</f>
        <v>0.94428123600537417</v>
      </c>
      <c r="S52" s="28">
        <v>0.25</v>
      </c>
      <c r="T52" s="28">
        <v>0.31805555555555554</v>
      </c>
      <c r="U52" s="18"/>
      <c r="V52" s="129">
        <f t="shared" ref="V52:V57" si="28">(T52-S52)*24*60</f>
        <v>97.999999999999972</v>
      </c>
      <c r="W52" s="18"/>
      <c r="X52" s="18"/>
      <c r="Y52" s="443"/>
      <c r="Z52" s="443"/>
      <c r="AA52" s="12">
        <f t="shared" si="20"/>
        <v>-108.775510204081</v>
      </c>
      <c r="AB52" s="122">
        <f t="shared" si="21"/>
        <v>0.94561224489795948</v>
      </c>
      <c r="AC52" s="442">
        <f>AB58</f>
        <v>0.94428123600537417</v>
      </c>
    </row>
    <row r="53" spans="1:29" ht="15.75" customHeight="1">
      <c r="A53" s="451" t="s">
        <v>287</v>
      </c>
      <c r="B53" s="31" t="s">
        <v>53</v>
      </c>
      <c r="C53" s="441" t="s">
        <v>88</v>
      </c>
      <c r="D53" s="441"/>
      <c r="E53" s="31">
        <v>46</v>
      </c>
      <c r="F53" s="35">
        <v>3113</v>
      </c>
      <c r="G53" s="120">
        <f t="shared" si="26"/>
        <v>143198</v>
      </c>
      <c r="H53" s="131" t="s">
        <v>103</v>
      </c>
      <c r="I53" s="128">
        <v>18</v>
      </c>
      <c r="J53" s="26">
        <v>2000</v>
      </c>
      <c r="K53" s="10">
        <f t="shared" si="15"/>
        <v>111.11111111111111</v>
      </c>
      <c r="L53" s="128">
        <v>18</v>
      </c>
      <c r="M53" s="11">
        <f t="shared" si="27"/>
        <v>1886.6666666666672</v>
      </c>
      <c r="N53" s="11">
        <f t="shared" si="16"/>
        <v>104.81481481481484</v>
      </c>
      <c r="O53" s="12">
        <f t="shared" si="17"/>
        <v>0</v>
      </c>
      <c r="P53" s="13">
        <f t="shared" si="18"/>
        <v>-6.2962962962962763</v>
      </c>
      <c r="Q53" s="122">
        <f t="shared" si="19"/>
        <v>0.94333333333333347</v>
      </c>
      <c r="R53" s="442"/>
      <c r="S53" s="28">
        <v>0.32361111111111107</v>
      </c>
      <c r="T53" s="28">
        <v>0.39236111111111105</v>
      </c>
      <c r="U53" s="120">
        <f>IF(S53=TIME(17,0,0),"",(S53-T52)*24*60)</f>
        <v>7.9999999999999716</v>
      </c>
      <c r="V53" s="129">
        <f t="shared" si="28"/>
        <v>98.999999999999972</v>
      </c>
      <c r="W53" s="16"/>
      <c r="X53" s="16"/>
      <c r="Y53" s="443"/>
      <c r="Z53" s="443"/>
      <c r="AA53" s="12">
        <f t="shared" si="20"/>
        <v>-113.3333333333328</v>
      </c>
      <c r="AB53" s="122">
        <f t="shared" si="21"/>
        <v>0.94333333333333358</v>
      </c>
      <c r="AC53" s="442"/>
    </row>
    <row r="54" spans="1:29" ht="15.75" customHeight="1">
      <c r="A54" s="451" t="s">
        <v>287</v>
      </c>
      <c r="B54" s="31" t="s">
        <v>58</v>
      </c>
      <c r="C54" s="444" t="s">
        <v>168</v>
      </c>
      <c r="D54" s="445"/>
      <c r="E54" s="31">
        <v>51.62</v>
      </c>
      <c r="F54" s="35">
        <v>4508</v>
      </c>
      <c r="G54" s="120">
        <f t="shared" si="26"/>
        <v>232702.96</v>
      </c>
      <c r="H54" s="131" t="s">
        <v>103</v>
      </c>
      <c r="I54" s="128">
        <v>16</v>
      </c>
      <c r="J54" s="26">
        <v>2000</v>
      </c>
      <c r="K54" s="10">
        <f t="shared" si="15"/>
        <v>125</v>
      </c>
      <c r="L54" s="128">
        <v>16</v>
      </c>
      <c r="M54" s="11">
        <f t="shared" si="27"/>
        <v>1878.3333333333337</v>
      </c>
      <c r="N54" s="11">
        <f t="shared" si="16"/>
        <v>117.39583333333336</v>
      </c>
      <c r="O54" s="12">
        <f t="shared" si="17"/>
        <v>0</v>
      </c>
      <c r="P54" s="13">
        <f t="shared" si="18"/>
        <v>-7.604166666666643</v>
      </c>
      <c r="Q54" s="122">
        <f t="shared" si="19"/>
        <v>0.93916666666666682</v>
      </c>
      <c r="R54" s="442"/>
      <c r="S54" s="28">
        <v>0.39583333333333326</v>
      </c>
      <c r="T54" s="28">
        <v>0.49583333333333324</v>
      </c>
      <c r="U54" s="120">
        <f>IF(S54=TIME(17,0,0),"",(S54-T53)*24*60)</f>
        <v>4.9999999999999822</v>
      </c>
      <c r="V54" s="129">
        <f t="shared" si="28"/>
        <v>143.99999999999997</v>
      </c>
      <c r="W54" s="16"/>
      <c r="X54" s="16"/>
      <c r="Y54" s="123"/>
      <c r="Z54" s="124"/>
      <c r="AA54" s="12">
        <f t="shared" si="20"/>
        <v>-121.66666666666629</v>
      </c>
      <c r="AB54" s="122">
        <f t="shared" si="21"/>
        <v>0.93916666666666682</v>
      </c>
      <c r="AC54" s="442"/>
    </row>
    <row r="55" spans="1:29" ht="15.75" customHeight="1">
      <c r="A55" s="451" t="s">
        <v>287</v>
      </c>
      <c r="B55" s="31" t="s">
        <v>58</v>
      </c>
      <c r="C55" s="125" t="s">
        <v>89</v>
      </c>
      <c r="D55" s="126"/>
      <c r="E55" s="31">
        <v>55.56</v>
      </c>
      <c r="F55" s="35">
        <v>1824</v>
      </c>
      <c r="G55" s="120">
        <f t="shared" si="26"/>
        <v>101341.44</v>
      </c>
      <c r="H55" s="131" t="s">
        <v>103</v>
      </c>
      <c r="I55" s="128">
        <v>17</v>
      </c>
      <c r="J55" s="26">
        <v>2000</v>
      </c>
      <c r="K55" s="10">
        <f t="shared" si="15"/>
        <v>117.64705882352941</v>
      </c>
      <c r="L55" s="128">
        <v>17</v>
      </c>
      <c r="M55" s="11">
        <f t="shared" si="27"/>
        <v>1886.8965517241393</v>
      </c>
      <c r="N55" s="11">
        <f t="shared" si="16"/>
        <v>110.9939148073023</v>
      </c>
      <c r="O55" s="12">
        <f t="shared" si="17"/>
        <v>0</v>
      </c>
      <c r="P55" s="13">
        <f t="shared" si="18"/>
        <v>-6.6531440162271025</v>
      </c>
      <c r="Q55" s="122">
        <f t="shared" si="19"/>
        <v>0.94344827586206959</v>
      </c>
      <c r="R55" s="442"/>
      <c r="S55" s="28">
        <v>0.70833333333333337</v>
      </c>
      <c r="T55" s="28">
        <v>0.74861111111111112</v>
      </c>
      <c r="U55" s="120" t="str">
        <f>IF(S55=TIME(17,0,0),"",(S55-T54)*24*60)</f>
        <v/>
      </c>
      <c r="V55" s="129">
        <f t="shared" si="28"/>
        <v>57.999999999999957</v>
      </c>
      <c r="W55" s="16"/>
      <c r="X55" s="16"/>
      <c r="Y55" s="123"/>
      <c r="Z55" s="124"/>
      <c r="AA55" s="12">
        <f t="shared" si="20"/>
        <v>-113.10344827586073</v>
      </c>
      <c r="AB55" s="122">
        <f t="shared" si="21"/>
        <v>0.94344827586206959</v>
      </c>
      <c r="AC55" s="442"/>
    </row>
    <row r="56" spans="1:29" ht="15.75" customHeight="1">
      <c r="A56" s="451" t="s">
        <v>288</v>
      </c>
      <c r="B56" s="31" t="s">
        <v>58</v>
      </c>
      <c r="C56" s="125" t="s">
        <v>90</v>
      </c>
      <c r="D56" s="126"/>
      <c r="E56" s="31">
        <v>55.32</v>
      </c>
      <c r="F56" s="35">
        <v>1383</v>
      </c>
      <c r="G56" s="120">
        <f t="shared" si="26"/>
        <v>76507.56</v>
      </c>
      <c r="H56" s="131" t="s">
        <v>103</v>
      </c>
      <c r="I56" s="128">
        <v>15</v>
      </c>
      <c r="J56" s="26">
        <v>2000</v>
      </c>
      <c r="K56" s="10">
        <f t="shared" si="15"/>
        <v>133.33333333333334</v>
      </c>
      <c r="L56" s="128">
        <v>15</v>
      </c>
      <c r="M56" s="11">
        <f t="shared" si="27"/>
        <v>1885.909090909091</v>
      </c>
      <c r="N56" s="11">
        <f t="shared" si="16"/>
        <v>125.72727272727273</v>
      </c>
      <c r="O56" s="12">
        <f t="shared" si="17"/>
        <v>0</v>
      </c>
      <c r="P56" s="13">
        <f t="shared" si="18"/>
        <v>-7.6060606060606091</v>
      </c>
      <c r="Q56" s="122">
        <f t="shared" si="19"/>
        <v>0.94295454545454549</v>
      </c>
      <c r="R56" s="442"/>
      <c r="S56" s="28">
        <v>0.75347222222222221</v>
      </c>
      <c r="T56" s="28">
        <v>0.78402777777777777</v>
      </c>
      <c r="U56" s="120">
        <f>IF(S56=TIME(17,0,0),"",(S56-T55)*24*60)</f>
        <v>6.9999999999999751</v>
      </c>
      <c r="V56" s="129">
        <f t="shared" si="28"/>
        <v>44</v>
      </c>
      <c r="W56" s="16"/>
      <c r="X56" s="16"/>
      <c r="Y56" s="123"/>
      <c r="Z56" s="124"/>
      <c r="AA56" s="12">
        <f t="shared" si="20"/>
        <v>-114.09090909090901</v>
      </c>
      <c r="AB56" s="122">
        <f t="shared" si="21"/>
        <v>0.94295454545454549</v>
      </c>
      <c r="AC56" s="442"/>
    </row>
    <row r="57" spans="1:29" ht="15.75" customHeight="1">
      <c r="A57" s="451" t="s">
        <v>287</v>
      </c>
      <c r="B57" s="31" t="s">
        <v>58</v>
      </c>
      <c r="C57" s="444" t="s">
        <v>91</v>
      </c>
      <c r="D57" s="445"/>
      <c r="E57" s="31">
        <v>57.73</v>
      </c>
      <c r="F57" s="35">
        <v>1168</v>
      </c>
      <c r="G57" s="120">
        <f t="shared" si="26"/>
        <v>67428.639999999999</v>
      </c>
      <c r="H57" s="131" t="s">
        <v>103</v>
      </c>
      <c r="I57" s="128">
        <v>16</v>
      </c>
      <c r="J57" s="26">
        <v>1500</v>
      </c>
      <c r="K57" s="10">
        <f t="shared" si="15"/>
        <v>93.75</v>
      </c>
      <c r="L57" s="128">
        <v>16</v>
      </c>
      <c r="M57" s="11">
        <f t="shared" si="27"/>
        <v>1430.2040816326535</v>
      </c>
      <c r="N57" s="11">
        <f t="shared" si="16"/>
        <v>89.387755102040842</v>
      </c>
      <c r="O57" s="12">
        <f t="shared" si="17"/>
        <v>0</v>
      </c>
      <c r="P57" s="13">
        <f t="shared" si="18"/>
        <v>-4.3622448979591582</v>
      </c>
      <c r="Q57" s="122">
        <f t="shared" si="19"/>
        <v>0.95346938775510226</v>
      </c>
      <c r="R57" s="442"/>
      <c r="S57" s="28">
        <v>0.78749999999999998</v>
      </c>
      <c r="T57" s="28">
        <v>0.82152777777777775</v>
      </c>
      <c r="U57" s="120">
        <f>IF(S57=TIME(17,0,0),"",(S57-T56)*24*60)</f>
        <v>4.9999999999999822</v>
      </c>
      <c r="V57" s="129">
        <f t="shared" si="28"/>
        <v>48.999999999999986</v>
      </c>
      <c r="W57" s="16"/>
      <c r="X57" s="16"/>
      <c r="Y57" s="447"/>
      <c r="Z57" s="448"/>
      <c r="AA57" s="12">
        <f t="shared" si="20"/>
        <v>-69.79591836734653</v>
      </c>
      <c r="AB57" s="122">
        <f t="shared" si="21"/>
        <v>0.95346938775510226</v>
      </c>
      <c r="AC57" s="442"/>
    </row>
    <row r="58" spans="1:29">
      <c r="A58" s="452" t="s">
        <v>287</v>
      </c>
      <c r="B58" s="31" t="s">
        <v>286</v>
      </c>
      <c r="C58" s="446"/>
      <c r="D58" s="446"/>
      <c r="E58" s="121"/>
      <c r="F58" s="33"/>
      <c r="G58" s="10"/>
      <c r="H58" s="130"/>
      <c r="I58" s="19">
        <v>16.5</v>
      </c>
      <c r="J58" s="26">
        <v>1916.6666666666667</v>
      </c>
      <c r="K58" s="10">
        <f t="shared" si="15"/>
        <v>116.16161616161617</v>
      </c>
      <c r="L58" s="19">
        <v>16.5</v>
      </c>
      <c r="M58" s="11">
        <f>AVERAGE(M52:M57)</f>
        <v>1809.8723690103006</v>
      </c>
      <c r="N58" s="10">
        <f t="shared" si="16"/>
        <v>109.68923448547277</v>
      </c>
      <c r="O58" s="12">
        <f t="shared" si="17"/>
        <v>0</v>
      </c>
      <c r="P58" s="13">
        <f t="shared" si="18"/>
        <v>-6.4723816761433994</v>
      </c>
      <c r="Q58" s="122">
        <f t="shared" si="19"/>
        <v>0.94428123600537417</v>
      </c>
      <c r="R58" s="442"/>
      <c r="S58" s="29"/>
      <c r="T58" s="28"/>
      <c r="U58" s="10"/>
      <c r="V58" s="129"/>
      <c r="W58" s="10"/>
      <c r="X58" s="10"/>
      <c r="Y58" s="443"/>
      <c r="Z58" s="443"/>
      <c r="AA58" s="12">
        <f t="shared" si="20"/>
        <v>-106.7942976563661</v>
      </c>
      <c r="AB58" s="122">
        <f t="shared" si="21"/>
        <v>0.94428123600537417</v>
      </c>
      <c r="AC58" s="442"/>
    </row>
    <row r="59" spans="1:29" ht="15.75" customHeight="1">
      <c r="A59" s="449" t="s">
        <v>285</v>
      </c>
      <c r="B59" s="130" t="s">
        <v>92</v>
      </c>
      <c r="C59" s="441" t="s">
        <v>93</v>
      </c>
      <c r="D59" s="441"/>
      <c r="E59" s="31">
        <v>84.51</v>
      </c>
      <c r="F59" s="35">
        <v>1844</v>
      </c>
      <c r="G59" s="120">
        <f t="shared" ref="G59:G64" si="29">E59*F59</f>
        <v>155836.44</v>
      </c>
      <c r="H59" s="131" t="s">
        <v>103</v>
      </c>
      <c r="I59" s="128">
        <v>17</v>
      </c>
      <c r="J59" s="26">
        <v>2400</v>
      </c>
      <c r="K59" s="10">
        <f t="shared" si="15"/>
        <v>141.1764705882353</v>
      </c>
      <c r="L59" s="19">
        <v>17</v>
      </c>
      <c r="M59" s="11">
        <f t="shared" ref="M59:M64" si="30">F59/V59*60</f>
        <v>2257.9591836734703</v>
      </c>
      <c r="N59" s="10">
        <f t="shared" si="16"/>
        <v>132.82112845138062</v>
      </c>
      <c r="O59" s="12">
        <f t="shared" si="17"/>
        <v>0</v>
      </c>
      <c r="P59" s="13">
        <f t="shared" si="18"/>
        <v>-8.3553421368546879</v>
      </c>
      <c r="Q59" s="122">
        <f t="shared" si="19"/>
        <v>0.94081632653061265</v>
      </c>
      <c r="R59" s="442">
        <f>Q65</f>
        <v>0.94835380789956181</v>
      </c>
      <c r="S59" s="28">
        <v>0.125</v>
      </c>
      <c r="T59" s="28">
        <v>0.15902777777777777</v>
      </c>
      <c r="U59" s="120"/>
      <c r="V59" s="129">
        <f t="shared" ref="V59:V64" si="31">(T59-S59)*24*60</f>
        <v>48.999999999999986</v>
      </c>
      <c r="W59" s="18"/>
      <c r="X59" s="18"/>
      <c r="Y59" s="443"/>
      <c r="Z59" s="443"/>
      <c r="AA59" s="12">
        <f t="shared" si="20"/>
        <v>-142.04081632652969</v>
      </c>
      <c r="AB59" s="122">
        <f t="shared" si="21"/>
        <v>0.94081632653061265</v>
      </c>
      <c r="AC59" s="442">
        <f>AB65</f>
        <v>0.94835380789956192</v>
      </c>
    </row>
    <row r="60" spans="1:29" ht="15.75" customHeight="1">
      <c r="A60" s="449" t="s">
        <v>285</v>
      </c>
      <c r="B60" s="130" t="s">
        <v>79</v>
      </c>
      <c r="C60" s="441" t="s">
        <v>94</v>
      </c>
      <c r="D60" s="441"/>
      <c r="E60" s="31">
        <v>26.78</v>
      </c>
      <c r="F60" s="35">
        <v>2558</v>
      </c>
      <c r="G60" s="120">
        <f t="shared" si="29"/>
        <v>68503.240000000005</v>
      </c>
      <c r="H60" s="131" t="s">
        <v>103</v>
      </c>
      <c r="I60" s="128">
        <v>10</v>
      </c>
      <c r="J60" s="26">
        <v>3000</v>
      </c>
      <c r="K60" s="10">
        <f t="shared" si="15"/>
        <v>300</v>
      </c>
      <c r="L60" s="19">
        <v>10</v>
      </c>
      <c r="M60" s="11">
        <f t="shared" si="30"/>
        <v>2842.2222222222222</v>
      </c>
      <c r="N60" s="10">
        <f t="shared" si="16"/>
        <v>284.22222222222223</v>
      </c>
      <c r="O60" s="12">
        <f t="shared" si="17"/>
        <v>0</v>
      </c>
      <c r="P60" s="13">
        <f t="shared" si="18"/>
        <v>-15.777777777777771</v>
      </c>
      <c r="Q60" s="122">
        <f t="shared" si="19"/>
        <v>0.94740740740740748</v>
      </c>
      <c r="R60" s="442"/>
      <c r="S60" s="28">
        <v>0.16249999999999998</v>
      </c>
      <c r="T60" s="28">
        <v>0.19999999999999998</v>
      </c>
      <c r="U60" s="120">
        <f>(S60-T59)*24*60</f>
        <v>4.9999999999999822</v>
      </c>
      <c r="V60" s="129">
        <f t="shared" si="31"/>
        <v>54.000000000000007</v>
      </c>
      <c r="W60" s="120"/>
      <c r="X60" s="120"/>
      <c r="Y60" s="443"/>
      <c r="Z60" s="443"/>
      <c r="AA60" s="12">
        <f t="shared" si="20"/>
        <v>-157.77777777777783</v>
      </c>
      <c r="AB60" s="122">
        <f t="shared" si="21"/>
        <v>0.94740740740740736</v>
      </c>
      <c r="AC60" s="442"/>
    </row>
    <row r="61" spans="1:29" ht="15.75" customHeight="1">
      <c r="A61" s="449" t="s">
        <v>285</v>
      </c>
      <c r="B61" s="130" t="s">
        <v>79</v>
      </c>
      <c r="C61" s="441" t="s">
        <v>95</v>
      </c>
      <c r="D61" s="441"/>
      <c r="E61" s="31">
        <v>35.369999999999997</v>
      </c>
      <c r="F61" s="35">
        <v>1521</v>
      </c>
      <c r="G61" s="120">
        <f t="shared" si="29"/>
        <v>53797.77</v>
      </c>
      <c r="H61" s="131" t="s">
        <v>103</v>
      </c>
      <c r="I61" s="128">
        <v>10</v>
      </c>
      <c r="J61" s="26">
        <v>3000</v>
      </c>
      <c r="K61" s="10">
        <f t="shared" si="15"/>
        <v>300</v>
      </c>
      <c r="L61" s="19">
        <v>10</v>
      </c>
      <c r="M61" s="11">
        <f t="shared" si="30"/>
        <v>2851.8749999999995</v>
      </c>
      <c r="N61" s="10">
        <f t="shared" si="16"/>
        <v>285.18749999999994</v>
      </c>
      <c r="O61" s="12">
        <f t="shared" si="17"/>
        <v>0</v>
      </c>
      <c r="P61" s="13">
        <f t="shared" si="18"/>
        <v>-14.812500000000057</v>
      </c>
      <c r="Q61" s="122">
        <f t="shared" si="19"/>
        <v>0.95062499999999983</v>
      </c>
      <c r="R61" s="442"/>
      <c r="S61" s="28">
        <v>0.20347222222222219</v>
      </c>
      <c r="T61" s="28">
        <v>0.22569444444444442</v>
      </c>
      <c r="U61" s="120">
        <f>(S61-T60)*24*60</f>
        <v>4.9999999999999822</v>
      </c>
      <c r="V61" s="129">
        <f t="shared" si="31"/>
        <v>32.000000000000007</v>
      </c>
      <c r="W61" s="120"/>
      <c r="X61" s="120"/>
      <c r="Y61" s="443"/>
      <c r="Z61" s="443"/>
      <c r="AA61" s="12">
        <f t="shared" si="20"/>
        <v>-148.12500000000045</v>
      </c>
      <c r="AB61" s="122">
        <f t="shared" si="21"/>
        <v>0.95062499999999983</v>
      </c>
      <c r="AC61" s="442"/>
    </row>
    <row r="62" spans="1:29" ht="15.75" customHeight="1">
      <c r="A62" s="449" t="s">
        <v>285</v>
      </c>
      <c r="B62" s="130" t="s">
        <v>53</v>
      </c>
      <c r="C62" s="441" t="s">
        <v>96</v>
      </c>
      <c r="D62" s="441"/>
      <c r="E62" s="31">
        <v>26.97</v>
      </c>
      <c r="F62" s="35">
        <v>3233</v>
      </c>
      <c r="G62" s="120">
        <f t="shared" si="29"/>
        <v>87194.01</v>
      </c>
      <c r="H62" s="131" t="s">
        <v>103</v>
      </c>
      <c r="I62" s="128">
        <v>8</v>
      </c>
      <c r="J62" s="26">
        <v>1500</v>
      </c>
      <c r="K62" s="10">
        <f t="shared" si="15"/>
        <v>187.5</v>
      </c>
      <c r="L62" s="19">
        <v>8</v>
      </c>
      <c r="M62" s="11">
        <f t="shared" si="30"/>
        <v>1405.6521739130442</v>
      </c>
      <c r="N62" s="10">
        <f t="shared" si="16"/>
        <v>175.70652173913052</v>
      </c>
      <c r="O62" s="12">
        <f t="shared" si="17"/>
        <v>0</v>
      </c>
      <c r="P62" s="13">
        <f t="shared" si="18"/>
        <v>-11.793478260869477</v>
      </c>
      <c r="Q62" s="122">
        <f t="shared" si="19"/>
        <v>0.93710144927536276</v>
      </c>
      <c r="R62" s="442"/>
      <c r="S62" s="28">
        <v>0.2298611111111111</v>
      </c>
      <c r="T62" s="28">
        <v>0.3256944444444444</v>
      </c>
      <c r="U62" s="120">
        <f>(S62-T61)*24*60</f>
        <v>6.0000000000000187</v>
      </c>
      <c r="V62" s="129">
        <f t="shared" si="31"/>
        <v>137.99999999999994</v>
      </c>
      <c r="W62" s="120"/>
      <c r="X62" s="120"/>
      <c r="Y62" s="443"/>
      <c r="Z62" s="443"/>
      <c r="AA62" s="12">
        <f t="shared" si="20"/>
        <v>-94.34782608695582</v>
      </c>
      <c r="AB62" s="122">
        <f t="shared" si="21"/>
        <v>0.93710144927536276</v>
      </c>
      <c r="AC62" s="442"/>
    </row>
    <row r="63" spans="1:29">
      <c r="A63" s="450" t="s">
        <v>285</v>
      </c>
      <c r="B63" s="130" t="s">
        <v>79</v>
      </c>
      <c r="C63" s="441" t="s">
        <v>97</v>
      </c>
      <c r="D63" s="441"/>
      <c r="E63" s="31">
        <v>35.119999999999997</v>
      </c>
      <c r="F63" s="35">
        <v>1213</v>
      </c>
      <c r="G63" s="120">
        <f t="shared" si="29"/>
        <v>42600.56</v>
      </c>
      <c r="H63" s="131" t="s">
        <v>103</v>
      </c>
      <c r="I63" s="128">
        <v>13</v>
      </c>
      <c r="J63" s="26">
        <v>2000</v>
      </c>
      <c r="K63" s="10">
        <f t="shared" si="15"/>
        <v>153.84615384615384</v>
      </c>
      <c r="L63" s="19">
        <v>13</v>
      </c>
      <c r="M63" s="11">
        <f t="shared" si="30"/>
        <v>1915.2631578947355</v>
      </c>
      <c r="N63" s="10">
        <f t="shared" si="16"/>
        <v>147.32793522267195</v>
      </c>
      <c r="O63" s="12">
        <f t="shared" si="17"/>
        <v>0</v>
      </c>
      <c r="P63" s="13">
        <f t="shared" si="18"/>
        <v>-6.5182186234818857</v>
      </c>
      <c r="Q63" s="122">
        <f t="shared" si="19"/>
        <v>0.95763157894736772</v>
      </c>
      <c r="R63" s="442"/>
      <c r="S63" s="28">
        <v>0.32986111111111105</v>
      </c>
      <c r="T63" s="28">
        <v>0.35624999999999996</v>
      </c>
      <c r="U63" s="120">
        <f>(S63-T62)*24*60</f>
        <v>5.9999999999999787</v>
      </c>
      <c r="V63" s="129">
        <f t="shared" si="31"/>
        <v>38.000000000000028</v>
      </c>
      <c r="W63" s="16"/>
      <c r="X63" s="16"/>
      <c r="Y63" s="443"/>
      <c r="Z63" s="443"/>
      <c r="AA63" s="12">
        <f t="shared" si="20"/>
        <v>-84.736842105264486</v>
      </c>
      <c r="AB63" s="122">
        <f t="shared" si="21"/>
        <v>0.95763157894736772</v>
      </c>
      <c r="AC63" s="442"/>
    </row>
    <row r="64" spans="1:29" ht="15" customHeight="1">
      <c r="A64" s="450" t="s">
        <v>285</v>
      </c>
      <c r="B64" s="130" t="s">
        <v>79</v>
      </c>
      <c r="C64" s="444" t="s">
        <v>98</v>
      </c>
      <c r="D64" s="445"/>
      <c r="E64" s="31">
        <v>35.869999999999997</v>
      </c>
      <c r="F64" s="35">
        <v>2286</v>
      </c>
      <c r="G64" s="120">
        <f t="shared" si="29"/>
        <v>81998.819999999992</v>
      </c>
      <c r="H64" s="131" t="s">
        <v>103</v>
      </c>
      <c r="I64" s="128">
        <v>10</v>
      </c>
      <c r="J64" s="26">
        <v>3000</v>
      </c>
      <c r="K64" s="10">
        <f t="shared" si="15"/>
        <v>300</v>
      </c>
      <c r="L64" s="19">
        <v>10</v>
      </c>
      <c r="M64" s="11">
        <f t="shared" si="30"/>
        <v>2857.5000000000009</v>
      </c>
      <c r="N64" s="10">
        <f t="shared" si="16"/>
        <v>285.75000000000011</v>
      </c>
      <c r="O64" s="12">
        <f t="shared" si="17"/>
        <v>0</v>
      </c>
      <c r="P64" s="13">
        <f t="shared" si="18"/>
        <v>-14.249999999999886</v>
      </c>
      <c r="Q64" s="122">
        <f t="shared" si="19"/>
        <v>0.95250000000000035</v>
      </c>
      <c r="R64" s="442"/>
      <c r="S64" s="28">
        <v>0.36041666666666661</v>
      </c>
      <c r="T64" s="28">
        <v>0.39374999999999993</v>
      </c>
      <c r="U64" s="120">
        <f>(S64-T63)*24*60</f>
        <v>5.9999999999999787</v>
      </c>
      <c r="V64" s="129">
        <f t="shared" si="31"/>
        <v>47.999999999999986</v>
      </c>
      <c r="W64" s="120"/>
      <c r="X64" s="120"/>
      <c r="Y64" s="447"/>
      <c r="Z64" s="448"/>
      <c r="AA64" s="12">
        <f t="shared" si="20"/>
        <v>-142.49999999999909</v>
      </c>
      <c r="AB64" s="122">
        <f t="shared" si="21"/>
        <v>0.95250000000000035</v>
      </c>
      <c r="AC64" s="442"/>
    </row>
    <row r="65" spans="1:29">
      <c r="A65" s="450" t="s">
        <v>284</v>
      </c>
      <c r="B65" s="31" t="s">
        <v>282</v>
      </c>
      <c r="C65" s="446"/>
      <c r="D65" s="446"/>
      <c r="E65" s="121"/>
      <c r="F65" s="33"/>
      <c r="G65" s="10"/>
      <c r="H65" s="130"/>
      <c r="I65" s="19">
        <v>11.333333333333334</v>
      </c>
      <c r="J65" s="26">
        <v>2483.3333333333335</v>
      </c>
      <c r="K65" s="10">
        <f t="shared" si="15"/>
        <v>219.11764705882354</v>
      </c>
      <c r="L65" s="19">
        <v>11.333333333333334</v>
      </c>
      <c r="M65" s="11">
        <f>AVERAGE(M59:M64)</f>
        <v>2355.0786229505788</v>
      </c>
      <c r="N65" s="10">
        <f t="shared" si="16"/>
        <v>207.80105496622753</v>
      </c>
      <c r="O65" s="12">
        <f t="shared" si="17"/>
        <v>0</v>
      </c>
      <c r="P65" s="13">
        <f t="shared" si="18"/>
        <v>-11.316592092596011</v>
      </c>
      <c r="Q65" s="122">
        <f t="shared" si="19"/>
        <v>0.94835380789956181</v>
      </c>
      <c r="R65" s="442"/>
      <c r="S65" s="28"/>
      <c r="T65" s="28"/>
      <c r="U65" s="10"/>
      <c r="V65" s="129"/>
      <c r="W65" s="10"/>
      <c r="X65" s="10"/>
      <c r="Y65" s="443"/>
      <c r="Z65" s="443"/>
      <c r="AA65" s="12">
        <f t="shared" si="20"/>
        <v>-128.25471038275464</v>
      </c>
      <c r="AB65" s="122">
        <f t="shared" si="21"/>
        <v>0.94835380789956192</v>
      </c>
      <c r="AC65" s="442"/>
    </row>
    <row r="66" spans="1:29" ht="15.75" customHeight="1">
      <c r="A66" s="439" t="s">
        <v>283</v>
      </c>
      <c r="B66" s="130" t="s">
        <v>67</v>
      </c>
      <c r="C66" s="441" t="s">
        <v>99</v>
      </c>
      <c r="D66" s="441"/>
      <c r="E66" s="31">
        <v>20.2</v>
      </c>
      <c r="F66" s="130">
        <v>2874</v>
      </c>
      <c r="G66" s="120">
        <f t="shared" ref="G66:G71" si="32">E66*F66</f>
        <v>58054.799999999996</v>
      </c>
      <c r="H66" s="131" t="s">
        <v>103</v>
      </c>
      <c r="I66" s="128">
        <v>19</v>
      </c>
      <c r="J66" s="26">
        <v>2400</v>
      </c>
      <c r="K66" s="10">
        <f t="shared" si="15"/>
        <v>126.31578947368421</v>
      </c>
      <c r="L66" s="19">
        <v>19</v>
      </c>
      <c r="M66" s="11">
        <f t="shared" ref="M66:M71" si="33">F66/V66*60</f>
        <v>2268.9473684210529</v>
      </c>
      <c r="N66" s="10">
        <f t="shared" si="16"/>
        <v>119.41828254847647</v>
      </c>
      <c r="O66" s="12">
        <f t="shared" si="17"/>
        <v>0</v>
      </c>
      <c r="P66" s="13">
        <f t="shared" si="18"/>
        <v>-6.8975069252077361</v>
      </c>
      <c r="Q66" s="122">
        <f t="shared" si="19"/>
        <v>0.9453947368421054</v>
      </c>
      <c r="R66" s="442">
        <f>Q72</f>
        <v>0.94184599038005756</v>
      </c>
      <c r="S66" s="28">
        <v>8.3333333333333329E-2</v>
      </c>
      <c r="T66" s="28">
        <v>0.1361111111111111</v>
      </c>
      <c r="U66" s="18"/>
      <c r="V66" s="129">
        <f t="shared" ref="V66:V71" si="34">(T66-S66)*24*60</f>
        <v>76</v>
      </c>
      <c r="W66" s="16">
        <f>T66</f>
        <v>0.1361111111111111</v>
      </c>
      <c r="X66" s="16">
        <f>S67</f>
        <v>0.15347222222222218</v>
      </c>
      <c r="Y66" s="443"/>
      <c r="Z66" s="443"/>
      <c r="AA66" s="12">
        <f t="shared" si="20"/>
        <v>-131.05263157894706</v>
      </c>
      <c r="AB66" s="122">
        <f t="shared" si="21"/>
        <v>0.9453947368421054</v>
      </c>
      <c r="AC66" s="442">
        <f>AB72</f>
        <v>0.94184599038005745</v>
      </c>
    </row>
    <row r="67" spans="1:29" ht="15.75" customHeight="1">
      <c r="A67" s="439" t="s">
        <v>283</v>
      </c>
      <c r="B67" s="130" t="s">
        <v>67</v>
      </c>
      <c r="C67" s="441" t="s">
        <v>100</v>
      </c>
      <c r="D67" s="441"/>
      <c r="E67" s="31">
        <v>19.02</v>
      </c>
      <c r="F67" s="130">
        <v>6500</v>
      </c>
      <c r="G67" s="120">
        <f t="shared" si="32"/>
        <v>123630</v>
      </c>
      <c r="H67" s="131">
        <v>2</v>
      </c>
      <c r="I67" s="128">
        <v>15</v>
      </c>
      <c r="J67" s="26">
        <v>2400</v>
      </c>
      <c r="K67" s="10">
        <f t="shared" si="15"/>
        <v>160</v>
      </c>
      <c r="L67" s="19">
        <v>15</v>
      </c>
      <c r="M67" s="11">
        <f t="shared" si="33"/>
        <v>2254.3352601156066</v>
      </c>
      <c r="N67" s="10">
        <f t="shared" si="16"/>
        <v>150.28901734104045</v>
      </c>
      <c r="O67" s="12">
        <f t="shared" si="17"/>
        <v>0</v>
      </c>
      <c r="P67" s="13">
        <f t="shared" si="18"/>
        <v>-9.7109826589595514</v>
      </c>
      <c r="Q67" s="122">
        <f t="shared" si="19"/>
        <v>0.93930635838150278</v>
      </c>
      <c r="R67" s="442"/>
      <c r="S67" s="28">
        <v>0.15347222222222218</v>
      </c>
      <c r="T67" s="28">
        <v>0.27361111111111108</v>
      </c>
      <c r="U67" s="120">
        <f>(S67-T66)*24*60</f>
        <v>24.99999999999995</v>
      </c>
      <c r="V67" s="129">
        <f t="shared" si="34"/>
        <v>173.00000000000003</v>
      </c>
      <c r="W67" s="16"/>
      <c r="X67" s="16"/>
      <c r="Y67" s="443"/>
      <c r="Z67" s="443"/>
      <c r="AA67" s="12">
        <f t="shared" si="20"/>
        <v>-145.66473988439338</v>
      </c>
      <c r="AB67" s="122">
        <f t="shared" si="21"/>
        <v>0.93930635838150278</v>
      </c>
      <c r="AC67" s="442"/>
    </row>
    <row r="68" spans="1:29" ht="15.75" customHeight="1">
      <c r="A68" s="439" t="s">
        <v>283</v>
      </c>
      <c r="B68" s="130" t="s">
        <v>67</v>
      </c>
      <c r="C68" s="441" t="s">
        <v>101</v>
      </c>
      <c r="D68" s="441"/>
      <c r="E68" s="31">
        <v>25</v>
      </c>
      <c r="F68" s="130">
        <v>4160</v>
      </c>
      <c r="G68" s="120">
        <f t="shared" si="32"/>
        <v>104000</v>
      </c>
      <c r="H68" s="131" t="s">
        <v>103</v>
      </c>
      <c r="I68" s="128">
        <v>15</v>
      </c>
      <c r="J68" s="26">
        <v>2400</v>
      </c>
      <c r="K68" s="10">
        <f t="shared" si="15"/>
        <v>160</v>
      </c>
      <c r="L68" s="19">
        <v>15</v>
      </c>
      <c r="M68" s="11">
        <f t="shared" si="33"/>
        <v>2248.6486486486488</v>
      </c>
      <c r="N68" s="10">
        <f t="shared" si="16"/>
        <v>149.90990990990991</v>
      </c>
      <c r="O68" s="12">
        <f t="shared" si="17"/>
        <v>0</v>
      </c>
      <c r="P68" s="13">
        <f t="shared" si="18"/>
        <v>-10.090090090090087</v>
      </c>
      <c r="Q68" s="122">
        <f t="shared" si="19"/>
        <v>0.93693693693693691</v>
      </c>
      <c r="R68" s="442"/>
      <c r="S68" s="28">
        <v>0.27916666666666662</v>
      </c>
      <c r="T68" s="28">
        <v>0.35624999999999996</v>
      </c>
      <c r="U68" s="120">
        <f>(S68-T67)*24*60</f>
        <v>7.9999999999999716</v>
      </c>
      <c r="V68" s="129">
        <f t="shared" si="34"/>
        <v>111</v>
      </c>
      <c r="W68" s="16"/>
      <c r="X68" s="16"/>
      <c r="Y68" s="443"/>
      <c r="Z68" s="443"/>
      <c r="AA68" s="12">
        <f t="shared" si="20"/>
        <v>-151.35135135135124</v>
      </c>
      <c r="AB68" s="122">
        <f t="shared" si="21"/>
        <v>0.93693693693693703</v>
      </c>
      <c r="AC68" s="442"/>
    </row>
    <row r="69" spans="1:29" ht="15.75" customHeight="1">
      <c r="A69" s="439" t="s">
        <v>283</v>
      </c>
      <c r="B69" s="130" t="s">
        <v>67</v>
      </c>
      <c r="C69" s="441" t="s">
        <v>102</v>
      </c>
      <c r="D69" s="441"/>
      <c r="E69" s="31">
        <v>20.52</v>
      </c>
      <c r="F69" s="130">
        <v>4517</v>
      </c>
      <c r="G69" s="120">
        <f t="shared" si="32"/>
        <v>92688.84</v>
      </c>
      <c r="H69" s="131" t="s">
        <v>103</v>
      </c>
      <c r="I69" s="128">
        <v>18</v>
      </c>
      <c r="J69" s="26">
        <v>2400</v>
      </c>
      <c r="K69" s="10">
        <f t="shared" ref="K69:K72" si="35">J69/I69</f>
        <v>133.33333333333334</v>
      </c>
      <c r="L69" s="19">
        <v>18</v>
      </c>
      <c r="M69" s="11">
        <f t="shared" si="33"/>
        <v>2258.5000000000005</v>
      </c>
      <c r="N69" s="10">
        <f t="shared" ref="N69:N72" si="36">M69/L69</f>
        <v>125.47222222222224</v>
      </c>
      <c r="O69" s="12">
        <f t="shared" si="17"/>
        <v>0</v>
      </c>
      <c r="P69" s="13">
        <f t="shared" si="18"/>
        <v>-7.8611111111111001</v>
      </c>
      <c r="Q69" s="122">
        <f t="shared" si="19"/>
        <v>0.94104166666666678</v>
      </c>
      <c r="R69" s="442"/>
      <c r="S69" s="28">
        <v>0.36041666666666661</v>
      </c>
      <c r="T69" s="28">
        <v>0.44374999999999992</v>
      </c>
      <c r="U69" s="120">
        <f>(S69-T68)*24*60</f>
        <v>5.9999999999999787</v>
      </c>
      <c r="V69" s="129">
        <f t="shared" si="34"/>
        <v>119.99999999999997</v>
      </c>
      <c r="W69" s="16"/>
      <c r="X69" s="16"/>
      <c r="Y69" s="443"/>
      <c r="Z69" s="443"/>
      <c r="AA69" s="12">
        <f t="shared" si="20"/>
        <v>-141.49999999999955</v>
      </c>
      <c r="AB69" s="122">
        <f t="shared" si="21"/>
        <v>0.94104166666666689</v>
      </c>
      <c r="AC69" s="442"/>
    </row>
    <row r="70" spans="1:29" ht="15.75" customHeight="1">
      <c r="A70" s="439" t="s">
        <v>283</v>
      </c>
      <c r="B70" s="130" t="s">
        <v>67</v>
      </c>
      <c r="C70" s="441" t="s">
        <v>71</v>
      </c>
      <c r="D70" s="441"/>
      <c r="E70" s="31">
        <v>22.35</v>
      </c>
      <c r="F70" s="130">
        <v>1854</v>
      </c>
      <c r="G70" s="120">
        <f t="shared" si="32"/>
        <v>41436.9</v>
      </c>
      <c r="H70" s="131" t="s">
        <v>103</v>
      </c>
      <c r="I70" s="128">
        <v>16</v>
      </c>
      <c r="J70" s="26">
        <v>2400</v>
      </c>
      <c r="K70" s="10">
        <f t="shared" si="35"/>
        <v>150</v>
      </c>
      <c r="L70" s="19">
        <v>16</v>
      </c>
      <c r="M70" s="11">
        <f t="shared" si="33"/>
        <v>2270.2040816326535</v>
      </c>
      <c r="N70" s="10">
        <f t="shared" si="36"/>
        <v>141.88775510204084</v>
      </c>
      <c r="O70" s="12">
        <f t="shared" si="17"/>
        <v>0</v>
      </c>
      <c r="P70" s="13">
        <f t="shared" si="18"/>
        <v>-8.1122448979591582</v>
      </c>
      <c r="Q70" s="122">
        <f t="shared" si="19"/>
        <v>0.9459183673469389</v>
      </c>
      <c r="R70" s="442"/>
      <c r="S70" s="28">
        <v>0.44930555555555546</v>
      </c>
      <c r="T70" s="28">
        <v>0.48333333333333323</v>
      </c>
      <c r="U70" s="120">
        <f>(S70-T69)*24*60</f>
        <v>7.9999999999999716</v>
      </c>
      <c r="V70" s="129">
        <f t="shared" si="34"/>
        <v>48.999999999999986</v>
      </c>
      <c r="W70" s="16">
        <f>T70</f>
        <v>0.48333333333333323</v>
      </c>
      <c r="X70" s="16">
        <f>S71</f>
        <v>0.52569444444444424</v>
      </c>
      <c r="Y70" s="443"/>
      <c r="Z70" s="443"/>
      <c r="AA70" s="12">
        <f t="shared" si="20"/>
        <v>-129.79591836734653</v>
      </c>
      <c r="AB70" s="122">
        <f t="shared" si="21"/>
        <v>0.9459183673469389</v>
      </c>
      <c r="AC70" s="442"/>
    </row>
    <row r="71" spans="1:29" ht="15.75" customHeight="1">
      <c r="A71" s="439" t="s">
        <v>283</v>
      </c>
      <c r="B71" s="130" t="s">
        <v>67</v>
      </c>
      <c r="C71" s="441" t="s">
        <v>100</v>
      </c>
      <c r="D71" s="441"/>
      <c r="E71" s="31">
        <v>19.02</v>
      </c>
      <c r="F71" s="130">
        <v>4260</v>
      </c>
      <c r="G71" s="120">
        <f t="shared" si="32"/>
        <v>81025.2</v>
      </c>
      <c r="H71" s="131" t="s">
        <v>103</v>
      </c>
      <c r="I71" s="128">
        <v>15</v>
      </c>
      <c r="J71" s="26">
        <v>2400</v>
      </c>
      <c r="K71" s="10">
        <f t="shared" si="35"/>
        <v>160</v>
      </c>
      <c r="L71" s="19">
        <v>15</v>
      </c>
      <c r="M71" s="11">
        <f t="shared" si="33"/>
        <v>2261.9469026548659</v>
      </c>
      <c r="N71" s="10">
        <f t="shared" si="36"/>
        <v>150.79646017699105</v>
      </c>
      <c r="O71" s="12">
        <f t="shared" si="17"/>
        <v>0</v>
      </c>
      <c r="P71" s="13">
        <f t="shared" si="18"/>
        <v>-9.2035398230089527</v>
      </c>
      <c r="Q71" s="122">
        <f t="shared" si="19"/>
        <v>0.94247787610619405</v>
      </c>
      <c r="R71" s="442"/>
      <c r="S71" s="28">
        <v>0.52569444444444424</v>
      </c>
      <c r="T71" s="28">
        <v>0.60416666666666652</v>
      </c>
      <c r="U71" s="120">
        <f>(S71-T70)*24*60</f>
        <v>60.999999999999865</v>
      </c>
      <c r="V71" s="129">
        <f t="shared" si="34"/>
        <v>113.00000000000009</v>
      </c>
      <c r="W71" s="16"/>
      <c r="X71" s="16"/>
      <c r="Y71" s="443"/>
      <c r="Z71" s="443"/>
      <c r="AA71" s="12">
        <f t="shared" si="20"/>
        <v>-138.05309734513412</v>
      </c>
      <c r="AB71" s="122">
        <f t="shared" si="21"/>
        <v>0.94247787610619416</v>
      </c>
      <c r="AC71" s="442"/>
    </row>
    <row r="72" spans="1:29" ht="16.5" customHeight="1">
      <c r="A72" s="440" t="s">
        <v>283</v>
      </c>
      <c r="B72" s="31" t="s">
        <v>282</v>
      </c>
      <c r="C72" s="446"/>
      <c r="D72" s="446"/>
      <c r="E72" s="121"/>
      <c r="F72" s="33"/>
      <c r="G72" s="10"/>
      <c r="H72" s="130"/>
      <c r="I72" s="19">
        <v>16.333333333333332</v>
      </c>
      <c r="J72" s="26">
        <v>2400</v>
      </c>
      <c r="K72" s="10">
        <f t="shared" si="35"/>
        <v>146.9387755102041</v>
      </c>
      <c r="L72" s="19">
        <v>16.333333333333332</v>
      </c>
      <c r="M72" s="11">
        <f>AVERAGE(M66:M71)</f>
        <v>2260.4303769121379</v>
      </c>
      <c r="N72" s="10">
        <f t="shared" si="36"/>
        <v>138.39369654564112</v>
      </c>
      <c r="O72" s="12">
        <f t="shared" si="17"/>
        <v>0</v>
      </c>
      <c r="P72" s="13">
        <f t="shared" si="18"/>
        <v>-8.5450789645629754</v>
      </c>
      <c r="Q72" s="122">
        <f t="shared" si="19"/>
        <v>0.94184599038005756</v>
      </c>
      <c r="R72" s="442"/>
      <c r="S72" s="28"/>
      <c r="T72" s="28"/>
      <c r="U72" s="10"/>
      <c r="V72" s="129"/>
      <c r="W72" s="10"/>
      <c r="X72" s="10"/>
      <c r="Y72" s="443"/>
      <c r="Z72" s="443"/>
      <c r="AA72" s="12">
        <f t="shared" si="20"/>
        <v>-139.56962308786206</v>
      </c>
      <c r="AB72" s="122">
        <f t="shared" si="21"/>
        <v>0.94184599038005745</v>
      </c>
      <c r="AC72" s="442"/>
    </row>
    <row r="73" spans="1:29">
      <c r="D73" s="22"/>
      <c r="E73" s="22"/>
    </row>
  </sheetData>
  <mergeCells count="192"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N3:N4"/>
    <mergeCell ref="O3:O4"/>
    <mergeCell ref="S1:X2"/>
    <mergeCell ref="AA3:AA4"/>
    <mergeCell ref="AB3:AB4"/>
    <mergeCell ref="AC3:AC4"/>
    <mergeCell ref="A9:A13"/>
    <mergeCell ref="C9:D9"/>
    <mergeCell ref="R9:R13"/>
    <mergeCell ref="Y9:Z9"/>
    <mergeCell ref="C13:D13"/>
    <mergeCell ref="Y13:Z13"/>
    <mergeCell ref="Y12:Z12"/>
    <mergeCell ref="H3:H4"/>
    <mergeCell ref="I3:I4"/>
    <mergeCell ref="J3:J4"/>
    <mergeCell ref="K3:K4"/>
    <mergeCell ref="L3:L4"/>
    <mergeCell ref="M3:M4"/>
    <mergeCell ref="A5:A8"/>
    <mergeCell ref="C5:D5"/>
    <mergeCell ref="R5:R8"/>
    <mergeCell ref="Y5:Z5"/>
    <mergeCell ref="U3:U4"/>
    <mergeCell ref="V3:V4"/>
    <mergeCell ref="W3:X3"/>
    <mergeCell ref="Y3:Z4"/>
    <mergeCell ref="AC5:AC8"/>
    <mergeCell ref="C6:D6"/>
    <mergeCell ref="Y6:Z6"/>
    <mergeCell ref="C7:D7"/>
    <mergeCell ref="Y7:Z7"/>
    <mergeCell ref="C8:D8"/>
    <mergeCell ref="Y8:Z8"/>
    <mergeCell ref="AC9:AC13"/>
    <mergeCell ref="C10:D10"/>
    <mergeCell ref="Y10:Z10"/>
    <mergeCell ref="C11:D11"/>
    <mergeCell ref="Y11:Z11"/>
    <mergeCell ref="C12:D12"/>
    <mergeCell ref="A19:A24"/>
    <mergeCell ref="C19:D19"/>
    <mergeCell ref="R19:R24"/>
    <mergeCell ref="Y19:Z19"/>
    <mergeCell ref="Y24:Z24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Y17:Z17"/>
    <mergeCell ref="C18:D18"/>
    <mergeCell ref="Y18:Z18"/>
    <mergeCell ref="AC19:AC24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A25:A32"/>
    <mergeCell ref="C25:D25"/>
    <mergeCell ref="R25:R32"/>
    <mergeCell ref="Y25:Z25"/>
    <mergeCell ref="Y30:Z30"/>
    <mergeCell ref="C31:D31"/>
    <mergeCell ref="Y31:Z31"/>
    <mergeCell ref="C32:D32"/>
    <mergeCell ref="Y32:Z32"/>
    <mergeCell ref="AC25:AC32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AC44:AC51"/>
    <mergeCell ref="C45:D45"/>
    <mergeCell ref="Y45:Z45"/>
    <mergeCell ref="C46:D46"/>
    <mergeCell ref="Y46:Z46"/>
    <mergeCell ref="C47:D47"/>
    <mergeCell ref="Y33:Z33"/>
    <mergeCell ref="C43:D43"/>
    <mergeCell ref="Y43:Z43"/>
    <mergeCell ref="Y36:Z36"/>
    <mergeCell ref="C37:D37"/>
    <mergeCell ref="AC33:AC43"/>
    <mergeCell ref="C34:D34"/>
    <mergeCell ref="Y34:Z34"/>
    <mergeCell ref="C35:D35"/>
    <mergeCell ref="Y35:Z35"/>
    <mergeCell ref="C36:D36"/>
    <mergeCell ref="C40:D40"/>
    <mergeCell ref="Y40:Z40"/>
    <mergeCell ref="C33:D33"/>
    <mergeCell ref="C41:D41"/>
    <mergeCell ref="Y41:Z41"/>
    <mergeCell ref="Y37:Z37"/>
    <mergeCell ref="C38:D38"/>
    <mergeCell ref="A44:A51"/>
    <mergeCell ref="C44:D44"/>
    <mergeCell ref="R44:R51"/>
    <mergeCell ref="Y44:Z44"/>
    <mergeCell ref="Y49:Z49"/>
    <mergeCell ref="C50:D50"/>
    <mergeCell ref="Y50:Z50"/>
    <mergeCell ref="C42:D42"/>
    <mergeCell ref="Y42:Z42"/>
    <mergeCell ref="Y47:Z47"/>
    <mergeCell ref="C48:D48"/>
    <mergeCell ref="Y48:Z48"/>
    <mergeCell ref="C49:D49"/>
    <mergeCell ref="C51:D51"/>
    <mergeCell ref="Y51:Z51"/>
    <mergeCell ref="A33:A43"/>
    <mergeCell ref="Y38:Z38"/>
    <mergeCell ref="C39:D39"/>
    <mergeCell ref="Y39:Z39"/>
    <mergeCell ref="R33:R43"/>
    <mergeCell ref="AC59:AC65"/>
    <mergeCell ref="C60:D60"/>
    <mergeCell ref="Y60:Z60"/>
    <mergeCell ref="C61:D61"/>
    <mergeCell ref="Y61:Z61"/>
    <mergeCell ref="C62:D62"/>
    <mergeCell ref="A66:A72"/>
    <mergeCell ref="C66:D66"/>
    <mergeCell ref="R66:R72"/>
    <mergeCell ref="Y66:Z66"/>
    <mergeCell ref="Y71:Z71"/>
    <mergeCell ref="C72:D72"/>
    <mergeCell ref="Y72:Z72"/>
    <mergeCell ref="Y62:Z62"/>
    <mergeCell ref="C63:D63"/>
    <mergeCell ref="Y63:Z63"/>
    <mergeCell ref="C64:D64"/>
    <mergeCell ref="Y64:Z64"/>
    <mergeCell ref="A59:A65"/>
    <mergeCell ref="C59:D59"/>
    <mergeCell ref="R59:R65"/>
    <mergeCell ref="Y59:Z59"/>
    <mergeCell ref="C65:D65"/>
    <mergeCell ref="Y65:Z65"/>
    <mergeCell ref="AC52:AC58"/>
    <mergeCell ref="C53:D53"/>
    <mergeCell ref="Y53:Z53"/>
    <mergeCell ref="C54:D54"/>
    <mergeCell ref="C57:D57"/>
    <mergeCell ref="Y57:Z57"/>
    <mergeCell ref="C58:D58"/>
    <mergeCell ref="Y58:Z58"/>
    <mergeCell ref="A52:A58"/>
    <mergeCell ref="C52:D52"/>
    <mergeCell ref="R52:R58"/>
    <mergeCell ref="Y52:Z52"/>
    <mergeCell ref="AC66:AC72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</mergeCells>
  <phoneticPr fontId="3" type="noConversion"/>
  <conditionalFormatting sqref="O62:O72 O5:O9 O13:O15 O51:O59 O18:O49">
    <cfRule type="cellIs" dxfId="204" priority="41" operator="greaterThan">
      <formula>0</formula>
    </cfRule>
  </conditionalFormatting>
  <conditionalFormatting sqref="P5:P7 P62:P64 AA62:AA64 P66:P71 P25:P31 P59 P9 P13:P15 P19:P23 P52:P57 P33:P49 AA5:AA59 AA66:AA72">
    <cfRule type="cellIs" dxfId="203" priority="45" operator="lessThan">
      <formula>0</formula>
    </cfRule>
  </conditionalFormatting>
  <conditionalFormatting sqref="AB62:AB64 Q62:Q72 Q5:Q9 Q13:Q15 Q51:Q59 Q18:Q49 AB5:AB59 AB66:AB72">
    <cfRule type="cellIs" dxfId="202" priority="42" operator="greaterThan">
      <formula>1</formula>
    </cfRule>
    <cfRule type="cellIs" dxfId="201" priority="43" operator="lessThan">
      <formula>0.8</formula>
    </cfRule>
  </conditionalFormatting>
  <conditionalFormatting sqref="AC14:AC15 R14:R15 AC62 R18:R40 AC18:AC40 R62:R72 AC5:AC9 R5:R9 R43:R49 AC43:AC49 AC51:AC59 R51:R59">
    <cfRule type="cellIs" dxfId="200" priority="47" operator="lessThan">
      <formula>0.8</formula>
    </cfRule>
  </conditionalFormatting>
  <conditionalFormatting sqref="AC44">
    <cfRule type="cellIs" dxfId="199" priority="49" operator="lessThan">
      <formula>0.8</formula>
    </cfRule>
  </conditionalFormatting>
  <conditionalFormatting sqref="AC19:AC23">
    <cfRule type="cellIs" dxfId="198" priority="46" operator="lessThan">
      <formula>0.8</formula>
    </cfRule>
  </conditionalFormatting>
  <conditionalFormatting sqref="AC25">
    <cfRule type="cellIs" dxfId="197" priority="48" operator="lessThan">
      <formula>0.8</formula>
    </cfRule>
  </conditionalFormatting>
  <conditionalFormatting sqref="AC33:AC40">
    <cfRule type="cellIs" dxfId="196" priority="44" operator="lessThan">
      <formula>0.8</formula>
    </cfRule>
  </conditionalFormatting>
  <conditionalFormatting sqref="AA65">
    <cfRule type="cellIs" dxfId="195" priority="40" operator="lessThan">
      <formula>0</formula>
    </cfRule>
  </conditionalFormatting>
  <conditionalFormatting sqref="AB65">
    <cfRule type="cellIs" dxfId="194" priority="38" operator="greaterThan">
      <formula>1</formula>
    </cfRule>
    <cfRule type="cellIs" dxfId="193" priority="39" operator="lessThan">
      <formula>0.8</formula>
    </cfRule>
  </conditionalFormatting>
  <conditionalFormatting sqref="O16:O17">
    <cfRule type="cellIs" dxfId="192" priority="33" operator="greaterThan">
      <formula>0</formula>
    </cfRule>
  </conditionalFormatting>
  <conditionalFormatting sqref="P16:P17">
    <cfRule type="cellIs" dxfId="191" priority="36" operator="lessThan">
      <formula>0</formula>
    </cfRule>
  </conditionalFormatting>
  <conditionalFormatting sqref="Q16:Q17">
    <cfRule type="cellIs" dxfId="190" priority="34" operator="greaterThan">
      <formula>1</formula>
    </cfRule>
    <cfRule type="cellIs" dxfId="189" priority="35" operator="lessThan">
      <formula>0.8</formula>
    </cfRule>
  </conditionalFormatting>
  <conditionalFormatting sqref="R16:R17 AC16:AC17">
    <cfRule type="cellIs" dxfId="188" priority="37" operator="lessThan">
      <formula>0.8</formula>
    </cfRule>
  </conditionalFormatting>
  <conditionalFormatting sqref="O10:O12">
    <cfRule type="cellIs" dxfId="187" priority="29" operator="greaterThan">
      <formula>0</formula>
    </cfRule>
  </conditionalFormatting>
  <conditionalFormatting sqref="P10:P12">
    <cfRule type="cellIs" dxfId="186" priority="32" operator="lessThan">
      <formula>0</formula>
    </cfRule>
  </conditionalFormatting>
  <conditionalFormatting sqref="Q10:Q12">
    <cfRule type="cellIs" dxfId="185" priority="30" operator="greaterThan">
      <formula>1</formula>
    </cfRule>
    <cfRule type="cellIs" dxfId="184" priority="31" operator="lessThan">
      <formula>0.8</formula>
    </cfRule>
  </conditionalFormatting>
  <conditionalFormatting sqref="R41 AC41">
    <cfRule type="cellIs" dxfId="183" priority="28" operator="lessThan">
      <formula>0.8</formula>
    </cfRule>
  </conditionalFormatting>
  <conditionalFormatting sqref="AC41">
    <cfRule type="cellIs" dxfId="182" priority="27" operator="lessThan">
      <formula>0.8</formula>
    </cfRule>
  </conditionalFormatting>
  <conditionalFormatting sqref="O61">
    <cfRule type="cellIs" dxfId="181" priority="22" operator="greaterThan">
      <formula>0</formula>
    </cfRule>
  </conditionalFormatting>
  <conditionalFormatting sqref="P61 AA61">
    <cfRule type="cellIs" dxfId="180" priority="25" operator="lessThan">
      <formula>0</formula>
    </cfRule>
  </conditionalFormatting>
  <conditionalFormatting sqref="Q61 AB61">
    <cfRule type="cellIs" dxfId="179" priority="23" operator="greaterThan">
      <formula>1</formula>
    </cfRule>
    <cfRule type="cellIs" dxfId="178" priority="24" operator="lessThan">
      <formula>0.8</formula>
    </cfRule>
  </conditionalFormatting>
  <conditionalFormatting sqref="R61 AC61">
    <cfRule type="cellIs" dxfId="177" priority="26" operator="lessThan">
      <formula>0.8</formula>
    </cfRule>
  </conditionalFormatting>
  <conditionalFormatting sqref="O50">
    <cfRule type="cellIs" dxfId="176" priority="16" operator="greaterThan">
      <formula>0</formula>
    </cfRule>
  </conditionalFormatting>
  <conditionalFormatting sqref="P50">
    <cfRule type="cellIs" dxfId="175" priority="20" operator="lessThan">
      <formula>0</formula>
    </cfRule>
  </conditionalFormatting>
  <conditionalFormatting sqref="Q50">
    <cfRule type="cellIs" dxfId="174" priority="17" operator="greaterThan">
      <formula>1</formula>
    </cfRule>
    <cfRule type="cellIs" dxfId="173" priority="18" operator="lessThan">
      <formula>0.8</formula>
    </cfRule>
  </conditionalFormatting>
  <conditionalFormatting sqref="R50 AC50">
    <cfRule type="cellIs" dxfId="172" priority="21" operator="lessThan">
      <formula>0.8</formula>
    </cfRule>
  </conditionalFormatting>
  <conditionalFormatting sqref="AC50">
    <cfRule type="cellIs" dxfId="171" priority="19" operator="lessThan">
      <formula>0.8</formula>
    </cfRule>
  </conditionalFormatting>
  <conditionalFormatting sqref="O60">
    <cfRule type="cellIs" dxfId="170" priority="11" operator="greaterThan">
      <formula>0</formula>
    </cfRule>
  </conditionalFormatting>
  <conditionalFormatting sqref="P60 AA60">
    <cfRule type="cellIs" dxfId="169" priority="14" operator="lessThan">
      <formula>0</formula>
    </cfRule>
  </conditionalFormatting>
  <conditionalFormatting sqref="Q60 AB60">
    <cfRule type="cellIs" dxfId="168" priority="12" operator="greaterThan">
      <formula>1</formula>
    </cfRule>
    <cfRule type="cellIs" dxfId="167" priority="13" operator="lessThan">
      <formula>0.8</formula>
    </cfRule>
  </conditionalFormatting>
  <conditionalFormatting sqref="R60 AC60">
    <cfRule type="cellIs" dxfId="166" priority="15" operator="lessThan">
      <formula>0.8</formula>
    </cfRule>
  </conditionalFormatting>
  <conditionalFormatting sqref="P8">
    <cfRule type="cellIs" dxfId="165" priority="10" operator="lessThan">
      <formula>0</formula>
    </cfRule>
  </conditionalFormatting>
  <conditionalFormatting sqref="P18">
    <cfRule type="cellIs" dxfId="164" priority="9" operator="lessThan">
      <formula>0</formula>
    </cfRule>
  </conditionalFormatting>
  <conditionalFormatting sqref="P24">
    <cfRule type="cellIs" dxfId="163" priority="8" operator="lessThan">
      <formula>0</formula>
    </cfRule>
  </conditionalFormatting>
  <conditionalFormatting sqref="P32">
    <cfRule type="cellIs" dxfId="162" priority="7" operator="lessThan">
      <formula>0</formula>
    </cfRule>
  </conditionalFormatting>
  <conditionalFormatting sqref="P51">
    <cfRule type="cellIs" dxfId="161" priority="6" operator="lessThan">
      <formula>0</formula>
    </cfRule>
  </conditionalFormatting>
  <conditionalFormatting sqref="P58">
    <cfRule type="cellIs" dxfId="160" priority="5" operator="lessThan">
      <formula>0</formula>
    </cfRule>
  </conditionalFormatting>
  <conditionalFormatting sqref="P65">
    <cfRule type="cellIs" dxfId="159" priority="4" operator="lessThan">
      <formula>0</formula>
    </cfRule>
  </conditionalFormatting>
  <conditionalFormatting sqref="P72">
    <cfRule type="cellIs" dxfId="158" priority="3" operator="lessThan">
      <formula>0</formula>
    </cfRule>
  </conditionalFormatting>
  <conditionalFormatting sqref="R42 AC42">
    <cfRule type="cellIs" dxfId="157" priority="2" operator="lessThan">
      <formula>0.8</formula>
    </cfRule>
  </conditionalFormatting>
  <conditionalFormatting sqref="AC42">
    <cfRule type="cellIs" dxfId="156" priority="1" operator="lessThan">
      <formula>0.8</formula>
    </cfRule>
  </conditionalFormatting>
  <dataValidations count="1">
    <dataValidation type="list" allowBlank="1" showInputMessage="1" showErrorMessage="1" sqref="Z8 Z63:Z64 Y5:Z7 Y8:Y64 Z10:Z59 Y65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B1:Q28"/>
  <sheetViews>
    <sheetView zoomScale="80" zoomScaleNormal="80" workbookViewId="0">
      <selection activeCell="L3" sqref="L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108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135" t="s">
        <v>109</v>
      </c>
      <c r="C3" s="493" t="str">
        <f>TEXT('0903 4度C'!A2,"yyyy.mm.ddaaaa")</f>
        <v>2025.09.03星期三</v>
      </c>
      <c r="D3" s="493"/>
      <c r="E3" s="135" t="s">
        <v>110</v>
      </c>
      <c r="F3" s="494">
        <f>'0903 4度C'!D1</f>
        <v>182804</v>
      </c>
      <c r="G3" s="494"/>
      <c r="H3" s="135" t="s">
        <v>111</v>
      </c>
      <c r="I3" s="495">
        <f>'0903 4度C'!F1</f>
        <v>6228436.4099999992</v>
      </c>
      <c r="J3" s="495"/>
      <c r="K3" s="45"/>
      <c r="L3" s="46"/>
      <c r="M3" s="47"/>
      <c r="N3" s="47"/>
    </row>
    <row r="4" spans="2:17" ht="28.5" customHeight="1">
      <c r="B4" s="496" t="s">
        <v>112</v>
      </c>
      <c r="C4" s="496" t="s">
        <v>113</v>
      </c>
      <c r="D4" s="496"/>
      <c r="E4" s="497" t="s">
        <v>114</v>
      </c>
      <c r="F4" s="497"/>
      <c r="G4" s="497" t="s">
        <v>115</v>
      </c>
      <c r="H4" s="497"/>
      <c r="I4" s="497" t="s">
        <v>116</v>
      </c>
      <c r="J4" s="497"/>
      <c r="L4" s="47"/>
      <c r="M4" s="47"/>
      <c r="N4" s="47"/>
    </row>
    <row r="5" spans="2:17" ht="28.5" customHeight="1">
      <c r="B5" s="496"/>
      <c r="C5" s="496" t="s">
        <v>117</v>
      </c>
      <c r="D5" s="496"/>
      <c r="E5" s="496" t="s">
        <v>118</v>
      </c>
      <c r="F5" s="496"/>
      <c r="G5" s="498" t="s">
        <v>119</v>
      </c>
      <c r="H5" s="498"/>
      <c r="I5" s="499" t="s">
        <v>120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145.20380678651344</v>
      </c>
      <c r="F6" s="496">
        <f>AVERAGE(D27:O27,D13:J13)</f>
        <v>148.60921567803351</v>
      </c>
      <c r="G6" s="501">
        <f>AVERAGE(D13:J13)</f>
        <v>148.60921567803351</v>
      </c>
      <c r="H6" s="501"/>
      <c r="I6" s="501">
        <f>AVERAGE(K13:M13)</f>
        <v>137.25785270629993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136.95045295849332</v>
      </c>
      <c r="F7" s="506">
        <f>AVERAGE(D28:O28,D14:J14)</f>
        <v>140.21679582998502</v>
      </c>
      <c r="G7" s="507">
        <f>AVERAGE(D14:J14)</f>
        <v>140.21679582998502</v>
      </c>
      <c r="H7" s="507"/>
      <c r="I7" s="507">
        <f>AVERAGE(K14:M14)</f>
        <v>129.32898625834596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0.94277869008879023</v>
      </c>
      <c r="F8" s="504">
        <f>AVERAGE(D15:J15,D29:O29)</f>
        <v>0.94300752518419961</v>
      </c>
      <c r="G8" s="509">
        <f>AVERAGE(D15:J15)</f>
        <v>0.94300752518419961</v>
      </c>
      <c r="H8" s="509"/>
      <c r="I8" s="509">
        <f>AVERAGE(K15:M15)</f>
        <v>0.94224474153283533</v>
      </c>
      <c r="J8" s="509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125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503" t="s">
        <v>128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10</v>
      </c>
      <c r="C13" s="58" t="s">
        <v>140</v>
      </c>
      <c r="D13" s="59">
        <f>SUMIFS('0903 4度C'!$K:$K,'0903 4度C'!$A:$A,"新豐6線",'0903 4度C'!$B:$B,"平均")</f>
        <v>117.64705882352941</v>
      </c>
      <c r="E13" s="60">
        <f>SUMIFS('0903 4度C'!$K:$K,'0903 4度C'!$A:$A,"新豐2線",'0903 4度C'!$B:$B,"平均")</f>
        <v>83.333333333333329</v>
      </c>
      <c r="F13" s="61">
        <f>SUMIFS('0903 4度C'!$K:$K,'0903 4度C'!$A:$A,"新豐5線",'0903 4度C'!$B:$B,"平均")</f>
        <v>87.5</v>
      </c>
      <c r="G13" s="61">
        <f>SUMIFS('0903 4度C'!$K:$K,'0903 4度C'!$A:$A,"新豐7線",'0903 4度C'!$B:$B,"平均")</f>
        <v>116.50485436893203</v>
      </c>
      <c r="H13" s="61">
        <f>SUMIFS('0903 4度C'!$K:$K,'0903 4度C'!$A:$A,"新豐3線",'0903 4度C'!$B:$B,"平均")</f>
        <v>300</v>
      </c>
      <c r="I13" s="61">
        <f>SUMIFS('0903 4度C'!$K:$K,'0903 4度C'!$A:$A,"新豐1線",'0903 4度C'!$B:$B,"平均")</f>
        <v>116.16161616161617</v>
      </c>
      <c r="J13" s="62">
        <f>SUMIFS('0903 4度C'!$K:$K,'0903 4度C'!$A:$A,"新豐10線",'0903 4度C'!$B:$B,"平均")</f>
        <v>219.11764705882354</v>
      </c>
      <c r="K13" s="63">
        <f>SUMIFS('0903 4度C'!$K:$K,'0903 4度C'!$A:$A,"新豐8線",'0903 4度C'!$B:$B,"平均")</f>
        <v>134.4</v>
      </c>
      <c r="L13" s="64">
        <f>SUMIFS('0903 4度C'!$K:$K,'0903 4度C'!$A:$A,"新豐9線",'0903 4度C'!$B:$B,"平均")</f>
        <v>130.43478260869566</v>
      </c>
      <c r="M13" s="62">
        <f>SUMIFS('0903 4度C'!$K:$K,'0903 4度C'!$A:$A,"新豐4線",'0903 4度C'!$B:$B,"平均")</f>
        <v>146.9387755102041</v>
      </c>
    </row>
    <row r="14" spans="2:17" ht="39.6" customHeight="1">
      <c r="B14" s="515"/>
      <c r="C14" s="65" t="s">
        <v>141</v>
      </c>
      <c r="D14" s="66">
        <f>SUMIFS('0903 4度C'!$N:$N,'0903 4度C'!$A:$A,"新豐6線",'0903 4度C'!$B:$B,"平均")</f>
        <v>111.53663298529462</v>
      </c>
      <c r="E14" s="67">
        <f>SUMIFS('0903 4度C'!$N:$N,'0903 4度C'!$A:$A,"新豐2線",'0903 4度C'!$B:$B,"平均")</f>
        <v>78.173445388834395</v>
      </c>
      <c r="F14" s="67">
        <f>SUMIFS('0903 4度C'!$N:$N,'0903 4度C'!$A:$A,"新豐5線",'0903 4度C'!$B:$B,"平均")</f>
        <v>82.499636419934646</v>
      </c>
      <c r="G14" s="67">
        <f>SUMIFS('0903 4度C'!$N:$N,'0903 4度C'!$A:$A,"新豐7線",'0903 4度C'!$B:$B,"平均")</f>
        <v>109.85121447157948</v>
      </c>
      <c r="H14" s="67">
        <f>SUMIFS('0903 4度C'!$N:$N,'0903 4度C'!$A:$A,"新豐3線",'0903 4度C'!$B:$B,"平均")</f>
        <v>284.00486415645531</v>
      </c>
      <c r="I14" s="67">
        <f>SUMIFS('0903 4度C'!$N:$N,'0903 4度C'!$A:$A,"新豐1線",'0903 4度C'!$B:$B,"平均")</f>
        <v>109.47976889250941</v>
      </c>
      <c r="J14" s="68">
        <f>SUMIFS('0903 4度C'!$N:$N,'0903 4度C'!$A:$A,"新豐10線",'0903 4度C'!$B:$B,"平均")</f>
        <v>205.97200849528721</v>
      </c>
      <c r="K14" s="69">
        <f>SUMIFS('0903 4度C'!$N:$N,'0903 4度C'!$A:$A,"新豐8線",'0903 4度C'!$B:$B,"平均")</f>
        <v>126.73255536956823</v>
      </c>
      <c r="L14" s="70">
        <f>SUMIFS('0903 4度C'!$N:$N,'0903 4度C'!$A:$A,"新豐9線",'0903 4度C'!$B:$B,"平均")</f>
        <v>122.86719557835295</v>
      </c>
      <c r="M14" s="68">
        <f>SUMIFS('0903 4度C'!$N:$N,'0903 4度C'!$A:$A,"新豐4線",'0903 4度C'!$B:$B,"平均")</f>
        <v>138.38720782711678</v>
      </c>
    </row>
    <row r="15" spans="2:17" ht="40.15" customHeight="1">
      <c r="B15" s="515"/>
      <c r="C15" s="71" t="s">
        <v>142</v>
      </c>
      <c r="D15" s="72">
        <f>D14/D13</f>
        <v>0.94806138037500431</v>
      </c>
      <c r="E15" s="73">
        <f t="shared" ref="E15:M15" si="0">E14/E13</f>
        <v>0.93808134466601278</v>
      </c>
      <c r="F15" s="73">
        <f t="shared" si="0"/>
        <v>0.94285298765639591</v>
      </c>
      <c r="G15" s="73">
        <f t="shared" si="0"/>
        <v>0.94288959088105728</v>
      </c>
      <c r="H15" s="73">
        <f>H14/H13</f>
        <v>0.94668288052151772</v>
      </c>
      <c r="I15" s="73">
        <f>I14/I13</f>
        <v>0.94247801046595059</v>
      </c>
      <c r="J15" s="74">
        <f>J14/J13</f>
        <v>0.94000648172345835</v>
      </c>
      <c r="K15" s="72">
        <f>K14/K13</f>
        <v>0.9429505607854779</v>
      </c>
      <c r="L15" s="73">
        <f>L14/L13</f>
        <v>0.94198183276737257</v>
      </c>
      <c r="M15" s="74">
        <f t="shared" si="0"/>
        <v>0.94180183104565574</v>
      </c>
    </row>
    <row r="16" spans="2:17" ht="17.25" customHeight="1">
      <c r="B16" s="502" t="s">
        <v>143</v>
      </c>
      <c r="C16" s="134" t="s">
        <v>144</v>
      </c>
      <c r="D16" s="76">
        <f>VLOOKUP("新豐6線",'0903 4度C'!$A:$T,19,0)</f>
        <v>0.70833333333333337</v>
      </c>
      <c r="E16" s="28">
        <f>VLOOKUP("新豐2線",'0903 4度C'!$A:$T,19,0)</f>
        <v>8.3333333333333329E-2</v>
      </c>
      <c r="F16" s="28">
        <f>VLOOKUP("新豐5線",'0903 4度C'!$A:$T,19,0)</f>
        <v>0.20833333333333334</v>
      </c>
      <c r="G16" s="28">
        <f>VLOOKUP("新豐7線",'0903 4度C'!$A:$T,19,0)</f>
        <v>0.20833333333333334</v>
      </c>
      <c r="H16" s="28">
        <f>VLOOKUP("新豐3線",'0903 4度C'!$A:$T,19,0)</f>
        <v>8.3333333333333329E-2</v>
      </c>
      <c r="I16" s="28">
        <f>VLOOKUP("新豐1線",'0903 4度C'!$A:$T,19,0)</f>
        <v>0.25</v>
      </c>
      <c r="J16" s="77">
        <f>VLOOKUP("新豐10線",'0903 4度C'!$A:$T,19,0)</f>
        <v>0.125</v>
      </c>
      <c r="K16" s="78">
        <f>VLOOKUP("新豐8線",'0903 4度C'!$A:$T,19,0)</f>
        <v>8.3333333333333329E-2</v>
      </c>
      <c r="L16" s="79">
        <f>VLOOKUP("新豐9線",'0903 4度C'!$A:$T,19,0)</f>
        <v>0.125</v>
      </c>
      <c r="M16" s="80">
        <f>VLOOKUP("新豐4線",'0903 4度C'!$A:$T,19,0)</f>
        <v>8.3333333333333329E-2</v>
      </c>
    </row>
    <row r="17" spans="2:13" ht="17.25" customHeight="1">
      <c r="B17" s="503"/>
      <c r="C17" s="134" t="s">
        <v>145</v>
      </c>
      <c r="D17" s="78">
        <f>LOOKUP(2,1/(('0903 4度C'!$A:$A="新豐6線")*('0903 4度C'!$T:$T&lt;&gt;"")),'0903 4度C'!$T:$T)</f>
        <v>0.82916666666666661</v>
      </c>
      <c r="E17" s="28">
        <f>LOOKUP(2,1/(('0903 4度C'!$A:$A="新豐2線")*('0903 4度C'!$T:$T&lt;&gt;"")),'0903 4度C'!$T:$T)</f>
        <v>0.5986111111111112</v>
      </c>
      <c r="F17" s="28">
        <f>LOOKUP(2,1/(('0903 4度C'!$A:$A="新豐5線")*('0903 4度C'!$T:$T&lt;&gt;"")),'0903 4度C'!$T:$T)</f>
        <v>0.84097222222222223</v>
      </c>
      <c r="G17" s="28">
        <f>LOOKUP(2,1/(('0903 4度C'!$A:$A="新豐7線")*('0903 4度C'!$T:$T&lt;&gt;"")),'0903 4度C'!$T:$T)</f>
        <v>0.79930555555555549</v>
      </c>
      <c r="H17" s="28">
        <f>LOOKUP(2,1/(('0903 4度C'!$A:$A="新豐3線")*('0903 4度C'!$T:$T&lt;&gt;"")),'0903 4度C'!$T:$T)</f>
        <v>0.49027777777777776</v>
      </c>
      <c r="I17" s="28">
        <f>LOOKUP(2,1/(('0903 4度C'!$A:$A="新豐1線")*('0903 4度C'!$T:$T&lt;&gt;"")),'0903 4度C'!$T:$T)</f>
        <v>0.84236111111111112</v>
      </c>
      <c r="J17" s="77">
        <f>LOOKUP(2,1/(('0903 4度C'!$A:$A="新豐10線")*('0903 4度C'!$T:$T&lt;&gt;"")),'0903 4度C'!$T:$T)</f>
        <v>0.41805555555555551</v>
      </c>
      <c r="K17" s="76">
        <f>LOOKUP(2,1/(('0903 4度C'!$A:$A="新豐8線")*('0903 4度C'!$T:$T&lt;&gt;"")),'0903 4度C'!$T:$T)</f>
        <v>0.67986111111111103</v>
      </c>
      <c r="L17" s="28">
        <f>LOOKUP(2,1/(('0903 4度C'!$A:$A="新豐9線")*('0903 4度C'!$T:$T&lt;&gt;"")),'0903 4度C'!$T:$T)</f>
        <v>0.73819444444444438</v>
      </c>
      <c r="M17" s="77">
        <f>LOOKUP(2,1/(('0903 4度C'!$A:$A="新豐4線")*('0903 4度C'!$T:$T&lt;&gt;"")),'0903 4度C'!$T:$T)</f>
        <v>0.63055555555555554</v>
      </c>
    </row>
    <row r="18" spans="2:13" ht="17.25" customHeight="1">
      <c r="B18" s="503" t="s">
        <v>146</v>
      </c>
      <c r="C18" s="514"/>
      <c r="D18" s="81">
        <f>SUMIFS('0903 4度C'!$I:$I,'0903 4度C'!$A:$A,"新豐6線",'0903 4度C'!$B:$B,"平均")</f>
        <v>17</v>
      </c>
      <c r="E18" s="82">
        <f>SUMIFS('0903 4度C'!$I:$I,'0903 4度C'!$A:$A,"新豐2線",'0903 4度C'!$B:$B,"平均")</f>
        <v>18</v>
      </c>
      <c r="F18" s="82">
        <f>SUMIFS('0903 4度C'!$I:$I,'0903 4度C'!$A:$A,"新豐5線",'0903 4度C'!$B:$B,"平均")</f>
        <v>20</v>
      </c>
      <c r="G18" s="82">
        <f>SUMIFS('0903 4度C'!$I:$I,'0903 4度C'!$A:$A,"新豐7線",'0903 4度C'!$B:$B,"平均")</f>
        <v>17.166666666666668</v>
      </c>
      <c r="H18" s="82">
        <f>SUMIFS('0903 4度C'!$I:$I,'0903 4度C'!$A:$A,"新豐3線",'0903 4度C'!$B:$B,"平均")</f>
        <v>10</v>
      </c>
      <c r="I18" s="82">
        <f>SUMIFS('0903 4度C'!$I:$I,'0903 4度C'!$A:$A,"新豐1線",'0903 4度C'!$B:$B,"平均")</f>
        <v>16.5</v>
      </c>
      <c r="J18" s="83">
        <f>SUMIFS('0903 4度C'!$I:$I,'0903 4度C'!$A:$A,"新豐10線",'0903 4度C'!$B:$B,"平均")</f>
        <v>11.333333333333334</v>
      </c>
      <c r="K18" s="81">
        <f>SUMIFS('0903 4度C'!$I:$I,'0903 4度C'!$A:$A,"新豐8線",'0903 4度C'!$B:$B,"平均")</f>
        <v>17.857142857142858</v>
      </c>
      <c r="L18" s="82">
        <f>SUMIFS('0903 4度C'!$I:$I,'0903 4度C'!$A:$A,"新豐9線",'0903 4度C'!$B:$B,"平均")</f>
        <v>18.399999999999999</v>
      </c>
      <c r="M18" s="83">
        <f>SUMIFS('0903 4度C'!$I:$I,'0903 4度C'!$A:$A,"新豐4線",'0903 4度C'!$B:$B,"平均")</f>
        <v>16.333333333333332</v>
      </c>
    </row>
    <row r="19" spans="2:13" ht="17.25" customHeight="1">
      <c r="B19" s="510" t="s">
        <v>147</v>
      </c>
      <c r="C19" s="511"/>
      <c r="D19" s="84" t="s">
        <v>148</v>
      </c>
      <c r="E19" s="85" t="s">
        <v>149</v>
      </c>
      <c r="F19" s="85" t="s">
        <v>150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152</v>
      </c>
      <c r="L19" s="85" t="s">
        <v>152</v>
      </c>
      <c r="M19" s="86" t="s">
        <v>152</v>
      </c>
    </row>
    <row r="20" spans="2:13" ht="17.25" customHeight="1">
      <c r="B20" s="510" t="s">
        <v>153</v>
      </c>
      <c r="C20" s="511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155</v>
      </c>
      <c r="C21" s="513"/>
      <c r="D21" s="87"/>
      <c r="E21" s="88" t="s">
        <v>156</v>
      </c>
      <c r="F21" s="387" t="s">
        <v>157</v>
      </c>
      <c r="G21" s="388"/>
      <c r="H21" s="88" t="s">
        <v>158</v>
      </c>
      <c r="I21" s="88" t="s">
        <v>159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pageSetUpPr fitToPage="1"/>
  </sheetPr>
  <dimension ref="A1:AC74"/>
  <sheetViews>
    <sheetView zoomScale="80" zoomScaleNormal="80" workbookViewId="0">
      <pane ySplit="4" topLeftCell="A26" activePane="bottomLeft" state="frozen"/>
      <selection activeCell="M27" sqref="M27"/>
      <selection pane="bottomLeft" activeCell="B47" sqref="B47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256</v>
      </c>
      <c r="B1" s="1"/>
      <c r="C1" s="2" t="s">
        <v>257</v>
      </c>
      <c r="D1" s="3">
        <f>SUM(F5:F73)</f>
        <v>182804</v>
      </c>
      <c r="E1" s="108" t="s">
        <v>258</v>
      </c>
      <c r="F1" s="1">
        <f>SUM(G5:G73)</f>
        <v>6228436.4099999992</v>
      </c>
      <c r="G1" s="1" t="s">
        <v>259</v>
      </c>
      <c r="H1" s="106">
        <f>L8+L13+L52+L59+L18+L66+L33+L44+L25+L73</f>
        <v>162.59047619047618</v>
      </c>
      <c r="I1" s="482" t="s">
        <v>260</v>
      </c>
      <c r="J1" s="482"/>
      <c r="K1" s="482"/>
      <c r="L1" s="482" t="s">
        <v>261</v>
      </c>
      <c r="M1" s="482"/>
      <c r="N1" s="482"/>
      <c r="O1" s="482" t="s">
        <v>262</v>
      </c>
      <c r="P1" s="482"/>
      <c r="Q1" s="482"/>
      <c r="R1" s="482"/>
      <c r="S1" s="482" t="s">
        <v>263</v>
      </c>
      <c r="T1" s="482"/>
      <c r="U1" s="482"/>
      <c r="V1" s="482"/>
      <c r="W1" s="482"/>
      <c r="X1" s="482"/>
      <c r="Y1" s="482" t="s">
        <v>264</v>
      </c>
      <c r="Z1" s="482"/>
      <c r="AA1" s="482" t="s">
        <v>265</v>
      </c>
      <c r="AB1" s="483"/>
      <c r="AC1" s="483"/>
    </row>
    <row r="2" spans="1:29" ht="26.25" customHeight="1">
      <c r="A2" s="24">
        <v>45903</v>
      </c>
      <c r="B2" s="25" t="s">
        <v>237</v>
      </c>
      <c r="C2" s="2" t="s">
        <v>255</v>
      </c>
      <c r="D2" s="6">
        <f>AVERAGE(N8,N13,N52,N59,N18,N66,N25,N33,N44,N73)</f>
        <v>136.95045295849332</v>
      </c>
      <c r="E2" s="7" t="s">
        <v>11</v>
      </c>
      <c r="F2" s="8">
        <f>F1/D1</f>
        <v>34.071663694448695</v>
      </c>
      <c r="G2" s="1" t="s">
        <v>266</v>
      </c>
      <c r="H2" s="107">
        <f>COUNT(H5:H73)</f>
        <v>8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267</v>
      </c>
      <c r="B3" s="443" t="s">
        <v>268</v>
      </c>
      <c r="C3" s="443" t="s">
        <v>249</v>
      </c>
      <c r="D3" s="443"/>
      <c r="E3" s="484" t="s">
        <v>269</v>
      </c>
      <c r="F3" s="443" t="s">
        <v>270</v>
      </c>
      <c r="G3" s="484" t="s">
        <v>271</v>
      </c>
      <c r="H3" s="476" t="s">
        <v>218</v>
      </c>
      <c r="I3" s="474" t="s">
        <v>250</v>
      </c>
      <c r="J3" s="479" t="s">
        <v>272</v>
      </c>
      <c r="K3" s="481" t="s">
        <v>255</v>
      </c>
      <c r="L3" s="474" t="s">
        <v>273</v>
      </c>
      <c r="M3" s="479" t="s">
        <v>272</v>
      </c>
      <c r="N3" s="481" t="s">
        <v>255</v>
      </c>
      <c r="O3" s="474" t="s">
        <v>250</v>
      </c>
      <c r="P3" s="481" t="s">
        <v>255</v>
      </c>
      <c r="Q3" s="480" t="s">
        <v>274</v>
      </c>
      <c r="R3" s="451" t="s">
        <v>275</v>
      </c>
      <c r="S3" s="443" t="s">
        <v>25</v>
      </c>
      <c r="T3" s="443"/>
      <c r="U3" s="476" t="s">
        <v>26</v>
      </c>
      <c r="V3" s="476" t="s">
        <v>276</v>
      </c>
      <c r="W3" s="443" t="s">
        <v>277</v>
      </c>
      <c r="X3" s="443"/>
      <c r="Y3" s="477" t="s">
        <v>252</v>
      </c>
      <c r="Z3" s="478"/>
      <c r="AA3" s="479" t="s">
        <v>253</v>
      </c>
      <c r="AB3" s="480" t="s">
        <v>274</v>
      </c>
      <c r="AC3" s="451" t="s">
        <v>251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108" t="s">
        <v>31</v>
      </c>
      <c r="T4" s="108" t="s">
        <v>32</v>
      </c>
      <c r="U4" s="476"/>
      <c r="V4" s="476"/>
      <c r="W4" s="108" t="s">
        <v>278</v>
      </c>
      <c r="X4" s="108" t="s">
        <v>279</v>
      </c>
      <c r="Y4" s="478"/>
      <c r="Z4" s="478"/>
      <c r="AA4" s="479"/>
      <c r="AB4" s="480"/>
      <c r="AC4" s="451"/>
    </row>
    <row r="5" spans="1:29">
      <c r="A5" s="473" t="s">
        <v>239</v>
      </c>
      <c r="B5" s="31" t="s">
        <v>58</v>
      </c>
      <c r="C5" s="475" t="s">
        <v>104</v>
      </c>
      <c r="D5" s="475"/>
      <c r="E5" s="31">
        <v>46.93</v>
      </c>
      <c r="F5" s="109">
        <v>983</v>
      </c>
      <c r="G5" s="108">
        <f>E5*F5</f>
        <v>46132.19</v>
      </c>
      <c r="H5" s="119" t="s">
        <v>103</v>
      </c>
      <c r="I5" s="111">
        <v>17</v>
      </c>
      <c r="J5" s="26">
        <v>2000</v>
      </c>
      <c r="K5" s="10">
        <f>J5/I5</f>
        <v>117.64705882352941</v>
      </c>
      <c r="L5" s="111">
        <v>17</v>
      </c>
      <c r="M5" s="11">
        <f>F5/V5*60</f>
        <v>1902.5806451612873</v>
      </c>
      <c r="N5" s="10">
        <f>M5/L5</f>
        <v>111.91650853889925</v>
      </c>
      <c r="O5" s="12">
        <f t="shared" ref="O5:O7" si="0">L5-I5</f>
        <v>0</v>
      </c>
      <c r="P5" s="13">
        <f t="shared" ref="P5:P7" si="1">N5-K5</f>
        <v>-5.730550284630155</v>
      </c>
      <c r="Q5" s="113">
        <f>N5/K5</f>
        <v>0.95129032258064372</v>
      </c>
      <c r="R5" s="442">
        <f>Q8</f>
        <v>0.94806138037500431</v>
      </c>
      <c r="S5" s="28">
        <v>0.70833333333333337</v>
      </c>
      <c r="T5" s="28">
        <v>0.72986111111111118</v>
      </c>
      <c r="U5" s="108"/>
      <c r="V5" s="110">
        <f>(T5-S5)*24*60</f>
        <v>31.00000000000005</v>
      </c>
      <c r="W5" s="16"/>
      <c r="X5" s="17"/>
      <c r="Y5" s="443"/>
      <c r="Z5" s="443"/>
      <c r="AA5" s="12">
        <f t="shared" ref="AA5:AA68" si="2">M5-J5</f>
        <v>-97.419354838712707</v>
      </c>
      <c r="AB5" s="113">
        <f t="shared" ref="AB5:AB7" si="3">M5/J5</f>
        <v>0.95129032258064361</v>
      </c>
      <c r="AC5" s="442">
        <f>AB8</f>
        <v>0.9480613803750042</v>
      </c>
    </row>
    <row r="6" spans="1:29">
      <c r="A6" s="474" t="s">
        <v>238</v>
      </c>
      <c r="B6" s="31" t="s">
        <v>58</v>
      </c>
      <c r="C6" s="475" t="s">
        <v>105</v>
      </c>
      <c r="D6" s="475"/>
      <c r="E6" s="31">
        <v>50.49</v>
      </c>
      <c r="F6" s="109">
        <v>2133</v>
      </c>
      <c r="G6" s="108">
        <f t="shared" ref="G6:G7" si="4">E6*F6</f>
        <v>107695.17</v>
      </c>
      <c r="H6" s="119" t="s">
        <v>103</v>
      </c>
      <c r="I6" s="111">
        <v>16</v>
      </c>
      <c r="J6" s="26">
        <v>2000</v>
      </c>
      <c r="K6" s="10">
        <f t="shared" ref="K6:K7" si="5">J6/I6</f>
        <v>125</v>
      </c>
      <c r="L6" s="111">
        <v>16</v>
      </c>
      <c r="M6" s="11">
        <f>F6/V6*60</f>
        <v>1882.058823529414</v>
      </c>
      <c r="N6" s="10">
        <f t="shared" ref="N6:N7" si="6">M6/L6</f>
        <v>117.62867647058837</v>
      </c>
      <c r="O6" s="12">
        <f t="shared" si="0"/>
        <v>0</v>
      </c>
      <c r="P6" s="13">
        <f t="shared" si="1"/>
        <v>-7.3713235294116259</v>
      </c>
      <c r="Q6" s="113">
        <f t="shared" ref="Q6:Q7" si="7">N6/K6</f>
        <v>0.941029411764707</v>
      </c>
      <c r="R6" s="442"/>
      <c r="S6" s="28">
        <v>0.73541666666666672</v>
      </c>
      <c r="T6" s="28">
        <v>0.78263888888888888</v>
      </c>
      <c r="U6" s="108">
        <f>(S6-T5)*24*60</f>
        <v>7.9999999999999716</v>
      </c>
      <c r="V6" s="110">
        <f>(T6-S6)*24*60</f>
        <v>67.999999999999915</v>
      </c>
      <c r="W6" s="16"/>
      <c r="X6" s="16"/>
      <c r="Y6" s="443"/>
      <c r="Z6" s="443"/>
      <c r="AA6" s="12">
        <f t="shared" si="2"/>
        <v>-117.94117647058602</v>
      </c>
      <c r="AB6" s="113">
        <f t="shared" si="3"/>
        <v>0.941029411764707</v>
      </c>
      <c r="AC6" s="442"/>
    </row>
    <row r="7" spans="1:29">
      <c r="A7" s="474" t="s">
        <v>239</v>
      </c>
      <c r="B7" s="31" t="s">
        <v>58</v>
      </c>
      <c r="C7" s="471" t="s">
        <v>106</v>
      </c>
      <c r="D7" s="472"/>
      <c r="E7" s="31">
        <v>50.67</v>
      </c>
      <c r="F7" s="109">
        <v>1872</v>
      </c>
      <c r="G7" s="108">
        <f t="shared" si="4"/>
        <v>94854.24</v>
      </c>
      <c r="H7" s="119" t="s">
        <v>103</v>
      </c>
      <c r="I7" s="111">
        <v>18</v>
      </c>
      <c r="J7" s="26">
        <v>2000</v>
      </c>
      <c r="K7" s="10">
        <f t="shared" si="5"/>
        <v>111.11111111111111</v>
      </c>
      <c r="L7" s="111">
        <v>18</v>
      </c>
      <c r="M7" s="11">
        <f t="shared" ref="M7" si="8">F7/V7*60</f>
        <v>1903.7288135593235</v>
      </c>
      <c r="N7" s="10">
        <f t="shared" si="6"/>
        <v>105.76271186440687</v>
      </c>
      <c r="O7" s="12">
        <f t="shared" si="0"/>
        <v>0</v>
      </c>
      <c r="P7" s="13">
        <f t="shared" si="1"/>
        <v>-5.3483992467042469</v>
      </c>
      <c r="Q7" s="113">
        <f t="shared" si="7"/>
        <v>0.95186440677966178</v>
      </c>
      <c r="R7" s="442"/>
      <c r="S7" s="28">
        <v>0.78819444444444442</v>
      </c>
      <c r="T7" s="28">
        <v>0.82916666666666661</v>
      </c>
      <c r="U7" s="108">
        <f t="shared" ref="U7" si="9">(S7-T6)*24*60</f>
        <v>7.9999999999999716</v>
      </c>
      <c r="V7" s="110">
        <f t="shared" ref="V7" si="10">(T7-S7)*24*60</f>
        <v>58.99999999999995</v>
      </c>
      <c r="W7" s="16"/>
      <c r="X7" s="16"/>
      <c r="Y7" s="447"/>
      <c r="Z7" s="448"/>
      <c r="AA7" s="12">
        <f t="shared" si="2"/>
        <v>-96.271186440676502</v>
      </c>
      <c r="AB7" s="113">
        <f t="shared" si="3"/>
        <v>0.95186440677966178</v>
      </c>
      <c r="AC7" s="442"/>
    </row>
    <row r="8" spans="1:29">
      <c r="A8" s="474" t="s">
        <v>239</v>
      </c>
      <c r="B8" s="31" t="s">
        <v>240</v>
      </c>
      <c r="C8" s="446"/>
      <c r="D8" s="446"/>
      <c r="E8" s="112"/>
      <c r="F8" s="33"/>
      <c r="G8" s="10"/>
      <c r="H8" s="109"/>
      <c r="I8" s="19">
        <v>17</v>
      </c>
      <c r="J8" s="26">
        <v>2000</v>
      </c>
      <c r="K8" s="10">
        <f>J8/I8</f>
        <v>117.64705882352941</v>
      </c>
      <c r="L8" s="19">
        <v>17</v>
      </c>
      <c r="M8" s="11">
        <f>AVERAGE(M5:M7)</f>
        <v>1896.1227607500084</v>
      </c>
      <c r="N8" s="10">
        <f>M8/L8</f>
        <v>111.53663298529462</v>
      </c>
      <c r="O8" s="12">
        <f>L8-I8</f>
        <v>0</v>
      </c>
      <c r="P8" s="13">
        <f>N8-K8</f>
        <v>-6.1104258382347894</v>
      </c>
      <c r="Q8" s="113">
        <f>N8/K8</f>
        <v>0.94806138037500431</v>
      </c>
      <c r="R8" s="442"/>
      <c r="S8" s="28"/>
      <c r="T8" s="28"/>
      <c r="U8" s="108"/>
      <c r="V8" s="110"/>
      <c r="W8" s="10"/>
      <c r="X8" s="10"/>
      <c r="Y8" s="443"/>
      <c r="Z8" s="443"/>
      <c r="AA8" s="12">
        <f t="shared" si="2"/>
        <v>-103.87723924999159</v>
      </c>
      <c r="AB8" s="113">
        <f>M8/J8</f>
        <v>0.9480613803750042</v>
      </c>
      <c r="AC8" s="442"/>
    </row>
    <row r="9" spans="1:29" ht="15.75" customHeight="1">
      <c r="A9" s="439" t="s">
        <v>37</v>
      </c>
      <c r="B9" s="31" t="s">
        <v>53</v>
      </c>
      <c r="C9" s="471" t="s">
        <v>107</v>
      </c>
      <c r="D9" s="472"/>
      <c r="E9" s="31">
        <v>39.619999999999997</v>
      </c>
      <c r="F9" s="109">
        <v>4852</v>
      </c>
      <c r="G9" s="108">
        <f t="shared" ref="G9:G12" si="11">E9*F9</f>
        <v>192236.24</v>
      </c>
      <c r="H9" s="119" t="s">
        <v>103</v>
      </c>
      <c r="I9" s="111">
        <v>19</v>
      </c>
      <c r="J9" s="26">
        <v>1500</v>
      </c>
      <c r="K9" s="10">
        <f t="shared" ref="K9:K12" si="12">J9/I9</f>
        <v>78.94736842105263</v>
      </c>
      <c r="L9" s="111">
        <v>19</v>
      </c>
      <c r="M9" s="11">
        <f t="shared" ref="M9:M12" si="13">F9/V9*60</f>
        <v>1406.3768115942025</v>
      </c>
      <c r="N9" s="10">
        <f t="shared" ref="N9:N12" si="14">M9/L9</f>
        <v>74.019832189168554</v>
      </c>
      <c r="O9" s="12">
        <f t="shared" ref="O9:O12" si="15">L9-I9</f>
        <v>0</v>
      </c>
      <c r="P9" s="13">
        <f>N9-K9</f>
        <v>-4.9275362318840763</v>
      </c>
      <c r="Q9" s="113">
        <f>N9/K9</f>
        <v>0.93758454106280165</v>
      </c>
      <c r="R9" s="442">
        <f>Q13</f>
        <v>0.93808134466601278</v>
      </c>
      <c r="S9" s="28">
        <v>8.3333333333333329E-2</v>
      </c>
      <c r="T9" s="28">
        <v>0.22708333333333336</v>
      </c>
      <c r="U9" s="108"/>
      <c r="V9" s="110">
        <f t="shared" ref="V9:V12" si="16">(T9-S9)*24*60</f>
        <v>207.00000000000006</v>
      </c>
      <c r="W9" s="16">
        <f>T9</f>
        <v>0.22708333333333336</v>
      </c>
      <c r="X9" s="16">
        <f>S10</f>
        <v>0.24583333333333338</v>
      </c>
      <c r="Y9" s="443"/>
      <c r="Z9" s="443"/>
      <c r="AA9" s="12">
        <f t="shared" si="2"/>
        <v>-93.623188405797464</v>
      </c>
      <c r="AB9" s="113">
        <f>M9/J9</f>
        <v>0.93758454106280165</v>
      </c>
      <c r="AC9" s="442">
        <f>AB13</f>
        <v>0.93808134466601267</v>
      </c>
    </row>
    <row r="10" spans="1:29" ht="15.75" customHeight="1">
      <c r="A10" s="439" t="s">
        <v>241</v>
      </c>
      <c r="B10" s="31" t="s">
        <v>53</v>
      </c>
      <c r="C10" s="471" t="s">
        <v>54</v>
      </c>
      <c r="D10" s="472"/>
      <c r="E10" s="31">
        <v>39.799999999999997</v>
      </c>
      <c r="F10" s="109">
        <v>4000</v>
      </c>
      <c r="G10" s="108">
        <f t="shared" si="11"/>
        <v>159200</v>
      </c>
      <c r="H10" s="119">
        <v>2</v>
      </c>
      <c r="I10" s="111">
        <v>17</v>
      </c>
      <c r="J10" s="26">
        <v>1500</v>
      </c>
      <c r="K10" s="10">
        <f t="shared" si="12"/>
        <v>88.235294117647058</v>
      </c>
      <c r="L10" s="111">
        <v>17</v>
      </c>
      <c r="M10" s="11">
        <f t="shared" si="13"/>
        <v>1403.5087719298249</v>
      </c>
      <c r="N10" s="10">
        <f t="shared" si="14"/>
        <v>82.559339525283818</v>
      </c>
      <c r="O10" s="12">
        <f t="shared" si="15"/>
        <v>0</v>
      </c>
      <c r="P10" s="13">
        <f t="shared" ref="P10:P12" si="17">N10-K10</f>
        <v>-5.6759545923632402</v>
      </c>
      <c r="Q10" s="113">
        <f t="shared" ref="Q10:Q12" si="18">N10/K10</f>
        <v>0.93567251461988332</v>
      </c>
      <c r="R10" s="442"/>
      <c r="S10" s="28">
        <v>0.24583333333333338</v>
      </c>
      <c r="T10" s="28">
        <v>0.36458333333333337</v>
      </c>
      <c r="U10" s="108">
        <f>(S10-T9)*24*60</f>
        <v>27.000000000000025</v>
      </c>
      <c r="V10" s="110">
        <f t="shared" si="16"/>
        <v>170.99999999999997</v>
      </c>
      <c r="W10" s="16"/>
      <c r="X10" s="16"/>
      <c r="Y10" s="443"/>
      <c r="Z10" s="443"/>
      <c r="AA10" s="12">
        <f t="shared" si="2"/>
        <v>-96.491228070175111</v>
      </c>
      <c r="AB10" s="113">
        <f t="shared" ref="AB10:AB25" si="19">M10/J10</f>
        <v>0.93567251461988321</v>
      </c>
      <c r="AC10" s="442"/>
    </row>
    <row r="11" spans="1:29" ht="15.75" customHeight="1">
      <c r="A11" s="439" t="s">
        <v>280</v>
      </c>
      <c r="B11" s="31" t="s">
        <v>53</v>
      </c>
      <c r="C11" s="471" t="s">
        <v>55</v>
      </c>
      <c r="D11" s="472"/>
      <c r="E11" s="31">
        <v>39.29</v>
      </c>
      <c r="F11" s="109">
        <v>3774</v>
      </c>
      <c r="G11" s="108">
        <f t="shared" si="11"/>
        <v>148280.46</v>
      </c>
      <c r="H11" s="119" t="s">
        <v>103</v>
      </c>
      <c r="I11" s="111">
        <v>19</v>
      </c>
      <c r="J11" s="26">
        <v>1500</v>
      </c>
      <c r="K11" s="10">
        <f t="shared" si="12"/>
        <v>78.94736842105263</v>
      </c>
      <c r="L11" s="111">
        <v>19</v>
      </c>
      <c r="M11" s="11">
        <f t="shared" si="13"/>
        <v>1406.4596273291925</v>
      </c>
      <c r="N11" s="10">
        <f t="shared" si="14"/>
        <v>74.024190912062764</v>
      </c>
      <c r="O11" s="12">
        <f t="shared" si="15"/>
        <v>0</v>
      </c>
      <c r="P11" s="13">
        <f t="shared" si="17"/>
        <v>-4.9231775089898662</v>
      </c>
      <c r="Q11" s="113">
        <f t="shared" si="18"/>
        <v>0.937639751552795</v>
      </c>
      <c r="R11" s="442"/>
      <c r="S11" s="28">
        <v>0.36875000000000002</v>
      </c>
      <c r="T11" s="28">
        <v>0.48055555555555557</v>
      </c>
      <c r="U11" s="108">
        <f t="shared" ref="U11:U12" si="20">(S11-T10)*24*60</f>
        <v>5.9999999999999787</v>
      </c>
      <c r="V11" s="110">
        <f t="shared" si="16"/>
        <v>161</v>
      </c>
      <c r="W11" s="16">
        <f>T11</f>
        <v>0.48055555555555557</v>
      </c>
      <c r="X11" s="16">
        <f>S12</f>
        <v>0.52083333333333337</v>
      </c>
      <c r="Y11" s="443"/>
      <c r="Z11" s="443"/>
      <c r="AA11" s="12">
        <f t="shared" si="2"/>
        <v>-93.540372670807528</v>
      </c>
      <c r="AB11" s="113">
        <f t="shared" si="19"/>
        <v>0.937639751552795</v>
      </c>
      <c r="AC11" s="442"/>
    </row>
    <row r="12" spans="1:29" ht="15.75" customHeight="1">
      <c r="A12" s="439" t="s">
        <v>241</v>
      </c>
      <c r="B12" s="31" t="s">
        <v>53</v>
      </c>
      <c r="C12" s="471" t="s">
        <v>54</v>
      </c>
      <c r="D12" s="472"/>
      <c r="E12" s="31">
        <v>39.799999999999997</v>
      </c>
      <c r="F12" s="109">
        <v>2636</v>
      </c>
      <c r="G12" s="108">
        <f t="shared" si="11"/>
        <v>104912.79999999999</v>
      </c>
      <c r="H12" s="119" t="s">
        <v>103</v>
      </c>
      <c r="I12" s="111">
        <v>17</v>
      </c>
      <c r="J12" s="26">
        <v>1500</v>
      </c>
      <c r="K12" s="10">
        <f t="shared" si="12"/>
        <v>88.235294117647058</v>
      </c>
      <c r="L12" s="111">
        <v>17</v>
      </c>
      <c r="M12" s="11">
        <f t="shared" si="13"/>
        <v>1412.142857142856</v>
      </c>
      <c r="N12" s="10">
        <f t="shared" si="14"/>
        <v>83.067226890756231</v>
      </c>
      <c r="O12" s="12">
        <f t="shared" si="15"/>
        <v>0</v>
      </c>
      <c r="P12" s="13">
        <f t="shared" si="17"/>
        <v>-5.1680672268908268</v>
      </c>
      <c r="Q12" s="113">
        <f t="shared" si="18"/>
        <v>0.94142857142857062</v>
      </c>
      <c r="R12" s="442"/>
      <c r="S12" s="28">
        <v>0.52083333333333337</v>
      </c>
      <c r="T12" s="28">
        <v>0.5986111111111112</v>
      </c>
      <c r="U12" s="108">
        <f t="shared" si="20"/>
        <v>58.000000000000036</v>
      </c>
      <c r="V12" s="110">
        <f t="shared" si="16"/>
        <v>112.00000000000009</v>
      </c>
      <c r="W12" s="16"/>
      <c r="X12" s="16"/>
      <c r="Y12" s="443"/>
      <c r="Z12" s="443"/>
      <c r="AA12" s="12">
        <f t="shared" si="2"/>
        <v>-87.857142857144026</v>
      </c>
      <c r="AB12" s="113">
        <f t="shared" si="19"/>
        <v>0.94142857142857062</v>
      </c>
      <c r="AC12" s="442"/>
    </row>
    <row r="13" spans="1:29" ht="16.5" customHeight="1">
      <c r="A13" s="439" t="s">
        <v>280</v>
      </c>
      <c r="B13" s="31" t="s">
        <v>36</v>
      </c>
      <c r="C13" s="446"/>
      <c r="D13" s="446"/>
      <c r="E13" s="112"/>
      <c r="F13" s="26"/>
      <c r="G13" s="11"/>
      <c r="H13" s="109"/>
      <c r="I13" s="19">
        <v>18</v>
      </c>
      <c r="J13" s="26">
        <v>1500</v>
      </c>
      <c r="K13" s="10">
        <f>J13/I13</f>
        <v>83.333333333333329</v>
      </c>
      <c r="L13" s="19">
        <v>18</v>
      </c>
      <c r="M13" s="11">
        <f>AVERAGE(M9:M12)</f>
        <v>1407.122016999019</v>
      </c>
      <c r="N13" s="10">
        <f>M13/L13</f>
        <v>78.173445388834395</v>
      </c>
      <c r="O13" s="12">
        <f>L13-I13</f>
        <v>0</v>
      </c>
      <c r="P13" s="13">
        <f>N13-K13</f>
        <v>-5.1598879444989336</v>
      </c>
      <c r="Q13" s="113">
        <f>N13/K13</f>
        <v>0.93808134466601278</v>
      </c>
      <c r="R13" s="442"/>
      <c r="S13" s="28"/>
      <c r="T13" s="28"/>
      <c r="U13" s="10"/>
      <c r="V13" s="110"/>
      <c r="W13" s="10"/>
      <c r="X13" s="10"/>
      <c r="Y13" s="443"/>
      <c r="Z13" s="443"/>
      <c r="AA13" s="12">
        <f t="shared" si="2"/>
        <v>-92.877983000980976</v>
      </c>
      <c r="AB13" s="113">
        <f t="shared" si="19"/>
        <v>0.93808134466601267</v>
      </c>
      <c r="AC13" s="442"/>
    </row>
    <row r="14" spans="1:29" ht="16.5" customHeight="1">
      <c r="A14" s="469" t="s">
        <v>162</v>
      </c>
      <c r="B14" s="109" t="s">
        <v>56</v>
      </c>
      <c r="C14" s="464" t="s">
        <v>57</v>
      </c>
      <c r="D14" s="464"/>
      <c r="E14" s="31">
        <v>41</v>
      </c>
      <c r="F14" s="109">
        <v>1871</v>
      </c>
      <c r="G14" s="108">
        <f t="shared" ref="G14:G17" si="21">E14*F14</f>
        <v>76711</v>
      </c>
      <c r="H14" s="119" t="s">
        <v>103</v>
      </c>
      <c r="I14" s="111">
        <v>26</v>
      </c>
      <c r="J14" s="26">
        <v>1500</v>
      </c>
      <c r="K14" s="10">
        <f>J14/I14</f>
        <v>57.692307692307693</v>
      </c>
      <c r="L14" s="111">
        <v>26</v>
      </c>
      <c r="M14" s="11">
        <f>F14/V14*60</f>
        <v>1421.0126582278481</v>
      </c>
      <c r="N14" s="10">
        <f t="shared" ref="N14:N24" si="22">M14/L14</f>
        <v>54.654333008763388</v>
      </c>
      <c r="O14" s="12">
        <f t="shared" ref="O14" si="23">L14-I14</f>
        <v>0</v>
      </c>
      <c r="P14" s="13">
        <f t="shared" ref="P14" si="24">N14-K14</f>
        <v>-3.0379746835443058</v>
      </c>
      <c r="Q14" s="113">
        <f>N14/K14</f>
        <v>0.94734177215189874</v>
      </c>
      <c r="R14" s="442">
        <f>Q18</f>
        <v>0.94285298765639591</v>
      </c>
      <c r="S14" s="28">
        <v>0.20833333333333334</v>
      </c>
      <c r="T14" s="28">
        <v>0.26319444444444445</v>
      </c>
      <c r="U14" s="108"/>
      <c r="V14" s="110">
        <f>(T14-S14)*24*60</f>
        <v>79</v>
      </c>
      <c r="W14" s="18"/>
      <c r="X14" s="18"/>
      <c r="Y14" s="443"/>
      <c r="Z14" s="443"/>
      <c r="AA14" s="12">
        <f t="shared" si="2"/>
        <v>-78.987341772151922</v>
      </c>
      <c r="AB14" s="113">
        <f t="shared" si="19"/>
        <v>0.94734177215189874</v>
      </c>
      <c r="AC14" s="442">
        <f>AB18</f>
        <v>0.94285298765639591</v>
      </c>
    </row>
    <row r="15" spans="1:29" ht="16.5" customHeight="1">
      <c r="A15" s="470" t="s">
        <v>162</v>
      </c>
      <c r="B15" s="109" t="s">
        <v>53</v>
      </c>
      <c r="C15" s="464" t="s">
        <v>163</v>
      </c>
      <c r="D15" s="464"/>
      <c r="E15" s="31">
        <v>37.5</v>
      </c>
      <c r="F15" s="109">
        <v>6002</v>
      </c>
      <c r="G15" s="108">
        <f t="shared" si="21"/>
        <v>225075</v>
      </c>
      <c r="H15" s="119" t="s">
        <v>103</v>
      </c>
      <c r="I15" s="111">
        <v>21</v>
      </c>
      <c r="J15" s="26">
        <v>1500</v>
      </c>
      <c r="K15" s="10">
        <f>J15/I15</f>
        <v>71.428571428571431</v>
      </c>
      <c r="L15" s="111">
        <v>21</v>
      </c>
      <c r="M15" s="11">
        <f>F15/V15*60</f>
        <v>1412.2352941176471</v>
      </c>
      <c r="N15" s="10">
        <f t="shared" si="22"/>
        <v>67.249299719887958</v>
      </c>
      <c r="O15" s="12">
        <f>L15-I15</f>
        <v>0</v>
      </c>
      <c r="P15" s="13">
        <f>N15-K15</f>
        <v>-4.1792717086834728</v>
      </c>
      <c r="Q15" s="113">
        <f>N15/K15</f>
        <v>0.94149019607843143</v>
      </c>
      <c r="R15" s="442"/>
      <c r="S15" s="28">
        <v>0.26874999999999999</v>
      </c>
      <c r="T15" s="28">
        <v>0.4458333333333333</v>
      </c>
      <c r="U15" s="108">
        <f>IF(S15=TIME(17,0,0),"",(S15-T14)*24*60)</f>
        <v>7.9999999999999716</v>
      </c>
      <c r="V15" s="110">
        <f>(T15-S15)*24*60</f>
        <v>255</v>
      </c>
      <c r="W15" s="16"/>
      <c r="X15" s="16"/>
      <c r="Y15" s="443"/>
      <c r="Z15" s="443"/>
      <c r="AA15" s="12">
        <f t="shared" si="2"/>
        <v>-87.764705882352928</v>
      </c>
      <c r="AB15" s="113">
        <f t="shared" si="19"/>
        <v>0.94149019607843143</v>
      </c>
      <c r="AC15" s="442"/>
    </row>
    <row r="16" spans="1:29" ht="16.5" customHeight="1">
      <c r="A16" s="470" t="s">
        <v>162</v>
      </c>
      <c r="B16" s="109" t="s">
        <v>58</v>
      </c>
      <c r="C16" s="464" t="s">
        <v>59</v>
      </c>
      <c r="D16" s="464"/>
      <c r="E16" s="31">
        <v>50.98</v>
      </c>
      <c r="F16" s="109">
        <v>2866</v>
      </c>
      <c r="G16" s="108">
        <f t="shared" si="21"/>
        <v>146108.68</v>
      </c>
      <c r="H16" s="119" t="s">
        <v>103</v>
      </c>
      <c r="I16" s="111">
        <v>17</v>
      </c>
      <c r="J16" s="26">
        <v>2000</v>
      </c>
      <c r="K16" s="10">
        <f t="shared" ref="K16:K17" si="25">J16/I16</f>
        <v>117.64705882352941</v>
      </c>
      <c r="L16" s="111">
        <v>17</v>
      </c>
      <c r="M16" s="11">
        <f t="shared" ref="M16:M17" si="26">F16/V16*60</f>
        <v>1889.6703296703295</v>
      </c>
      <c r="N16" s="10">
        <f t="shared" si="22"/>
        <v>111.15707821590173</v>
      </c>
      <c r="O16" s="12">
        <f t="shared" ref="O16:O17" si="27">L16-I16</f>
        <v>0</v>
      </c>
      <c r="P16" s="13">
        <f t="shared" ref="P16:P17" si="28">N16-K16</f>
        <v>-6.4899806076276718</v>
      </c>
      <c r="Q16" s="113">
        <f t="shared" ref="Q16:Q24" si="29">N16/K16</f>
        <v>0.94483516483516483</v>
      </c>
      <c r="R16" s="442"/>
      <c r="S16" s="28">
        <v>0.70833333333333337</v>
      </c>
      <c r="T16" s="28">
        <v>0.77152777777777781</v>
      </c>
      <c r="U16" s="108" t="str">
        <f t="shared" ref="U16:U17" si="30">IF(S16=TIME(17,0,0),"",(S16-T15)*24*60)</f>
        <v/>
      </c>
      <c r="V16" s="110">
        <f t="shared" ref="V16:V17" si="31">(T16-S16)*24*60</f>
        <v>91</v>
      </c>
      <c r="W16" s="16"/>
      <c r="X16" s="16"/>
      <c r="Y16" s="443"/>
      <c r="Z16" s="443"/>
      <c r="AA16" s="12">
        <f t="shared" si="2"/>
        <v>-110.32967032967053</v>
      </c>
      <c r="AB16" s="113">
        <f t="shared" si="19"/>
        <v>0.94483516483516472</v>
      </c>
      <c r="AC16" s="442"/>
    </row>
    <row r="17" spans="1:29" ht="16.5" customHeight="1">
      <c r="A17" s="470" t="s">
        <v>242</v>
      </c>
      <c r="B17" s="109" t="s">
        <v>58</v>
      </c>
      <c r="C17" s="464" t="s">
        <v>60</v>
      </c>
      <c r="D17" s="464"/>
      <c r="E17" s="31">
        <v>50.92</v>
      </c>
      <c r="F17" s="109">
        <v>2972</v>
      </c>
      <c r="G17" s="108">
        <f t="shared" si="21"/>
        <v>151334.24</v>
      </c>
      <c r="H17" s="119" t="s">
        <v>103</v>
      </c>
      <c r="I17" s="111">
        <v>16</v>
      </c>
      <c r="J17" s="26">
        <v>2000</v>
      </c>
      <c r="K17" s="10">
        <f t="shared" si="25"/>
        <v>125</v>
      </c>
      <c r="L17" s="111">
        <v>16</v>
      </c>
      <c r="M17" s="11">
        <f t="shared" si="26"/>
        <v>1877.0526315789475</v>
      </c>
      <c r="N17" s="10">
        <f t="shared" si="22"/>
        <v>117.31578947368422</v>
      </c>
      <c r="O17" s="12">
        <f t="shared" si="27"/>
        <v>0</v>
      </c>
      <c r="P17" s="13">
        <f t="shared" si="28"/>
        <v>-7.6842105263157805</v>
      </c>
      <c r="Q17" s="113">
        <f t="shared" si="29"/>
        <v>0.93852631578947376</v>
      </c>
      <c r="R17" s="442"/>
      <c r="S17" s="28">
        <v>0.77500000000000002</v>
      </c>
      <c r="T17" s="28">
        <v>0.84097222222222223</v>
      </c>
      <c r="U17" s="108">
        <f t="shared" si="30"/>
        <v>4.9999999999999822</v>
      </c>
      <c r="V17" s="110">
        <f t="shared" si="31"/>
        <v>94.999999999999986</v>
      </c>
      <c r="W17" s="16"/>
      <c r="X17" s="16"/>
      <c r="Y17" s="443"/>
      <c r="Z17" s="443"/>
      <c r="AA17" s="12">
        <f t="shared" si="2"/>
        <v>-122.94736842105249</v>
      </c>
      <c r="AB17" s="113">
        <f t="shared" si="19"/>
        <v>0.93852631578947376</v>
      </c>
      <c r="AC17" s="442"/>
    </row>
    <row r="18" spans="1:29" ht="16.5" customHeight="1">
      <c r="A18" s="470" t="s">
        <v>242</v>
      </c>
      <c r="B18" s="31" t="s">
        <v>240</v>
      </c>
      <c r="C18" s="446"/>
      <c r="D18" s="446"/>
      <c r="E18" s="112"/>
      <c r="F18" s="33"/>
      <c r="G18" s="10"/>
      <c r="H18" s="109"/>
      <c r="I18" s="19">
        <v>20</v>
      </c>
      <c r="J18" s="26">
        <v>1750</v>
      </c>
      <c r="K18" s="10">
        <f>J18/I18</f>
        <v>87.5</v>
      </c>
      <c r="L18" s="19">
        <v>20</v>
      </c>
      <c r="M18" s="11">
        <f>AVERAGE(M14:M17)</f>
        <v>1649.9927283986929</v>
      </c>
      <c r="N18" s="10">
        <f t="shared" si="22"/>
        <v>82.499636419934646</v>
      </c>
      <c r="O18" s="12">
        <f>L18-I18</f>
        <v>0</v>
      </c>
      <c r="P18" s="13">
        <f>N18-K18</f>
        <v>-5.0003635800653541</v>
      </c>
      <c r="Q18" s="113">
        <f t="shared" si="29"/>
        <v>0.94285298765639591</v>
      </c>
      <c r="R18" s="442"/>
      <c r="S18" s="28"/>
      <c r="T18" s="28"/>
      <c r="U18" s="108"/>
      <c r="V18" s="110"/>
      <c r="W18" s="10"/>
      <c r="X18" s="10"/>
      <c r="Y18" s="443"/>
      <c r="Z18" s="443"/>
      <c r="AA18" s="12">
        <f t="shared" si="2"/>
        <v>-100.00727160130714</v>
      </c>
      <c r="AB18" s="113">
        <f t="shared" si="19"/>
        <v>0.94285298765639591</v>
      </c>
      <c r="AC18" s="442"/>
    </row>
    <row r="19" spans="1:29" ht="15.75" customHeight="1">
      <c r="A19" s="467" t="s">
        <v>243</v>
      </c>
      <c r="B19" s="31" t="s">
        <v>56</v>
      </c>
      <c r="C19" s="464" t="s">
        <v>61</v>
      </c>
      <c r="D19" s="464"/>
      <c r="E19" s="31">
        <v>43.14</v>
      </c>
      <c r="F19" s="109">
        <v>1561</v>
      </c>
      <c r="G19" s="108">
        <f t="shared" ref="G19:G24" si="32">E19*F19</f>
        <v>67341.540000000008</v>
      </c>
      <c r="H19" s="119" t="s">
        <v>103</v>
      </c>
      <c r="I19" s="111">
        <v>17</v>
      </c>
      <c r="J19" s="26">
        <v>2000</v>
      </c>
      <c r="K19" s="10">
        <f t="shared" ref="K19:K25" si="33">J19/I19</f>
        <v>117.64705882352941</v>
      </c>
      <c r="L19" s="111">
        <v>17</v>
      </c>
      <c r="M19" s="11">
        <f t="shared" ref="M19:M24" si="34">F19/V19*60</f>
        <v>1873.1999999999994</v>
      </c>
      <c r="N19" s="10">
        <f t="shared" si="22"/>
        <v>110.1882352941176</v>
      </c>
      <c r="O19" s="12">
        <f t="shared" ref="O19:O24" si="35">L19-I19</f>
        <v>0</v>
      </c>
      <c r="P19" s="13">
        <f t="shared" ref="P19:P24" si="36">N19-K19</f>
        <v>-7.4588235294118022</v>
      </c>
      <c r="Q19" s="113">
        <f t="shared" si="29"/>
        <v>0.93659999999999966</v>
      </c>
      <c r="R19" s="442">
        <f>Q25</f>
        <v>0.94288959088105728</v>
      </c>
      <c r="S19" s="28">
        <v>0.20833333333333334</v>
      </c>
      <c r="T19" s="28">
        <v>0.24305555555555558</v>
      </c>
      <c r="U19" s="108"/>
      <c r="V19" s="110">
        <f>(T19-S19)*24*60</f>
        <v>50.000000000000021</v>
      </c>
      <c r="W19" s="18"/>
      <c r="X19" s="18"/>
      <c r="Y19" s="443"/>
      <c r="Z19" s="443"/>
      <c r="AA19" s="12">
        <f t="shared" si="2"/>
        <v>-126.80000000000064</v>
      </c>
      <c r="AB19" s="113">
        <f t="shared" si="19"/>
        <v>0.93659999999999966</v>
      </c>
      <c r="AC19" s="442">
        <f>AB25</f>
        <v>0.94288959088105728</v>
      </c>
    </row>
    <row r="20" spans="1:29" ht="15.75" customHeight="1">
      <c r="A20" s="468" t="s">
        <v>243</v>
      </c>
      <c r="B20" s="31" t="s">
        <v>58</v>
      </c>
      <c r="C20" s="464" t="s">
        <v>62</v>
      </c>
      <c r="D20" s="464"/>
      <c r="E20" s="31">
        <v>57.73</v>
      </c>
      <c r="F20" s="109">
        <v>2740</v>
      </c>
      <c r="G20" s="108">
        <f t="shared" si="32"/>
        <v>158180.19999999998</v>
      </c>
      <c r="H20" s="119" t="s">
        <v>103</v>
      </c>
      <c r="I20" s="111">
        <v>16</v>
      </c>
      <c r="J20" s="26">
        <v>2000</v>
      </c>
      <c r="K20" s="10">
        <f t="shared" si="33"/>
        <v>125</v>
      </c>
      <c r="L20" s="111">
        <v>16</v>
      </c>
      <c r="M20" s="11">
        <f t="shared" si="34"/>
        <v>1889.6551724137937</v>
      </c>
      <c r="N20" s="10">
        <f t="shared" si="22"/>
        <v>118.10344827586211</v>
      </c>
      <c r="O20" s="12">
        <f t="shared" si="35"/>
        <v>0</v>
      </c>
      <c r="P20" s="13">
        <f t="shared" si="36"/>
        <v>-6.8965517241378933</v>
      </c>
      <c r="Q20" s="113">
        <f t="shared" si="29"/>
        <v>0.94482758620689689</v>
      </c>
      <c r="R20" s="442"/>
      <c r="S20" s="28">
        <v>0.24722222222222226</v>
      </c>
      <c r="T20" s="28">
        <v>0.30763888888888891</v>
      </c>
      <c r="U20" s="108">
        <f>IF(S20=TIME(17,0,0),"",(S20-T19)*24*60)</f>
        <v>6.0000000000000187</v>
      </c>
      <c r="V20" s="110">
        <f t="shared" ref="V20:V24" si="37">(T20-S20)*24*60</f>
        <v>86.999999999999972</v>
      </c>
      <c r="W20" s="16"/>
      <c r="X20" s="108"/>
      <c r="Y20" s="443"/>
      <c r="Z20" s="443"/>
      <c r="AA20" s="12">
        <f t="shared" si="2"/>
        <v>-110.34482758620629</v>
      </c>
      <c r="AB20" s="113">
        <f t="shared" si="19"/>
        <v>0.94482758620689689</v>
      </c>
      <c r="AC20" s="442"/>
    </row>
    <row r="21" spans="1:29" ht="15.75" customHeight="1">
      <c r="A21" s="468" t="s">
        <v>243</v>
      </c>
      <c r="B21" s="31" t="s">
        <v>58</v>
      </c>
      <c r="C21" s="464" t="s">
        <v>63</v>
      </c>
      <c r="D21" s="464"/>
      <c r="E21" s="31">
        <v>53.68</v>
      </c>
      <c r="F21" s="109">
        <v>1895</v>
      </c>
      <c r="G21" s="108">
        <f t="shared" si="32"/>
        <v>101723.6</v>
      </c>
      <c r="H21" s="119" t="s">
        <v>103</v>
      </c>
      <c r="I21" s="111">
        <v>17</v>
      </c>
      <c r="J21" s="26">
        <v>2000</v>
      </c>
      <c r="K21" s="10">
        <f t="shared" si="33"/>
        <v>117.64705882352941</v>
      </c>
      <c r="L21" s="111">
        <v>17</v>
      </c>
      <c r="M21" s="11">
        <f t="shared" si="34"/>
        <v>1894.9999999999991</v>
      </c>
      <c r="N21" s="10">
        <f t="shared" si="22"/>
        <v>111.47058823529406</v>
      </c>
      <c r="O21" s="12">
        <f t="shared" si="35"/>
        <v>0</v>
      </c>
      <c r="P21" s="13">
        <f t="shared" si="36"/>
        <v>-6.1764705882353468</v>
      </c>
      <c r="Q21" s="113">
        <f t="shared" si="29"/>
        <v>0.94749999999999956</v>
      </c>
      <c r="R21" s="442"/>
      <c r="S21" s="28">
        <v>0.31180555555555556</v>
      </c>
      <c r="T21" s="28">
        <v>0.35347222222222224</v>
      </c>
      <c r="U21" s="108">
        <f t="shared" ref="U21:U24" si="38">IF(S21=TIME(17,0,0),"",(S21-T20)*24*60)</f>
        <v>5.9999999999999787</v>
      </c>
      <c r="V21" s="110">
        <f t="shared" si="37"/>
        <v>60.000000000000028</v>
      </c>
      <c r="W21" s="16"/>
      <c r="X21" s="108"/>
      <c r="Y21" s="443"/>
      <c r="Z21" s="443"/>
      <c r="AA21" s="12">
        <f t="shared" si="2"/>
        <v>-105.00000000000091</v>
      </c>
      <c r="AB21" s="113">
        <f t="shared" si="19"/>
        <v>0.94749999999999956</v>
      </c>
      <c r="AC21" s="442"/>
    </row>
    <row r="22" spans="1:29" ht="15.75" customHeight="1">
      <c r="A22" s="468" t="s">
        <v>243</v>
      </c>
      <c r="B22" s="31" t="s">
        <v>58</v>
      </c>
      <c r="C22" s="464" t="s">
        <v>64</v>
      </c>
      <c r="D22" s="464"/>
      <c r="E22" s="31">
        <v>58.17</v>
      </c>
      <c r="F22" s="109">
        <v>1488</v>
      </c>
      <c r="G22" s="108">
        <f t="shared" si="32"/>
        <v>86556.96</v>
      </c>
      <c r="H22" s="119" t="s">
        <v>103</v>
      </c>
      <c r="I22" s="111">
        <v>18</v>
      </c>
      <c r="J22" s="26">
        <v>2000</v>
      </c>
      <c r="K22" s="10">
        <f t="shared" si="33"/>
        <v>111.11111111111111</v>
      </c>
      <c r="L22" s="111">
        <v>18</v>
      </c>
      <c r="M22" s="11">
        <f t="shared" si="34"/>
        <v>1899.5744680851067</v>
      </c>
      <c r="N22" s="10">
        <f t="shared" si="22"/>
        <v>105.53191489361704</v>
      </c>
      <c r="O22" s="12">
        <f t="shared" si="35"/>
        <v>0</v>
      </c>
      <c r="P22" s="13">
        <f t="shared" si="36"/>
        <v>-5.5791962174940721</v>
      </c>
      <c r="Q22" s="113">
        <f t="shared" si="29"/>
        <v>0.94978723404255339</v>
      </c>
      <c r="R22" s="442"/>
      <c r="S22" s="28">
        <v>0.35902777777777778</v>
      </c>
      <c r="T22" s="28">
        <v>0.39166666666666666</v>
      </c>
      <c r="U22" s="108">
        <f t="shared" si="38"/>
        <v>7.9999999999999716</v>
      </c>
      <c r="V22" s="110">
        <f t="shared" si="37"/>
        <v>46.999999999999993</v>
      </c>
      <c r="W22" s="16"/>
      <c r="X22" s="108"/>
      <c r="Y22" s="443"/>
      <c r="Z22" s="443"/>
      <c r="AA22" s="12">
        <f t="shared" si="2"/>
        <v>-100.42553191489333</v>
      </c>
      <c r="AB22" s="113">
        <f t="shared" si="19"/>
        <v>0.94978723404255339</v>
      </c>
      <c r="AC22" s="442"/>
    </row>
    <row r="23" spans="1:29" ht="15.75" customHeight="1">
      <c r="A23" s="468" t="s">
        <v>243</v>
      </c>
      <c r="B23" s="31" t="s">
        <v>58</v>
      </c>
      <c r="C23" s="464" t="s">
        <v>65</v>
      </c>
      <c r="D23" s="464"/>
      <c r="E23" s="31">
        <v>54.09</v>
      </c>
      <c r="F23" s="109">
        <v>3344</v>
      </c>
      <c r="G23" s="108">
        <f t="shared" si="32"/>
        <v>180876.96000000002</v>
      </c>
      <c r="H23" s="119" t="s">
        <v>103</v>
      </c>
      <c r="I23" s="111">
        <v>20</v>
      </c>
      <c r="J23" s="26">
        <v>2000</v>
      </c>
      <c r="K23" s="10">
        <f t="shared" si="33"/>
        <v>100</v>
      </c>
      <c r="L23" s="111">
        <v>20</v>
      </c>
      <c r="M23" s="11">
        <f t="shared" si="34"/>
        <v>1875.1401869158888</v>
      </c>
      <c r="N23" s="10">
        <f t="shared" si="22"/>
        <v>93.757009345794444</v>
      </c>
      <c r="O23" s="12">
        <f t="shared" si="35"/>
        <v>0</v>
      </c>
      <c r="P23" s="13">
        <f t="shared" si="36"/>
        <v>-6.2429906542055562</v>
      </c>
      <c r="Q23" s="113">
        <f t="shared" si="29"/>
        <v>0.9375700934579444</v>
      </c>
      <c r="R23" s="442"/>
      <c r="S23" s="28">
        <v>0.70833333333333337</v>
      </c>
      <c r="T23" s="28">
        <v>0.78263888888888888</v>
      </c>
      <c r="U23" s="108" t="str">
        <f t="shared" si="38"/>
        <v/>
      </c>
      <c r="V23" s="110">
        <f t="shared" si="37"/>
        <v>106.99999999999994</v>
      </c>
      <c r="W23" s="16"/>
      <c r="X23" s="108"/>
      <c r="Y23" s="443"/>
      <c r="Z23" s="443"/>
      <c r="AA23" s="12">
        <f t="shared" si="2"/>
        <v>-124.85981308411124</v>
      </c>
      <c r="AB23" s="113">
        <f t="shared" si="19"/>
        <v>0.9375700934579444</v>
      </c>
      <c r="AC23" s="442"/>
    </row>
    <row r="24" spans="1:29" ht="15.75" customHeight="1">
      <c r="A24" s="468" t="s">
        <v>243</v>
      </c>
      <c r="B24" s="31" t="s">
        <v>58</v>
      </c>
      <c r="C24" s="464" t="s">
        <v>66</v>
      </c>
      <c r="D24" s="464"/>
      <c r="E24" s="31">
        <v>53.27</v>
      </c>
      <c r="F24" s="109">
        <v>596</v>
      </c>
      <c r="G24" s="108">
        <f t="shared" si="32"/>
        <v>31748.920000000002</v>
      </c>
      <c r="H24" s="119" t="s">
        <v>103</v>
      </c>
      <c r="I24" s="111">
        <v>15</v>
      </c>
      <c r="J24" s="26">
        <v>2000</v>
      </c>
      <c r="K24" s="10">
        <f t="shared" si="33"/>
        <v>133.33333333333334</v>
      </c>
      <c r="L24" s="111">
        <v>15</v>
      </c>
      <c r="M24" s="11">
        <f t="shared" si="34"/>
        <v>1882.1052631579014</v>
      </c>
      <c r="N24" s="10">
        <f t="shared" si="22"/>
        <v>125.47368421052676</v>
      </c>
      <c r="O24" s="12">
        <f t="shared" si="35"/>
        <v>0</v>
      </c>
      <c r="P24" s="13">
        <f t="shared" si="36"/>
        <v>-7.8596491228065872</v>
      </c>
      <c r="Q24" s="113">
        <f t="shared" si="29"/>
        <v>0.94105263157895058</v>
      </c>
      <c r="R24" s="442"/>
      <c r="S24" s="28">
        <v>0.78611111111111109</v>
      </c>
      <c r="T24" s="28">
        <v>0.79930555555555549</v>
      </c>
      <c r="U24" s="108">
        <f t="shared" si="38"/>
        <v>4.9999999999999822</v>
      </c>
      <c r="V24" s="110">
        <f t="shared" si="37"/>
        <v>18.999999999999932</v>
      </c>
      <c r="W24" s="16"/>
      <c r="X24" s="18"/>
      <c r="Y24" s="443"/>
      <c r="Z24" s="443"/>
      <c r="AA24" s="12">
        <f t="shared" si="2"/>
        <v>-117.89473684209861</v>
      </c>
      <c r="AB24" s="113">
        <f t="shared" si="19"/>
        <v>0.94105263157895069</v>
      </c>
      <c r="AC24" s="442"/>
    </row>
    <row r="25" spans="1:29" ht="15.75" customHeight="1">
      <c r="A25" s="468" t="s">
        <v>243</v>
      </c>
      <c r="B25" s="31" t="s">
        <v>240</v>
      </c>
      <c r="C25" s="446"/>
      <c r="D25" s="446"/>
      <c r="E25" s="112"/>
      <c r="F25" s="109"/>
      <c r="G25" s="108"/>
      <c r="H25" s="109"/>
      <c r="I25" s="19">
        <v>17.166666666666668</v>
      </c>
      <c r="J25" s="26">
        <v>2000</v>
      </c>
      <c r="K25" s="10">
        <f t="shared" si="33"/>
        <v>116.50485436893203</v>
      </c>
      <c r="L25" s="19">
        <v>17.166666666666668</v>
      </c>
      <c r="M25" s="11">
        <f>AVERAGE(M19:M24)</f>
        <v>1885.7791817621146</v>
      </c>
      <c r="N25" s="10">
        <f>M25/L25</f>
        <v>109.85121447157948</v>
      </c>
      <c r="O25" s="12">
        <f>L25-I25</f>
        <v>0</v>
      </c>
      <c r="P25" s="13">
        <f>N25-K25</f>
        <v>-6.6536398973525479</v>
      </c>
      <c r="Q25" s="113">
        <f>N25/K25</f>
        <v>0.94288959088105728</v>
      </c>
      <c r="R25" s="442"/>
      <c r="S25" s="28"/>
      <c r="T25" s="28"/>
      <c r="U25" s="10"/>
      <c r="V25" s="110"/>
      <c r="W25" s="10"/>
      <c r="X25" s="10"/>
      <c r="Y25" s="443"/>
      <c r="Z25" s="443"/>
      <c r="AA25" s="12">
        <f t="shared" si="2"/>
        <v>-114.2208182378854</v>
      </c>
      <c r="AB25" s="113">
        <f t="shared" si="19"/>
        <v>0.94288959088105728</v>
      </c>
      <c r="AC25" s="442"/>
    </row>
    <row r="26" spans="1:29" ht="15.75" customHeight="1">
      <c r="A26" s="463" t="s">
        <v>244</v>
      </c>
      <c r="B26" s="31" t="s">
        <v>67</v>
      </c>
      <c r="C26" s="464" t="s">
        <v>68</v>
      </c>
      <c r="D26" s="464"/>
      <c r="E26" s="31">
        <v>26.2</v>
      </c>
      <c r="F26" s="109">
        <v>4339</v>
      </c>
      <c r="G26" s="108">
        <f t="shared" ref="G26:G32" si="39">E26*F26</f>
        <v>113681.8</v>
      </c>
      <c r="H26" s="119" t="s">
        <v>103</v>
      </c>
      <c r="I26" s="111">
        <v>20</v>
      </c>
      <c r="J26" s="26">
        <v>2400</v>
      </c>
      <c r="K26" s="10">
        <f>J26/I26</f>
        <v>120</v>
      </c>
      <c r="L26" s="111">
        <v>20</v>
      </c>
      <c r="M26" s="11">
        <f t="shared" ref="M26:M32" si="40">F26/V26*60</f>
        <v>2263.8260869565215</v>
      </c>
      <c r="N26" s="10">
        <f t="shared" ref="N26:N32" si="41">M26/L26</f>
        <v>113.19130434782608</v>
      </c>
      <c r="O26" s="12">
        <f t="shared" ref="O26:O32" si="42">L26-I26</f>
        <v>0</v>
      </c>
      <c r="P26" s="13">
        <f t="shared" ref="P26:P32" si="43">N26-K26</f>
        <v>-6.8086956521739239</v>
      </c>
      <c r="Q26" s="113">
        <f t="shared" ref="Q26:Q32" si="44">N26/K26</f>
        <v>0.94326086956521726</v>
      </c>
      <c r="R26" s="442">
        <f>Q33</f>
        <v>0.9429505607854779</v>
      </c>
      <c r="S26" s="28">
        <v>8.3333333333333329E-2</v>
      </c>
      <c r="T26" s="28">
        <v>0.16319444444444445</v>
      </c>
      <c r="U26" s="108"/>
      <c r="V26" s="110">
        <f t="shared" ref="V26:V32" si="45">(T26-S26)*24*60</f>
        <v>115.00000000000001</v>
      </c>
      <c r="W26" s="16">
        <f>T26</f>
        <v>0.16319444444444445</v>
      </c>
      <c r="X26" s="16">
        <f>S27</f>
        <v>0.18055555555555552</v>
      </c>
      <c r="Y26" s="443"/>
      <c r="Z26" s="443"/>
      <c r="AA26" s="12">
        <f t="shared" si="2"/>
        <v>-136.17391304347848</v>
      </c>
      <c r="AB26" s="113">
        <f>M26/J26</f>
        <v>0.94326086956521726</v>
      </c>
      <c r="AC26" s="442">
        <f>AB33</f>
        <v>0.94295056078547801</v>
      </c>
    </row>
    <row r="27" spans="1:29" ht="15.75" customHeight="1">
      <c r="A27" s="463" t="s">
        <v>244</v>
      </c>
      <c r="B27" s="31" t="s">
        <v>67</v>
      </c>
      <c r="C27" s="464" t="s">
        <v>69</v>
      </c>
      <c r="D27" s="464"/>
      <c r="E27" s="31">
        <v>31.29</v>
      </c>
      <c r="F27" s="109">
        <v>5000</v>
      </c>
      <c r="G27" s="108">
        <f t="shared" si="39"/>
        <v>156450</v>
      </c>
      <c r="H27" s="119">
        <v>2</v>
      </c>
      <c r="I27" s="111">
        <v>16</v>
      </c>
      <c r="J27" s="26">
        <v>2400</v>
      </c>
      <c r="K27" s="10">
        <f t="shared" ref="K27:K33" si="46">J27/I27</f>
        <v>150</v>
      </c>
      <c r="L27" s="111">
        <v>16</v>
      </c>
      <c r="M27" s="11">
        <f t="shared" si="40"/>
        <v>2255.6390977443607</v>
      </c>
      <c r="N27" s="10">
        <f t="shared" si="41"/>
        <v>140.97744360902254</v>
      </c>
      <c r="O27" s="12">
        <f t="shared" si="42"/>
        <v>0</v>
      </c>
      <c r="P27" s="13">
        <f t="shared" si="43"/>
        <v>-9.0225563909774564</v>
      </c>
      <c r="Q27" s="113">
        <f t="shared" si="44"/>
        <v>0.93984962406015027</v>
      </c>
      <c r="R27" s="442"/>
      <c r="S27" s="28">
        <v>0.18055555555555552</v>
      </c>
      <c r="T27" s="28">
        <v>0.27291666666666664</v>
      </c>
      <c r="U27" s="108">
        <f>(S27-T26)*24*60</f>
        <v>24.99999999999995</v>
      </c>
      <c r="V27" s="110">
        <f t="shared" si="45"/>
        <v>133</v>
      </c>
      <c r="W27" s="16"/>
      <c r="X27" s="16"/>
      <c r="Y27" s="443"/>
      <c r="Z27" s="443"/>
      <c r="AA27" s="12">
        <f t="shared" si="2"/>
        <v>-144.3609022556393</v>
      </c>
      <c r="AB27" s="113">
        <f t="shared" ref="AB27:AB32" si="47">M27/J27</f>
        <v>0.93984962406015027</v>
      </c>
      <c r="AC27" s="442"/>
    </row>
    <row r="28" spans="1:29" ht="15.75" customHeight="1">
      <c r="A28" s="463" t="s">
        <v>244</v>
      </c>
      <c r="B28" s="31" t="s">
        <v>67</v>
      </c>
      <c r="C28" s="464" t="s">
        <v>70</v>
      </c>
      <c r="D28" s="464"/>
      <c r="E28" s="31">
        <v>24.25</v>
      </c>
      <c r="F28" s="109">
        <v>4169</v>
      </c>
      <c r="G28" s="108">
        <f t="shared" si="39"/>
        <v>101098.25</v>
      </c>
      <c r="H28" s="119" t="s">
        <v>103</v>
      </c>
      <c r="I28" s="111">
        <v>18</v>
      </c>
      <c r="J28" s="26">
        <v>2400</v>
      </c>
      <c r="K28" s="10">
        <f t="shared" si="46"/>
        <v>133.33333333333334</v>
      </c>
      <c r="L28" s="111">
        <v>18</v>
      </c>
      <c r="M28" s="11">
        <f t="shared" si="40"/>
        <v>2253.5135135135133</v>
      </c>
      <c r="N28" s="10">
        <f t="shared" si="41"/>
        <v>125.19519519519518</v>
      </c>
      <c r="O28" s="12">
        <f t="shared" si="42"/>
        <v>0</v>
      </c>
      <c r="P28" s="13">
        <f t="shared" si="43"/>
        <v>-8.1381381381381601</v>
      </c>
      <c r="Q28" s="113">
        <f t="shared" si="44"/>
        <v>0.93896396396396375</v>
      </c>
      <c r="R28" s="442"/>
      <c r="S28" s="28">
        <v>0.27638888888888885</v>
      </c>
      <c r="T28" s="28">
        <v>0.35347222222222219</v>
      </c>
      <c r="U28" s="108">
        <f t="shared" ref="U28:U32" si="48">(S28-T27)*24*60</f>
        <v>4.9999999999999822</v>
      </c>
      <c r="V28" s="110">
        <f t="shared" si="45"/>
        <v>111</v>
      </c>
      <c r="W28" s="16"/>
      <c r="X28" s="16"/>
      <c r="Y28" s="443"/>
      <c r="Z28" s="443"/>
      <c r="AA28" s="12">
        <f t="shared" si="2"/>
        <v>-146.48648648648668</v>
      </c>
      <c r="AB28" s="113">
        <f t="shared" si="47"/>
        <v>0.93896396396396387</v>
      </c>
      <c r="AC28" s="442"/>
    </row>
    <row r="29" spans="1:29" ht="15.75" customHeight="1">
      <c r="A29" s="463" t="s">
        <v>244</v>
      </c>
      <c r="B29" s="31" t="s">
        <v>67</v>
      </c>
      <c r="C29" s="464" t="s">
        <v>72</v>
      </c>
      <c r="D29" s="464"/>
      <c r="E29" s="31">
        <v>25.98</v>
      </c>
      <c r="F29" s="109">
        <v>3891</v>
      </c>
      <c r="G29" s="108">
        <f t="shared" si="39"/>
        <v>101088.18000000001</v>
      </c>
      <c r="H29" s="119" t="s">
        <v>103</v>
      </c>
      <c r="I29" s="111">
        <v>17</v>
      </c>
      <c r="J29" s="26">
        <v>2400</v>
      </c>
      <c r="K29" s="10">
        <f t="shared" si="46"/>
        <v>141.1764705882353</v>
      </c>
      <c r="L29" s="111">
        <v>17</v>
      </c>
      <c r="M29" s="11">
        <f t="shared" si="40"/>
        <v>2266.6019417475736</v>
      </c>
      <c r="N29" s="10">
        <f t="shared" si="41"/>
        <v>133.32952598515138</v>
      </c>
      <c r="O29" s="12">
        <f t="shared" si="42"/>
        <v>0</v>
      </c>
      <c r="P29" s="13">
        <f t="shared" si="43"/>
        <v>-7.8469446030839265</v>
      </c>
      <c r="Q29" s="113">
        <f t="shared" si="44"/>
        <v>0.94441747572815549</v>
      </c>
      <c r="R29" s="442"/>
      <c r="S29" s="28">
        <v>0.35833333333333328</v>
      </c>
      <c r="T29" s="28">
        <v>0.42986111111111103</v>
      </c>
      <c r="U29" s="108">
        <f t="shared" si="48"/>
        <v>6.9999999999999751</v>
      </c>
      <c r="V29" s="110">
        <f t="shared" si="45"/>
        <v>102.99999999999996</v>
      </c>
      <c r="W29" s="16"/>
      <c r="X29" s="16"/>
      <c r="Y29" s="443"/>
      <c r="Z29" s="443"/>
      <c r="AA29" s="12">
        <f t="shared" si="2"/>
        <v>-133.39805825242638</v>
      </c>
      <c r="AB29" s="113">
        <f t="shared" si="47"/>
        <v>0.94441747572815571</v>
      </c>
      <c r="AC29" s="442"/>
    </row>
    <row r="30" spans="1:29" ht="15.75" customHeight="1">
      <c r="A30" s="463" t="s">
        <v>244</v>
      </c>
      <c r="B30" s="31" t="s">
        <v>67</v>
      </c>
      <c r="C30" s="464" t="s">
        <v>165</v>
      </c>
      <c r="D30" s="464"/>
      <c r="E30" s="31">
        <v>25.02</v>
      </c>
      <c r="F30" s="109">
        <v>4000</v>
      </c>
      <c r="G30" s="108">
        <f t="shared" si="39"/>
        <v>100080</v>
      </c>
      <c r="H30" s="119">
        <v>2</v>
      </c>
      <c r="I30" s="111">
        <v>19</v>
      </c>
      <c r="J30" s="26">
        <v>2400</v>
      </c>
      <c r="K30" s="10">
        <f t="shared" si="46"/>
        <v>126.31578947368421</v>
      </c>
      <c r="L30" s="111">
        <v>19</v>
      </c>
      <c r="M30" s="11">
        <f t="shared" si="40"/>
        <v>2264.1509433962278</v>
      </c>
      <c r="N30" s="10">
        <f t="shared" si="41"/>
        <v>119.16583912611725</v>
      </c>
      <c r="O30" s="12">
        <f t="shared" si="42"/>
        <v>0</v>
      </c>
      <c r="P30" s="13">
        <f t="shared" si="43"/>
        <v>-7.149950347566957</v>
      </c>
      <c r="Q30" s="113">
        <f t="shared" si="44"/>
        <v>0.94339622641509491</v>
      </c>
      <c r="R30" s="442"/>
      <c r="S30" s="28">
        <v>0.43333333333333324</v>
      </c>
      <c r="T30" s="28">
        <v>0.50694444444444431</v>
      </c>
      <c r="U30" s="108">
        <f t="shared" si="48"/>
        <v>4.9999999999999822</v>
      </c>
      <c r="V30" s="110">
        <f t="shared" si="45"/>
        <v>105.99999999999994</v>
      </c>
      <c r="W30" s="16">
        <f>T30</f>
        <v>0.50694444444444431</v>
      </c>
      <c r="X30" s="16">
        <f>S31</f>
        <v>0.54583333333333317</v>
      </c>
      <c r="Y30" s="443"/>
      <c r="Z30" s="443"/>
      <c r="AA30" s="12">
        <f t="shared" si="2"/>
        <v>-135.84905660377217</v>
      </c>
      <c r="AB30" s="113">
        <f t="shared" si="47"/>
        <v>0.94339622641509491</v>
      </c>
      <c r="AC30" s="442"/>
    </row>
    <row r="31" spans="1:29" ht="15.75" customHeight="1">
      <c r="A31" s="463" t="s">
        <v>244</v>
      </c>
      <c r="B31" s="31" t="s">
        <v>67</v>
      </c>
      <c r="C31" s="464" t="s">
        <v>165</v>
      </c>
      <c r="D31" s="464"/>
      <c r="E31" s="31">
        <v>25.02</v>
      </c>
      <c r="F31" s="109">
        <v>2806</v>
      </c>
      <c r="G31" s="108">
        <f t="shared" si="39"/>
        <v>70206.12</v>
      </c>
      <c r="H31" s="119" t="s">
        <v>103</v>
      </c>
      <c r="I31" s="111">
        <v>19</v>
      </c>
      <c r="J31" s="26">
        <v>2400</v>
      </c>
      <c r="K31" s="10">
        <f t="shared" si="46"/>
        <v>126.31578947368421</v>
      </c>
      <c r="L31" s="111">
        <v>19</v>
      </c>
      <c r="M31" s="11">
        <f t="shared" si="40"/>
        <v>2275.1351351351336</v>
      </c>
      <c r="N31" s="10">
        <f t="shared" si="41"/>
        <v>119.7439544807965</v>
      </c>
      <c r="O31" s="12">
        <f t="shared" si="42"/>
        <v>0</v>
      </c>
      <c r="P31" s="13">
        <f t="shared" si="43"/>
        <v>-6.5718349928877018</v>
      </c>
      <c r="Q31" s="113">
        <f t="shared" si="44"/>
        <v>0.94797297297297234</v>
      </c>
      <c r="R31" s="442"/>
      <c r="S31" s="28">
        <v>0.54583333333333317</v>
      </c>
      <c r="T31" s="28">
        <v>0.5972222222222221</v>
      </c>
      <c r="U31" s="108">
        <f t="shared" si="48"/>
        <v>55.999999999999957</v>
      </c>
      <c r="V31" s="110">
        <f t="shared" si="45"/>
        <v>74.000000000000057</v>
      </c>
      <c r="W31" s="16"/>
      <c r="X31" s="16"/>
      <c r="Y31" s="443"/>
      <c r="Z31" s="443"/>
      <c r="AA31" s="12">
        <f t="shared" si="2"/>
        <v>-124.86486486486638</v>
      </c>
      <c r="AB31" s="113">
        <f t="shared" si="47"/>
        <v>0.94797297297297234</v>
      </c>
      <c r="AC31" s="442"/>
    </row>
    <row r="32" spans="1:29" ht="15.75" customHeight="1">
      <c r="A32" s="463" t="s">
        <v>244</v>
      </c>
      <c r="B32" s="31" t="s">
        <v>67</v>
      </c>
      <c r="C32" s="464" t="s">
        <v>69</v>
      </c>
      <c r="D32" s="464"/>
      <c r="E32" s="31">
        <v>31.29</v>
      </c>
      <c r="F32" s="109">
        <v>4186</v>
      </c>
      <c r="G32" s="108">
        <f t="shared" si="39"/>
        <v>130979.94</v>
      </c>
      <c r="H32" s="119" t="s">
        <v>103</v>
      </c>
      <c r="I32" s="111">
        <v>16</v>
      </c>
      <c r="J32" s="26">
        <v>2400</v>
      </c>
      <c r="K32" s="10">
        <f t="shared" si="46"/>
        <v>150</v>
      </c>
      <c r="L32" s="111">
        <v>16</v>
      </c>
      <c r="M32" s="11">
        <f t="shared" si="40"/>
        <v>2262.7027027027011</v>
      </c>
      <c r="N32" s="10">
        <f t="shared" si="41"/>
        <v>141.41891891891882</v>
      </c>
      <c r="O32" s="12">
        <f t="shared" si="42"/>
        <v>0</v>
      </c>
      <c r="P32" s="13">
        <f t="shared" si="43"/>
        <v>-8.5810810810811802</v>
      </c>
      <c r="Q32" s="113">
        <f t="shared" si="44"/>
        <v>0.94279279279279216</v>
      </c>
      <c r="R32" s="442"/>
      <c r="S32" s="28">
        <v>0.60277777777777763</v>
      </c>
      <c r="T32" s="28">
        <v>0.67986111111111103</v>
      </c>
      <c r="U32" s="108">
        <f t="shared" si="48"/>
        <v>7.9999999999999716</v>
      </c>
      <c r="V32" s="110">
        <f t="shared" si="45"/>
        <v>111.00000000000009</v>
      </c>
      <c r="W32" s="16"/>
      <c r="X32" s="16"/>
      <c r="Y32" s="443"/>
      <c r="Z32" s="443"/>
      <c r="AA32" s="12">
        <f t="shared" si="2"/>
        <v>-137.29729729729888</v>
      </c>
      <c r="AB32" s="113">
        <f t="shared" si="47"/>
        <v>0.94279279279279216</v>
      </c>
      <c r="AC32" s="442"/>
    </row>
    <row r="33" spans="1:29" ht="15.75" customHeight="1">
      <c r="A33" s="463" t="s">
        <v>244</v>
      </c>
      <c r="B33" s="31" t="s">
        <v>240</v>
      </c>
      <c r="C33" s="446"/>
      <c r="D33" s="446"/>
      <c r="E33" s="112"/>
      <c r="F33" s="109"/>
      <c r="G33" s="108"/>
      <c r="H33" s="109"/>
      <c r="I33" s="19">
        <v>17.857142857142858</v>
      </c>
      <c r="J33" s="26">
        <v>2400</v>
      </c>
      <c r="K33" s="10">
        <f t="shared" si="46"/>
        <v>134.4</v>
      </c>
      <c r="L33" s="19">
        <v>17.857142857142858</v>
      </c>
      <c r="M33" s="11">
        <f>AVERAGE(M26:M32)</f>
        <v>2263.0813458851471</v>
      </c>
      <c r="N33" s="10">
        <f>M33/L33</f>
        <v>126.73255536956823</v>
      </c>
      <c r="O33" s="12">
        <f>L33-I33</f>
        <v>0</v>
      </c>
      <c r="P33" s="13">
        <f>N33-K33</f>
        <v>-7.667444630431774</v>
      </c>
      <c r="Q33" s="113">
        <f>N33/K33</f>
        <v>0.9429505607854779</v>
      </c>
      <c r="R33" s="442"/>
      <c r="S33" s="28"/>
      <c r="T33" s="28"/>
      <c r="U33" s="108"/>
      <c r="V33" s="110"/>
      <c r="W33" s="108"/>
      <c r="X33" s="108"/>
      <c r="Y33" s="443"/>
      <c r="Z33" s="443"/>
      <c r="AA33" s="12">
        <f t="shared" si="2"/>
        <v>-136.91865411485287</v>
      </c>
      <c r="AB33" s="113">
        <f>M33/J33</f>
        <v>0.94295056078547801</v>
      </c>
      <c r="AC33" s="442"/>
    </row>
    <row r="34" spans="1:29" ht="15.75" customHeight="1">
      <c r="A34" s="461" t="s">
        <v>245</v>
      </c>
      <c r="B34" s="31" t="s">
        <v>67</v>
      </c>
      <c r="C34" s="441" t="s">
        <v>73</v>
      </c>
      <c r="D34" s="441"/>
      <c r="E34" s="31">
        <v>26.2</v>
      </c>
      <c r="F34" s="109">
        <v>4000</v>
      </c>
      <c r="G34" s="108">
        <f t="shared" ref="G34:G43" si="49">E34*F34</f>
        <v>104800</v>
      </c>
      <c r="H34" s="119">
        <v>2</v>
      </c>
      <c r="I34" s="111">
        <v>18</v>
      </c>
      <c r="J34" s="26">
        <v>2400</v>
      </c>
      <c r="K34" s="10">
        <f>J34/I34</f>
        <v>133.33333333333334</v>
      </c>
      <c r="L34" s="111">
        <v>18</v>
      </c>
      <c r="M34" s="11">
        <f>F34/V34*60</f>
        <v>2264.1509433962256</v>
      </c>
      <c r="N34" s="10">
        <f>M34/L34</f>
        <v>125.78616352201253</v>
      </c>
      <c r="O34" s="12">
        <f t="shared" ref="O34:O43" si="50">L34-I34</f>
        <v>0</v>
      </c>
      <c r="P34" s="13">
        <f t="shared" ref="P34:P52" si="51">N34-K34</f>
        <v>-7.5471698113208134</v>
      </c>
      <c r="Q34" s="113">
        <f t="shared" ref="Q34:Q48" si="52">N34/K34</f>
        <v>0.94339622641509391</v>
      </c>
      <c r="R34" s="442">
        <f>Q44</f>
        <v>0.94198183276737257</v>
      </c>
      <c r="S34" s="28">
        <v>0.125</v>
      </c>
      <c r="T34" s="28">
        <v>0.19861111111111113</v>
      </c>
      <c r="U34" s="108"/>
      <c r="V34" s="110">
        <f t="shared" ref="V34:V43" si="53">(T34-S34)*24*60</f>
        <v>106.00000000000003</v>
      </c>
      <c r="W34" s="18">
        <f>T34</f>
        <v>0.19861111111111113</v>
      </c>
      <c r="X34" s="18">
        <f>S35</f>
        <v>0.21805555555555556</v>
      </c>
      <c r="Y34" s="443"/>
      <c r="Z34" s="443"/>
      <c r="AA34" s="12">
        <f t="shared" si="2"/>
        <v>-135.84905660377444</v>
      </c>
      <c r="AB34" s="113">
        <f>M34/J34</f>
        <v>0.94339622641509402</v>
      </c>
      <c r="AC34" s="442">
        <f>AB44</f>
        <v>0.94198183276737246</v>
      </c>
    </row>
    <row r="35" spans="1:29" ht="15.75" customHeight="1">
      <c r="A35" s="461" t="s">
        <v>245</v>
      </c>
      <c r="B35" s="31" t="s">
        <v>67</v>
      </c>
      <c r="C35" s="441" t="s">
        <v>74</v>
      </c>
      <c r="D35" s="441"/>
      <c r="E35" s="31">
        <v>24.45</v>
      </c>
      <c r="F35" s="109">
        <v>2335</v>
      </c>
      <c r="G35" s="108">
        <f t="shared" si="49"/>
        <v>57090.75</v>
      </c>
      <c r="H35" s="119" t="s">
        <v>103</v>
      </c>
      <c r="I35" s="111">
        <v>20</v>
      </c>
      <c r="J35" s="26">
        <v>2400</v>
      </c>
      <c r="K35" s="10">
        <f t="shared" ref="K35:K51" si="54">J35/I35</f>
        <v>120</v>
      </c>
      <c r="L35" s="111">
        <v>20</v>
      </c>
      <c r="M35" s="11">
        <f t="shared" ref="M35:M43" si="55">F35/V35*60</f>
        <v>2259.6774193548381</v>
      </c>
      <c r="N35" s="10">
        <f t="shared" ref="N35:N43" si="56">M35/L35</f>
        <v>112.98387096774191</v>
      </c>
      <c r="O35" s="12">
        <f t="shared" si="50"/>
        <v>0</v>
      </c>
      <c r="P35" s="13">
        <f t="shared" si="51"/>
        <v>-7.0161290322580925</v>
      </c>
      <c r="Q35" s="113">
        <f t="shared" si="52"/>
        <v>0.9415322580645159</v>
      </c>
      <c r="R35" s="442"/>
      <c r="S35" s="28">
        <v>0.21805555555555556</v>
      </c>
      <c r="T35" s="28">
        <v>0.26111111111111113</v>
      </c>
      <c r="U35" s="108">
        <f>(S35-T34)*24*60</f>
        <v>27.999999999999979</v>
      </c>
      <c r="V35" s="110">
        <f t="shared" si="53"/>
        <v>62.000000000000021</v>
      </c>
      <c r="W35" s="108"/>
      <c r="X35" s="108"/>
      <c r="Y35" s="443"/>
      <c r="Z35" s="443"/>
      <c r="AA35" s="12">
        <f t="shared" si="2"/>
        <v>-140.32258064516191</v>
      </c>
      <c r="AB35" s="113">
        <f t="shared" ref="AB35:AB66" si="57">M35/J35</f>
        <v>0.9415322580645159</v>
      </c>
      <c r="AC35" s="442"/>
    </row>
    <row r="36" spans="1:29">
      <c r="A36" s="462" t="s">
        <v>245</v>
      </c>
      <c r="B36" s="31" t="s">
        <v>67</v>
      </c>
      <c r="C36" s="441" t="s">
        <v>75</v>
      </c>
      <c r="D36" s="441"/>
      <c r="E36" s="31">
        <v>26.39</v>
      </c>
      <c r="F36" s="109">
        <v>3700</v>
      </c>
      <c r="G36" s="108">
        <f t="shared" si="49"/>
        <v>97643</v>
      </c>
      <c r="H36" s="119">
        <v>2</v>
      </c>
      <c r="I36" s="111">
        <v>19</v>
      </c>
      <c r="J36" s="26">
        <v>2400</v>
      </c>
      <c r="K36" s="10">
        <f t="shared" si="54"/>
        <v>126.31578947368421</v>
      </c>
      <c r="L36" s="111">
        <v>19</v>
      </c>
      <c r="M36" s="11">
        <f t="shared" si="55"/>
        <v>2265.3061224489802</v>
      </c>
      <c r="N36" s="10">
        <f t="shared" si="56"/>
        <v>119.22663802363054</v>
      </c>
      <c r="O36" s="12">
        <f t="shared" si="50"/>
        <v>0</v>
      </c>
      <c r="P36" s="13">
        <f t="shared" si="51"/>
        <v>-7.089151450053663</v>
      </c>
      <c r="Q36" s="113">
        <f t="shared" si="52"/>
        <v>0.94387755102040849</v>
      </c>
      <c r="R36" s="442"/>
      <c r="S36" s="28">
        <v>0.26527777777777778</v>
      </c>
      <c r="T36" s="28">
        <v>0.33333333333333331</v>
      </c>
      <c r="U36" s="108">
        <f t="shared" ref="U36:U43" si="58">(S36-T35)*24*60</f>
        <v>5.9999999999999787</v>
      </c>
      <c r="V36" s="110">
        <f t="shared" si="53"/>
        <v>97.999999999999972</v>
      </c>
      <c r="W36" s="108"/>
      <c r="X36" s="108"/>
      <c r="Y36" s="443"/>
      <c r="Z36" s="443"/>
      <c r="AA36" s="12">
        <f t="shared" si="2"/>
        <v>-134.6938775510198</v>
      </c>
      <c r="AB36" s="113">
        <f t="shared" si="57"/>
        <v>0.94387755102040838</v>
      </c>
      <c r="AC36" s="442"/>
    </row>
    <row r="37" spans="1:29">
      <c r="A37" s="462" t="s">
        <v>245</v>
      </c>
      <c r="B37" s="31" t="s">
        <v>67</v>
      </c>
      <c r="C37" s="441" t="s">
        <v>76</v>
      </c>
      <c r="D37" s="441"/>
      <c r="E37" s="31">
        <v>20.52</v>
      </c>
      <c r="F37" s="109">
        <v>3566</v>
      </c>
      <c r="G37" s="108">
        <f t="shared" si="49"/>
        <v>73174.319999999992</v>
      </c>
      <c r="H37" s="119" t="s">
        <v>103</v>
      </c>
      <c r="I37" s="111">
        <v>18</v>
      </c>
      <c r="J37" s="26">
        <v>2400</v>
      </c>
      <c r="K37" s="10">
        <f t="shared" si="54"/>
        <v>133.33333333333334</v>
      </c>
      <c r="L37" s="111">
        <v>18</v>
      </c>
      <c r="M37" s="11">
        <f t="shared" si="55"/>
        <v>2252.2105263157896</v>
      </c>
      <c r="N37" s="10">
        <f t="shared" si="56"/>
        <v>125.12280701754386</v>
      </c>
      <c r="O37" s="12">
        <f t="shared" si="50"/>
        <v>0</v>
      </c>
      <c r="P37" s="13">
        <f t="shared" si="51"/>
        <v>-8.2105263157894797</v>
      </c>
      <c r="Q37" s="113">
        <f t="shared" si="52"/>
        <v>0.93842105263157893</v>
      </c>
      <c r="R37" s="442"/>
      <c r="S37" s="28">
        <v>0.33749999999999997</v>
      </c>
      <c r="T37" s="28">
        <v>0.40347222222222218</v>
      </c>
      <c r="U37" s="108">
        <f t="shared" si="58"/>
        <v>5.9999999999999787</v>
      </c>
      <c r="V37" s="110">
        <f t="shared" si="53"/>
        <v>94.999999999999986</v>
      </c>
      <c r="W37" s="16"/>
      <c r="X37" s="16"/>
      <c r="Y37" s="443"/>
      <c r="Z37" s="443"/>
      <c r="AA37" s="12">
        <f t="shared" si="2"/>
        <v>-147.78947368421041</v>
      </c>
      <c r="AB37" s="113">
        <f t="shared" si="57"/>
        <v>0.93842105263157904</v>
      </c>
      <c r="AC37" s="442"/>
    </row>
    <row r="38" spans="1:29">
      <c r="A38" s="462" t="s">
        <v>245</v>
      </c>
      <c r="B38" s="31" t="s">
        <v>67</v>
      </c>
      <c r="C38" s="441" t="s">
        <v>77</v>
      </c>
      <c r="D38" s="441"/>
      <c r="E38" s="31">
        <v>26.2</v>
      </c>
      <c r="F38" s="109">
        <v>3100</v>
      </c>
      <c r="G38" s="108">
        <f t="shared" si="49"/>
        <v>81220</v>
      </c>
      <c r="H38" s="119">
        <v>2</v>
      </c>
      <c r="I38" s="111">
        <v>19</v>
      </c>
      <c r="J38" s="26">
        <v>2400</v>
      </c>
      <c r="K38" s="10">
        <f t="shared" si="54"/>
        <v>126.31578947368421</v>
      </c>
      <c r="L38" s="111">
        <v>19</v>
      </c>
      <c r="M38" s="11">
        <f t="shared" si="55"/>
        <v>2268.2926829268285</v>
      </c>
      <c r="N38" s="10">
        <f t="shared" si="56"/>
        <v>119.38382541720151</v>
      </c>
      <c r="O38" s="12">
        <f t="shared" si="50"/>
        <v>0</v>
      </c>
      <c r="P38" s="13">
        <f t="shared" si="51"/>
        <v>-6.9319640564826983</v>
      </c>
      <c r="Q38" s="113">
        <f t="shared" si="52"/>
        <v>0.94512195121951192</v>
      </c>
      <c r="R38" s="442"/>
      <c r="S38" s="28">
        <v>0.40902777777777771</v>
      </c>
      <c r="T38" s="28">
        <v>0.46597222222222218</v>
      </c>
      <c r="U38" s="108">
        <f t="shared" si="58"/>
        <v>7.9999999999999716</v>
      </c>
      <c r="V38" s="110">
        <f t="shared" si="53"/>
        <v>82.000000000000028</v>
      </c>
      <c r="W38" s="16"/>
      <c r="X38" s="16"/>
      <c r="Y38" s="443"/>
      <c r="Z38" s="443"/>
      <c r="AA38" s="12">
        <f t="shared" si="2"/>
        <v>-131.70731707317145</v>
      </c>
      <c r="AB38" s="113">
        <f t="shared" si="57"/>
        <v>0.94512195121951192</v>
      </c>
      <c r="AC38" s="442"/>
    </row>
    <row r="39" spans="1:29">
      <c r="A39" s="462" t="s">
        <v>245</v>
      </c>
      <c r="B39" s="31" t="s">
        <v>67</v>
      </c>
      <c r="C39" s="441" t="s">
        <v>78</v>
      </c>
      <c r="D39" s="441"/>
      <c r="E39" s="31">
        <v>25.98</v>
      </c>
      <c r="F39" s="109">
        <v>2400</v>
      </c>
      <c r="G39" s="108">
        <f t="shared" si="49"/>
        <v>62352</v>
      </c>
      <c r="H39" s="119">
        <v>2</v>
      </c>
      <c r="I39" s="111">
        <v>17</v>
      </c>
      <c r="J39" s="26">
        <v>2400</v>
      </c>
      <c r="K39" s="10">
        <f t="shared" si="54"/>
        <v>141.1764705882353</v>
      </c>
      <c r="L39" s="111">
        <v>17</v>
      </c>
      <c r="M39" s="11">
        <f t="shared" si="55"/>
        <v>2249.9999999999995</v>
      </c>
      <c r="N39" s="10">
        <f t="shared" si="56"/>
        <v>132.35294117647055</v>
      </c>
      <c r="O39" s="12">
        <f t="shared" si="50"/>
        <v>0</v>
      </c>
      <c r="P39" s="13">
        <f t="shared" si="51"/>
        <v>-8.8235294117647527</v>
      </c>
      <c r="Q39" s="113">
        <f t="shared" si="52"/>
        <v>0.93749999999999967</v>
      </c>
      <c r="R39" s="442"/>
      <c r="S39" s="28">
        <v>0.47152777777777771</v>
      </c>
      <c r="T39" s="28">
        <v>0.51597222222222217</v>
      </c>
      <c r="U39" s="108">
        <f t="shared" si="58"/>
        <v>7.9999999999999716</v>
      </c>
      <c r="V39" s="110">
        <f t="shared" si="53"/>
        <v>64.000000000000014</v>
      </c>
      <c r="W39" s="16">
        <f>T39</f>
        <v>0.51597222222222217</v>
      </c>
      <c r="X39" s="16">
        <f>S40</f>
        <v>0.55624999999999991</v>
      </c>
      <c r="Y39" s="443"/>
      <c r="Z39" s="443"/>
      <c r="AA39" s="12">
        <f t="shared" si="2"/>
        <v>-150.00000000000045</v>
      </c>
      <c r="AB39" s="113">
        <f t="shared" si="57"/>
        <v>0.93749999999999978</v>
      </c>
      <c r="AC39" s="442"/>
    </row>
    <row r="40" spans="1:29">
      <c r="A40" s="462" t="s">
        <v>245</v>
      </c>
      <c r="B40" s="31" t="s">
        <v>67</v>
      </c>
      <c r="C40" s="441" t="s">
        <v>73</v>
      </c>
      <c r="D40" s="441"/>
      <c r="E40" s="31">
        <v>26.2</v>
      </c>
      <c r="F40" s="109">
        <v>2880</v>
      </c>
      <c r="G40" s="108">
        <f t="shared" si="49"/>
        <v>75456</v>
      </c>
      <c r="H40" s="119" t="s">
        <v>103</v>
      </c>
      <c r="I40" s="111">
        <v>18</v>
      </c>
      <c r="J40" s="26">
        <v>2400</v>
      </c>
      <c r="K40" s="10">
        <f t="shared" si="54"/>
        <v>133.33333333333334</v>
      </c>
      <c r="L40" s="111">
        <v>18</v>
      </c>
      <c r="M40" s="11">
        <f t="shared" si="55"/>
        <v>2273.684210526314</v>
      </c>
      <c r="N40" s="10">
        <f t="shared" si="56"/>
        <v>126.31578947368411</v>
      </c>
      <c r="O40" s="12">
        <f t="shared" si="50"/>
        <v>0</v>
      </c>
      <c r="P40" s="13">
        <f t="shared" si="51"/>
        <v>-7.017543859649237</v>
      </c>
      <c r="Q40" s="113">
        <f t="shared" si="52"/>
        <v>0.94736842105263075</v>
      </c>
      <c r="R40" s="442"/>
      <c r="S40" s="28">
        <v>0.55624999999999991</v>
      </c>
      <c r="T40" s="28">
        <v>0.60902777777777772</v>
      </c>
      <c r="U40" s="108">
        <f t="shared" si="58"/>
        <v>57.999999999999957</v>
      </c>
      <c r="V40" s="110">
        <f t="shared" si="53"/>
        <v>76.000000000000057</v>
      </c>
      <c r="W40" s="16"/>
      <c r="X40" s="16"/>
      <c r="Y40" s="447"/>
      <c r="Z40" s="448"/>
      <c r="AA40" s="12">
        <f t="shared" si="2"/>
        <v>-126.31578947368598</v>
      </c>
      <c r="AB40" s="113">
        <f t="shared" si="57"/>
        <v>0.94736842105263086</v>
      </c>
      <c r="AC40" s="442"/>
    </row>
    <row r="41" spans="1:29">
      <c r="A41" s="462" t="s">
        <v>245</v>
      </c>
      <c r="B41" s="31" t="s">
        <v>67</v>
      </c>
      <c r="C41" s="441" t="s">
        <v>75</v>
      </c>
      <c r="D41" s="441"/>
      <c r="E41" s="31">
        <v>26.39</v>
      </c>
      <c r="F41" s="109">
        <v>2545</v>
      </c>
      <c r="G41" s="108">
        <f t="shared" si="49"/>
        <v>67162.55</v>
      </c>
      <c r="H41" s="119" t="s">
        <v>103</v>
      </c>
      <c r="I41" s="111">
        <v>19</v>
      </c>
      <c r="J41" s="26">
        <v>2400</v>
      </c>
      <c r="K41" s="10">
        <f t="shared" si="54"/>
        <v>126.31578947368421</v>
      </c>
      <c r="L41" s="111">
        <v>19</v>
      </c>
      <c r="M41" s="11">
        <f t="shared" si="55"/>
        <v>2245.5882352941148</v>
      </c>
      <c r="N41" s="10">
        <f t="shared" si="56"/>
        <v>118.18885448916394</v>
      </c>
      <c r="O41" s="12">
        <f t="shared" si="50"/>
        <v>0</v>
      </c>
      <c r="P41" s="13">
        <f t="shared" si="51"/>
        <v>-8.1269349845202612</v>
      </c>
      <c r="Q41" s="113">
        <f t="shared" si="52"/>
        <v>0.93566176470588125</v>
      </c>
      <c r="R41" s="442"/>
      <c r="S41" s="28">
        <v>0.61458333333333326</v>
      </c>
      <c r="T41" s="28">
        <v>0.66180555555555554</v>
      </c>
      <c r="U41" s="108">
        <f t="shared" si="58"/>
        <v>7.9999999999999716</v>
      </c>
      <c r="V41" s="110">
        <f t="shared" si="53"/>
        <v>68.000000000000085</v>
      </c>
      <c r="W41" s="16"/>
      <c r="X41" s="16"/>
      <c r="Y41" s="447"/>
      <c r="Z41" s="448"/>
      <c r="AA41" s="12">
        <f t="shared" si="2"/>
        <v>-154.41176470588516</v>
      </c>
      <c r="AB41" s="113">
        <f t="shared" si="57"/>
        <v>0.93566176470588114</v>
      </c>
      <c r="AC41" s="442"/>
    </row>
    <row r="42" spans="1:29">
      <c r="A42" s="462" t="s">
        <v>245</v>
      </c>
      <c r="B42" s="31" t="s">
        <v>67</v>
      </c>
      <c r="C42" s="441" t="s">
        <v>77</v>
      </c>
      <c r="D42" s="441"/>
      <c r="E42" s="31">
        <v>26.2</v>
      </c>
      <c r="F42" s="109">
        <v>1964</v>
      </c>
      <c r="G42" s="108">
        <f t="shared" si="49"/>
        <v>51456.799999999996</v>
      </c>
      <c r="H42" s="119" t="s">
        <v>103</v>
      </c>
      <c r="I42" s="111">
        <v>19</v>
      </c>
      <c r="J42" s="26">
        <v>2400</v>
      </c>
      <c r="K42" s="10">
        <f t="shared" si="54"/>
        <v>126.31578947368421</v>
      </c>
      <c r="L42" s="111">
        <v>19</v>
      </c>
      <c r="M42" s="11">
        <f t="shared" si="55"/>
        <v>2266.1538461538471</v>
      </c>
      <c r="N42" s="10">
        <f t="shared" si="56"/>
        <v>119.27125506072879</v>
      </c>
      <c r="O42" s="12">
        <f t="shared" si="50"/>
        <v>0</v>
      </c>
      <c r="P42" s="13">
        <f t="shared" si="51"/>
        <v>-7.0445344129554144</v>
      </c>
      <c r="Q42" s="113">
        <f t="shared" si="52"/>
        <v>0.94423076923076965</v>
      </c>
      <c r="R42" s="442"/>
      <c r="S42" s="28">
        <v>0.66527777777777775</v>
      </c>
      <c r="T42" s="28">
        <v>0.70138888888888884</v>
      </c>
      <c r="U42" s="108">
        <f t="shared" si="58"/>
        <v>4.9999999999999822</v>
      </c>
      <c r="V42" s="110">
        <f t="shared" si="53"/>
        <v>51.999999999999972</v>
      </c>
      <c r="W42" s="16"/>
      <c r="X42" s="16"/>
      <c r="Y42" s="447"/>
      <c r="Z42" s="448"/>
      <c r="AA42" s="12">
        <f t="shared" si="2"/>
        <v>-133.8461538461529</v>
      </c>
      <c r="AB42" s="113">
        <f t="shared" si="57"/>
        <v>0.94423076923076965</v>
      </c>
      <c r="AC42" s="442"/>
    </row>
    <row r="43" spans="1:29">
      <c r="A43" s="462" t="s">
        <v>245</v>
      </c>
      <c r="B43" s="31" t="s">
        <v>67</v>
      </c>
      <c r="C43" s="441" t="s">
        <v>78</v>
      </c>
      <c r="D43" s="441"/>
      <c r="E43" s="31">
        <v>25.98</v>
      </c>
      <c r="F43" s="109">
        <v>1810</v>
      </c>
      <c r="G43" s="108">
        <f t="shared" si="49"/>
        <v>47023.8</v>
      </c>
      <c r="H43" s="119" t="s">
        <v>103</v>
      </c>
      <c r="I43" s="111">
        <v>17</v>
      </c>
      <c r="J43" s="26">
        <v>2400</v>
      </c>
      <c r="K43" s="10">
        <f t="shared" si="54"/>
        <v>141.1764705882353</v>
      </c>
      <c r="L43" s="111">
        <v>17</v>
      </c>
      <c r="M43" s="11">
        <f t="shared" si="55"/>
        <v>2262.5000000000005</v>
      </c>
      <c r="N43" s="10">
        <f t="shared" si="56"/>
        <v>133.08823529411768</v>
      </c>
      <c r="O43" s="12">
        <f t="shared" si="50"/>
        <v>0</v>
      </c>
      <c r="P43" s="13">
        <f t="shared" si="51"/>
        <v>-8.0882352941176237</v>
      </c>
      <c r="Q43" s="113">
        <f t="shared" si="52"/>
        <v>0.94270833333333348</v>
      </c>
      <c r="R43" s="442"/>
      <c r="S43" s="28">
        <v>0.70486111111111105</v>
      </c>
      <c r="T43" s="28">
        <v>0.73819444444444438</v>
      </c>
      <c r="U43" s="108">
        <f t="shared" si="58"/>
        <v>4.9999999999999822</v>
      </c>
      <c r="V43" s="110">
        <f t="shared" si="53"/>
        <v>47.999999999999986</v>
      </c>
      <c r="W43" s="16"/>
      <c r="X43" s="16"/>
      <c r="Y43" s="447"/>
      <c r="Z43" s="448"/>
      <c r="AA43" s="12">
        <f t="shared" si="2"/>
        <v>-137.49999999999955</v>
      </c>
      <c r="AB43" s="113">
        <f t="shared" si="57"/>
        <v>0.94270833333333348</v>
      </c>
      <c r="AC43" s="442"/>
    </row>
    <row r="44" spans="1:29">
      <c r="A44" s="462" t="s">
        <v>245</v>
      </c>
      <c r="B44" s="33" t="s">
        <v>240</v>
      </c>
      <c r="C44" s="446"/>
      <c r="D44" s="446"/>
      <c r="E44" s="112"/>
      <c r="F44" s="33"/>
      <c r="G44" s="10"/>
      <c r="H44" s="109"/>
      <c r="I44" s="19">
        <v>18.399999999999999</v>
      </c>
      <c r="J44" s="26">
        <v>2400</v>
      </c>
      <c r="K44" s="10">
        <f t="shared" si="54"/>
        <v>130.43478260869566</v>
      </c>
      <c r="L44" s="19">
        <v>18.399999999999999</v>
      </c>
      <c r="M44" s="11">
        <f>AVERAGE(M34:M43)</f>
        <v>2260.756398641694</v>
      </c>
      <c r="N44" s="10">
        <f>M44/L44</f>
        <v>122.86719557835295</v>
      </c>
      <c r="O44" s="12">
        <f>L44-I44</f>
        <v>0</v>
      </c>
      <c r="P44" s="13">
        <f t="shared" si="51"/>
        <v>-7.5675870303427075</v>
      </c>
      <c r="Q44" s="113">
        <f t="shared" si="52"/>
        <v>0.94198183276737257</v>
      </c>
      <c r="R44" s="442"/>
      <c r="S44" s="28"/>
      <c r="T44" s="28"/>
      <c r="U44" s="10"/>
      <c r="V44" s="110"/>
      <c r="W44" s="10"/>
      <c r="X44" s="10"/>
      <c r="Y44" s="443"/>
      <c r="Z44" s="443"/>
      <c r="AA44" s="12">
        <f t="shared" si="2"/>
        <v>-139.24360135830602</v>
      </c>
      <c r="AB44" s="113">
        <f t="shared" si="57"/>
        <v>0.94198183276737246</v>
      </c>
      <c r="AC44" s="442"/>
    </row>
    <row r="45" spans="1:29" ht="15.75" customHeight="1">
      <c r="A45" s="453" t="s">
        <v>246</v>
      </c>
      <c r="B45" s="31" t="s">
        <v>79</v>
      </c>
      <c r="C45" s="444" t="s">
        <v>80</v>
      </c>
      <c r="D45" s="445"/>
      <c r="E45" s="31">
        <v>21.13</v>
      </c>
      <c r="F45" s="109">
        <v>5186</v>
      </c>
      <c r="G45" s="108">
        <f t="shared" ref="G45:G51" si="59">E45*F45</f>
        <v>109580.18</v>
      </c>
      <c r="H45" s="119" t="s">
        <v>103</v>
      </c>
      <c r="I45" s="111">
        <v>10</v>
      </c>
      <c r="J45" s="26">
        <v>3000</v>
      </c>
      <c r="K45" s="10">
        <f t="shared" si="54"/>
        <v>300</v>
      </c>
      <c r="L45" s="111">
        <v>10</v>
      </c>
      <c r="M45" s="11">
        <f t="shared" ref="M45:M46" si="60">F45/V45*60</f>
        <v>2828.727272727273</v>
      </c>
      <c r="N45" s="11">
        <f t="shared" ref="N45:N52" si="61">M45/L45</f>
        <v>282.87272727272727</v>
      </c>
      <c r="O45" s="12">
        <f t="shared" ref="O45:O52" si="62">L45-I45</f>
        <v>0</v>
      </c>
      <c r="P45" s="13">
        <f t="shared" si="51"/>
        <v>-17.127272727272725</v>
      </c>
      <c r="Q45" s="113">
        <f t="shared" si="52"/>
        <v>0.94290909090909092</v>
      </c>
      <c r="R45" s="456">
        <f>Q52</f>
        <v>0.94668288052151772</v>
      </c>
      <c r="S45" s="28">
        <v>8.3333333333333329E-2</v>
      </c>
      <c r="T45" s="28">
        <v>0.15972222222222221</v>
      </c>
      <c r="U45" s="18"/>
      <c r="V45" s="110">
        <f t="shared" ref="V45:V51" si="63">(T45-S45)*24*60</f>
        <v>109.99999999999999</v>
      </c>
      <c r="W45" s="16">
        <f>T45</f>
        <v>0.15972222222222221</v>
      </c>
      <c r="X45" s="16">
        <f>S46</f>
        <v>0.18055555555555555</v>
      </c>
      <c r="Y45" s="447"/>
      <c r="Z45" s="448"/>
      <c r="AA45" s="12">
        <f t="shared" si="2"/>
        <v>-171.27272727272702</v>
      </c>
      <c r="AB45" s="113">
        <f t="shared" si="57"/>
        <v>0.94290909090909103</v>
      </c>
      <c r="AC45" s="456">
        <f>AB52</f>
        <v>0.94668288052151772</v>
      </c>
    </row>
    <row r="46" spans="1:29" ht="15.75" customHeight="1">
      <c r="A46" s="454" t="s">
        <v>246</v>
      </c>
      <c r="B46" s="31" t="s">
        <v>79</v>
      </c>
      <c r="C46" s="444" t="s">
        <v>81</v>
      </c>
      <c r="D46" s="445"/>
      <c r="E46" s="31">
        <v>27.17</v>
      </c>
      <c r="F46" s="109">
        <v>6257</v>
      </c>
      <c r="G46" s="108">
        <f t="shared" si="59"/>
        <v>170002.69</v>
      </c>
      <c r="H46" s="119" t="s">
        <v>103</v>
      </c>
      <c r="I46" s="111">
        <v>10</v>
      </c>
      <c r="J46" s="26">
        <v>3000</v>
      </c>
      <c r="K46" s="10">
        <f t="shared" si="54"/>
        <v>300</v>
      </c>
      <c r="L46" s="111">
        <v>10</v>
      </c>
      <c r="M46" s="11">
        <f t="shared" si="60"/>
        <v>2822.706766917292</v>
      </c>
      <c r="N46" s="11">
        <f t="shared" si="61"/>
        <v>282.27067669172919</v>
      </c>
      <c r="O46" s="12">
        <f t="shared" si="62"/>
        <v>0</v>
      </c>
      <c r="P46" s="13">
        <f t="shared" si="51"/>
        <v>-17.729323308270807</v>
      </c>
      <c r="Q46" s="113">
        <f t="shared" si="52"/>
        <v>0.94090225563909735</v>
      </c>
      <c r="R46" s="457"/>
      <c r="S46" s="28">
        <v>0.18055555555555555</v>
      </c>
      <c r="T46" s="28">
        <v>0.2729166666666667</v>
      </c>
      <c r="U46" s="108">
        <f>(S46-T45)*24*60</f>
        <v>30.000000000000014</v>
      </c>
      <c r="V46" s="110">
        <f t="shared" si="63"/>
        <v>133.00000000000006</v>
      </c>
      <c r="W46" s="16"/>
      <c r="X46" s="16"/>
      <c r="Y46" s="447"/>
      <c r="Z46" s="448"/>
      <c r="AA46" s="12">
        <f t="shared" si="2"/>
        <v>-177.29323308270796</v>
      </c>
      <c r="AB46" s="113">
        <f t="shared" si="57"/>
        <v>0.94090225563909735</v>
      </c>
      <c r="AC46" s="457"/>
    </row>
    <row r="47" spans="1:29" ht="15.75" customHeight="1">
      <c r="A47" s="454" t="s">
        <v>246</v>
      </c>
      <c r="B47" s="31" t="s">
        <v>79</v>
      </c>
      <c r="C47" s="444" t="s">
        <v>82</v>
      </c>
      <c r="D47" s="445"/>
      <c r="E47" s="31">
        <v>35.119999999999997</v>
      </c>
      <c r="F47" s="109">
        <v>4499</v>
      </c>
      <c r="G47" s="108">
        <f t="shared" si="59"/>
        <v>158004.87999999998</v>
      </c>
      <c r="H47" s="119" t="s">
        <v>103</v>
      </c>
      <c r="I47" s="111">
        <v>10</v>
      </c>
      <c r="J47" s="26">
        <v>3000</v>
      </c>
      <c r="K47" s="10">
        <f t="shared" si="54"/>
        <v>300</v>
      </c>
      <c r="L47" s="111">
        <v>10</v>
      </c>
      <c r="M47" s="11">
        <f>F47/V47*60</f>
        <v>2811.8750000000009</v>
      </c>
      <c r="N47" s="11">
        <f t="shared" si="61"/>
        <v>281.18750000000011</v>
      </c>
      <c r="O47" s="12">
        <f t="shared" si="62"/>
        <v>0</v>
      </c>
      <c r="P47" s="13">
        <f t="shared" si="51"/>
        <v>-18.812499999999886</v>
      </c>
      <c r="Q47" s="113">
        <f t="shared" si="52"/>
        <v>0.93729166666666708</v>
      </c>
      <c r="R47" s="457"/>
      <c r="S47" s="28">
        <v>0.27638888888888891</v>
      </c>
      <c r="T47" s="28">
        <v>0.34305555555555556</v>
      </c>
      <c r="U47" s="108">
        <f t="shared" ref="U47:U51" si="64">(S47-T46)*24*60</f>
        <v>4.9999999999999822</v>
      </c>
      <c r="V47" s="110">
        <f t="shared" si="63"/>
        <v>95.999999999999972</v>
      </c>
      <c r="W47" s="16"/>
      <c r="X47" s="16"/>
      <c r="Y47" s="447"/>
      <c r="Z47" s="448"/>
      <c r="AA47" s="12">
        <f t="shared" si="2"/>
        <v>-188.12499999999909</v>
      </c>
      <c r="AB47" s="113">
        <f t="shared" si="57"/>
        <v>0.93729166666666697</v>
      </c>
      <c r="AC47" s="457"/>
    </row>
    <row r="48" spans="1:29" ht="15.75" customHeight="1">
      <c r="A48" s="454" t="s">
        <v>246</v>
      </c>
      <c r="B48" s="31" t="s">
        <v>79</v>
      </c>
      <c r="C48" s="444" t="s">
        <v>83</v>
      </c>
      <c r="D48" s="445"/>
      <c r="E48" s="31">
        <v>40.18</v>
      </c>
      <c r="F48" s="109">
        <v>1824</v>
      </c>
      <c r="G48" s="108">
        <f t="shared" si="59"/>
        <v>73288.319999999992</v>
      </c>
      <c r="H48" s="119" t="s">
        <v>103</v>
      </c>
      <c r="I48" s="111">
        <v>10</v>
      </c>
      <c r="J48" s="26">
        <v>3000</v>
      </c>
      <c r="K48" s="10">
        <f t="shared" si="54"/>
        <v>300</v>
      </c>
      <c r="L48" s="111">
        <v>10</v>
      </c>
      <c r="M48" s="11">
        <f t="shared" ref="M48:M51" si="65">F48/V48*60</f>
        <v>2879.9999999999977</v>
      </c>
      <c r="N48" s="11">
        <f t="shared" si="61"/>
        <v>287.99999999999977</v>
      </c>
      <c r="O48" s="12">
        <f t="shared" si="62"/>
        <v>0</v>
      </c>
      <c r="P48" s="13">
        <f t="shared" si="51"/>
        <v>-12.000000000000227</v>
      </c>
      <c r="Q48" s="113">
        <f t="shared" si="52"/>
        <v>0.95999999999999919</v>
      </c>
      <c r="R48" s="457"/>
      <c r="S48" s="28">
        <v>0.34861111111111109</v>
      </c>
      <c r="T48" s="28">
        <v>0.375</v>
      </c>
      <c r="U48" s="108">
        <f t="shared" si="64"/>
        <v>7.9999999999999716</v>
      </c>
      <c r="V48" s="110">
        <f t="shared" si="63"/>
        <v>38.000000000000028</v>
      </c>
      <c r="W48" s="16"/>
      <c r="X48" s="16"/>
      <c r="Y48" s="447"/>
      <c r="Z48" s="448"/>
      <c r="AA48" s="12">
        <f t="shared" si="2"/>
        <v>-120.00000000000227</v>
      </c>
      <c r="AB48" s="113">
        <f t="shared" si="57"/>
        <v>0.95999999999999919</v>
      </c>
      <c r="AC48" s="457"/>
    </row>
    <row r="49" spans="1:29" ht="15.75" customHeight="1">
      <c r="A49" s="454" t="s">
        <v>246</v>
      </c>
      <c r="B49" s="31" t="s">
        <v>79</v>
      </c>
      <c r="C49" s="444" t="s">
        <v>84</v>
      </c>
      <c r="D49" s="445"/>
      <c r="E49" s="31">
        <v>28.5</v>
      </c>
      <c r="F49" s="109">
        <v>1014</v>
      </c>
      <c r="G49" s="108">
        <f t="shared" si="59"/>
        <v>28899</v>
      </c>
      <c r="H49" s="119" t="s">
        <v>103</v>
      </c>
      <c r="I49" s="111">
        <v>10</v>
      </c>
      <c r="J49" s="26">
        <v>3000</v>
      </c>
      <c r="K49" s="10">
        <f t="shared" si="54"/>
        <v>300</v>
      </c>
      <c r="L49" s="111">
        <v>10</v>
      </c>
      <c r="M49" s="11">
        <f t="shared" si="65"/>
        <v>2897.1428571428564</v>
      </c>
      <c r="N49" s="11">
        <f t="shared" si="61"/>
        <v>289.71428571428567</v>
      </c>
      <c r="O49" s="12">
        <f t="shared" si="62"/>
        <v>0</v>
      </c>
      <c r="P49" s="13">
        <f t="shared" si="51"/>
        <v>-10.285714285714334</v>
      </c>
      <c r="Q49" s="113">
        <f>N49/K49</f>
        <v>0.96571428571428553</v>
      </c>
      <c r="R49" s="457"/>
      <c r="S49" s="28">
        <v>0.38055555555555554</v>
      </c>
      <c r="T49" s="28">
        <v>0.39513888888888887</v>
      </c>
      <c r="U49" s="108">
        <f t="shared" si="64"/>
        <v>7.9999999999999716</v>
      </c>
      <c r="V49" s="110">
        <f t="shared" si="63"/>
        <v>21.000000000000007</v>
      </c>
      <c r="W49" s="16"/>
      <c r="X49" s="16"/>
      <c r="Y49" s="447"/>
      <c r="Z49" s="448"/>
      <c r="AA49" s="12">
        <f t="shared" si="2"/>
        <v>-102.85714285714357</v>
      </c>
      <c r="AB49" s="113">
        <f t="shared" si="57"/>
        <v>0.96571428571428553</v>
      </c>
      <c r="AC49" s="457"/>
    </row>
    <row r="50" spans="1:29" ht="15.75" customHeight="1">
      <c r="A50" s="454" t="s">
        <v>246</v>
      </c>
      <c r="B50" s="31" t="s">
        <v>79</v>
      </c>
      <c r="C50" s="444" t="s">
        <v>85</v>
      </c>
      <c r="D50" s="445"/>
      <c r="E50" s="31">
        <v>35.869999999999997</v>
      </c>
      <c r="F50" s="109">
        <v>3056</v>
      </c>
      <c r="G50" s="108">
        <f t="shared" si="59"/>
        <v>109618.71999999999</v>
      </c>
      <c r="H50" s="119" t="s">
        <v>103</v>
      </c>
      <c r="I50" s="111">
        <v>10</v>
      </c>
      <c r="J50" s="26">
        <v>3000</v>
      </c>
      <c r="K50" s="10">
        <f t="shared" si="54"/>
        <v>300</v>
      </c>
      <c r="L50" s="111">
        <v>10</v>
      </c>
      <c r="M50" s="11">
        <f t="shared" si="65"/>
        <v>2820.9230769230762</v>
      </c>
      <c r="N50" s="11">
        <f t="shared" si="61"/>
        <v>282.0923076923076</v>
      </c>
      <c r="O50" s="12">
        <f t="shared" si="62"/>
        <v>0</v>
      </c>
      <c r="P50" s="13">
        <f t="shared" si="51"/>
        <v>-17.9076923076924</v>
      </c>
      <c r="Q50" s="113">
        <f t="shared" ref="Q50:Q52" si="66">N50/K50</f>
        <v>0.94030769230769196</v>
      </c>
      <c r="R50" s="457"/>
      <c r="S50" s="28">
        <v>0.39930555555555552</v>
      </c>
      <c r="T50" s="28">
        <v>0.44444444444444442</v>
      </c>
      <c r="U50" s="108">
        <f t="shared" si="64"/>
        <v>5.9999999999999787</v>
      </c>
      <c r="V50" s="110">
        <f t="shared" si="63"/>
        <v>65.000000000000014</v>
      </c>
      <c r="W50" s="16"/>
      <c r="X50" s="16"/>
      <c r="Y50" s="447"/>
      <c r="Z50" s="448"/>
      <c r="AA50" s="12">
        <f t="shared" si="2"/>
        <v>-179.07692307692378</v>
      </c>
      <c r="AB50" s="113">
        <f t="shared" si="57"/>
        <v>0.94030769230769207</v>
      </c>
      <c r="AC50" s="457"/>
    </row>
    <row r="51" spans="1:29" ht="15.75" customHeight="1">
      <c r="A51" s="454" t="s">
        <v>246</v>
      </c>
      <c r="B51" s="31" t="s">
        <v>79</v>
      </c>
      <c r="C51" s="444" t="s">
        <v>86</v>
      </c>
      <c r="D51" s="445"/>
      <c r="E51" s="31">
        <v>36.14</v>
      </c>
      <c r="F51" s="109">
        <v>2725</v>
      </c>
      <c r="G51" s="108">
        <f t="shared" si="59"/>
        <v>98481.5</v>
      </c>
      <c r="H51" s="119" t="s">
        <v>103</v>
      </c>
      <c r="I51" s="111">
        <v>10</v>
      </c>
      <c r="J51" s="26">
        <v>3000</v>
      </c>
      <c r="K51" s="10">
        <f t="shared" si="54"/>
        <v>300</v>
      </c>
      <c r="L51" s="111">
        <v>10</v>
      </c>
      <c r="M51" s="11">
        <f t="shared" si="65"/>
        <v>2818.9655172413777</v>
      </c>
      <c r="N51" s="11">
        <f t="shared" si="61"/>
        <v>281.89655172413779</v>
      </c>
      <c r="O51" s="12">
        <f t="shared" si="62"/>
        <v>0</v>
      </c>
      <c r="P51" s="13">
        <f t="shared" si="51"/>
        <v>-18.103448275862206</v>
      </c>
      <c r="Q51" s="113">
        <f t="shared" si="66"/>
        <v>0.93965517241379259</v>
      </c>
      <c r="R51" s="457"/>
      <c r="S51" s="28">
        <v>0.44999999999999996</v>
      </c>
      <c r="T51" s="28">
        <v>0.49027777777777776</v>
      </c>
      <c r="U51" s="108">
        <f t="shared" si="64"/>
        <v>7.9999999999999716</v>
      </c>
      <c r="V51" s="110">
        <f t="shared" si="63"/>
        <v>58.000000000000036</v>
      </c>
      <c r="W51" s="16"/>
      <c r="X51" s="16"/>
      <c r="Y51" s="447"/>
      <c r="Z51" s="448"/>
      <c r="AA51" s="12">
        <f t="shared" si="2"/>
        <v>-181.03448275862229</v>
      </c>
      <c r="AB51" s="113">
        <f t="shared" si="57"/>
        <v>0.93965517241379259</v>
      </c>
      <c r="AC51" s="457"/>
    </row>
    <row r="52" spans="1:29" ht="15.75" customHeight="1">
      <c r="A52" s="455" t="s">
        <v>246</v>
      </c>
      <c r="B52" s="31" t="s">
        <v>240</v>
      </c>
      <c r="C52" s="459"/>
      <c r="D52" s="460"/>
      <c r="E52" s="118"/>
      <c r="F52" s="109"/>
      <c r="G52" s="108"/>
      <c r="H52" s="109"/>
      <c r="I52" s="19">
        <v>10</v>
      </c>
      <c r="J52" s="26">
        <v>3000</v>
      </c>
      <c r="K52" s="10">
        <f>J52/I52</f>
        <v>300</v>
      </c>
      <c r="L52" s="19">
        <v>10</v>
      </c>
      <c r="M52" s="11">
        <f>AVERAGE(M45:M51)</f>
        <v>2840.0486415645532</v>
      </c>
      <c r="N52" s="10">
        <f t="shared" si="61"/>
        <v>284.00486415645531</v>
      </c>
      <c r="O52" s="12">
        <f t="shared" si="62"/>
        <v>0</v>
      </c>
      <c r="P52" s="13">
        <f t="shared" si="51"/>
        <v>-15.995135843544688</v>
      </c>
      <c r="Q52" s="113">
        <f t="shared" si="66"/>
        <v>0.94668288052151772</v>
      </c>
      <c r="R52" s="458"/>
      <c r="S52" s="28"/>
      <c r="T52" s="28"/>
      <c r="U52" s="108"/>
      <c r="V52" s="110"/>
      <c r="W52" s="16"/>
      <c r="X52" s="16"/>
      <c r="Y52" s="447"/>
      <c r="Z52" s="448"/>
      <c r="AA52" s="12">
        <f t="shared" si="2"/>
        <v>-159.95135843544676</v>
      </c>
      <c r="AB52" s="113">
        <f t="shared" si="57"/>
        <v>0.94668288052151772</v>
      </c>
      <c r="AC52" s="458"/>
    </row>
    <row r="53" spans="1:29" ht="15.75" customHeight="1">
      <c r="A53" s="451" t="s">
        <v>247</v>
      </c>
      <c r="B53" s="31" t="s">
        <v>53</v>
      </c>
      <c r="C53" s="441" t="s">
        <v>87</v>
      </c>
      <c r="D53" s="441"/>
      <c r="E53" s="31">
        <v>46</v>
      </c>
      <c r="F53" s="35">
        <v>3337</v>
      </c>
      <c r="G53" s="108">
        <f t="shared" ref="G53:G58" si="67">E53*F53</f>
        <v>153502</v>
      </c>
      <c r="H53" s="119" t="s">
        <v>103</v>
      </c>
      <c r="I53" s="111">
        <v>17</v>
      </c>
      <c r="J53" s="26">
        <v>2000</v>
      </c>
      <c r="K53" s="10">
        <f t="shared" ref="K53:K58" si="68">J53/I53</f>
        <v>117.64705882352941</v>
      </c>
      <c r="L53" s="111">
        <v>17</v>
      </c>
      <c r="M53" s="11">
        <f t="shared" ref="M53:M58" si="69">F53/V53*60</f>
        <v>1888.8679245283013</v>
      </c>
      <c r="N53" s="11">
        <f>M53/L53</f>
        <v>111.10987791342949</v>
      </c>
      <c r="O53" s="12">
        <f>L53-I53</f>
        <v>0</v>
      </c>
      <c r="P53" s="13">
        <f>N53-K53</f>
        <v>-6.5371809100999201</v>
      </c>
      <c r="Q53" s="113">
        <f>N53/K53</f>
        <v>0.94443396226415066</v>
      </c>
      <c r="R53" s="442">
        <f>Q59</f>
        <v>0.94247801046595059</v>
      </c>
      <c r="S53" s="28">
        <v>0.25</v>
      </c>
      <c r="T53" s="28">
        <v>0.32361111111111113</v>
      </c>
      <c r="U53" s="18"/>
      <c r="V53" s="110">
        <f t="shared" ref="V53:V58" si="70">(T53-S53)*24*60</f>
        <v>106.00000000000003</v>
      </c>
      <c r="W53" s="18"/>
      <c r="X53" s="18"/>
      <c r="Y53" s="443"/>
      <c r="Z53" s="443"/>
      <c r="AA53" s="12">
        <f t="shared" si="2"/>
        <v>-111.13207547169873</v>
      </c>
      <c r="AB53" s="113">
        <f t="shared" si="57"/>
        <v>0.94443396226415066</v>
      </c>
      <c r="AC53" s="442">
        <f>AB59</f>
        <v>0.94247801046595059</v>
      </c>
    </row>
    <row r="54" spans="1:29" ht="15.75" customHeight="1">
      <c r="A54" s="451" t="s">
        <v>247</v>
      </c>
      <c r="B54" s="31" t="s">
        <v>53</v>
      </c>
      <c r="C54" s="441" t="s">
        <v>88</v>
      </c>
      <c r="D54" s="441"/>
      <c r="E54" s="31">
        <v>46</v>
      </c>
      <c r="F54" s="35">
        <v>3353</v>
      </c>
      <c r="G54" s="108">
        <f t="shared" si="67"/>
        <v>154238</v>
      </c>
      <c r="H54" s="119" t="s">
        <v>103</v>
      </c>
      <c r="I54" s="111">
        <v>18</v>
      </c>
      <c r="J54" s="26">
        <v>2000</v>
      </c>
      <c r="K54" s="10">
        <f t="shared" si="68"/>
        <v>111.11111111111111</v>
      </c>
      <c r="L54" s="111">
        <v>18</v>
      </c>
      <c r="M54" s="11">
        <f t="shared" si="69"/>
        <v>1880.1869158878501</v>
      </c>
      <c r="N54" s="11">
        <f t="shared" ref="N54:N58" si="71">M54/L54</f>
        <v>104.45482866043612</v>
      </c>
      <c r="O54" s="12">
        <f t="shared" ref="O54:O58" si="72">L54-I54</f>
        <v>0</v>
      </c>
      <c r="P54" s="13">
        <f t="shared" ref="P54:P58" si="73">N54-K54</f>
        <v>-6.6562824506749934</v>
      </c>
      <c r="Q54" s="113">
        <f t="shared" ref="Q54:Q58" si="74">N54/K54</f>
        <v>0.94009345794392507</v>
      </c>
      <c r="R54" s="442"/>
      <c r="S54" s="28">
        <v>0.32916666666666666</v>
      </c>
      <c r="T54" s="28">
        <v>0.40347222222222223</v>
      </c>
      <c r="U54" s="108">
        <f>IF(S54=TIME(17,0,0),"",(S54-T53)*24*60)</f>
        <v>7.9999999999999716</v>
      </c>
      <c r="V54" s="110">
        <f t="shared" si="70"/>
        <v>107.00000000000001</v>
      </c>
      <c r="W54" s="16"/>
      <c r="X54" s="16"/>
      <c r="Y54" s="443"/>
      <c r="Z54" s="443"/>
      <c r="AA54" s="12">
        <f t="shared" si="2"/>
        <v>-119.81308411214991</v>
      </c>
      <c r="AB54" s="113">
        <f t="shared" si="57"/>
        <v>0.94009345794392507</v>
      </c>
      <c r="AC54" s="442"/>
    </row>
    <row r="55" spans="1:29" ht="15.75" customHeight="1">
      <c r="A55" s="451" t="s">
        <v>247</v>
      </c>
      <c r="B55" s="31" t="s">
        <v>58</v>
      </c>
      <c r="C55" s="444" t="s">
        <v>168</v>
      </c>
      <c r="D55" s="445"/>
      <c r="E55" s="31">
        <v>51.62</v>
      </c>
      <c r="F55" s="35">
        <v>4837</v>
      </c>
      <c r="G55" s="108">
        <f t="shared" si="67"/>
        <v>249685.93999999997</v>
      </c>
      <c r="H55" s="119" t="s">
        <v>103</v>
      </c>
      <c r="I55" s="111">
        <v>16</v>
      </c>
      <c r="J55" s="26">
        <v>2000</v>
      </c>
      <c r="K55" s="10">
        <f t="shared" si="68"/>
        <v>125</v>
      </c>
      <c r="L55" s="111">
        <v>16</v>
      </c>
      <c r="M55" s="11">
        <f t="shared" si="69"/>
        <v>1884.5454545454552</v>
      </c>
      <c r="N55" s="11">
        <f t="shared" si="71"/>
        <v>117.78409090909095</v>
      </c>
      <c r="O55" s="12">
        <f t="shared" si="72"/>
        <v>0</v>
      </c>
      <c r="P55" s="13">
        <f t="shared" si="73"/>
        <v>-7.2159090909090509</v>
      </c>
      <c r="Q55" s="113">
        <f t="shared" si="74"/>
        <v>0.94227272727272759</v>
      </c>
      <c r="R55" s="442"/>
      <c r="S55" s="28">
        <v>0.40833333333333333</v>
      </c>
      <c r="T55" s="28">
        <v>0.51527777777777772</v>
      </c>
      <c r="U55" s="108">
        <f t="shared" ref="U55:U58" si="75">IF(S55=TIME(17,0,0),"",(S55-T54)*24*60)</f>
        <v>6.9999999999999751</v>
      </c>
      <c r="V55" s="110">
        <f t="shared" si="70"/>
        <v>153.99999999999994</v>
      </c>
      <c r="W55" s="16"/>
      <c r="X55" s="16"/>
      <c r="Y55" s="114"/>
      <c r="Z55" s="115"/>
      <c r="AA55" s="12">
        <f t="shared" si="2"/>
        <v>-115.45454545454481</v>
      </c>
      <c r="AB55" s="113">
        <f t="shared" si="57"/>
        <v>0.94227272727272759</v>
      </c>
      <c r="AC55" s="442"/>
    </row>
    <row r="56" spans="1:29" ht="15.75" customHeight="1">
      <c r="A56" s="451" t="s">
        <v>247</v>
      </c>
      <c r="B56" s="31" t="s">
        <v>58</v>
      </c>
      <c r="C56" s="116" t="s">
        <v>89</v>
      </c>
      <c r="D56" s="117"/>
      <c r="E56" s="31">
        <v>55.56</v>
      </c>
      <c r="F56" s="35">
        <v>2204</v>
      </c>
      <c r="G56" s="108">
        <f t="shared" si="67"/>
        <v>122454.24</v>
      </c>
      <c r="H56" s="119" t="s">
        <v>103</v>
      </c>
      <c r="I56" s="111">
        <v>17</v>
      </c>
      <c r="J56" s="26">
        <v>2000</v>
      </c>
      <c r="K56" s="10">
        <f t="shared" si="68"/>
        <v>117.64705882352941</v>
      </c>
      <c r="L56" s="111">
        <v>17</v>
      </c>
      <c r="M56" s="11">
        <f t="shared" si="69"/>
        <v>1889.1428571428551</v>
      </c>
      <c r="N56" s="11">
        <f t="shared" si="71"/>
        <v>111.12605042016794</v>
      </c>
      <c r="O56" s="12">
        <f t="shared" si="72"/>
        <v>0</v>
      </c>
      <c r="P56" s="13">
        <f t="shared" si="73"/>
        <v>-6.5210084033614635</v>
      </c>
      <c r="Q56" s="113">
        <f t="shared" si="74"/>
        <v>0.94457142857142751</v>
      </c>
      <c r="R56" s="442"/>
      <c r="S56" s="28">
        <v>0.70833333333333337</v>
      </c>
      <c r="T56" s="28">
        <v>0.75694444444444453</v>
      </c>
      <c r="U56" s="108" t="str">
        <f t="shared" si="75"/>
        <v/>
      </c>
      <c r="V56" s="110">
        <f t="shared" si="70"/>
        <v>70.000000000000071</v>
      </c>
      <c r="W56" s="16"/>
      <c r="X56" s="16"/>
      <c r="Y56" s="114"/>
      <c r="Z56" s="115"/>
      <c r="AA56" s="12">
        <f t="shared" si="2"/>
        <v>-110.85714285714494</v>
      </c>
      <c r="AB56" s="113">
        <f t="shared" si="57"/>
        <v>0.94457142857142751</v>
      </c>
      <c r="AC56" s="442"/>
    </row>
    <row r="57" spans="1:29" ht="15.75" customHeight="1">
      <c r="A57" s="451" t="s">
        <v>247</v>
      </c>
      <c r="B57" s="31" t="s">
        <v>58</v>
      </c>
      <c r="C57" s="116" t="s">
        <v>90</v>
      </c>
      <c r="D57" s="117"/>
      <c r="E57" s="31">
        <v>55.32</v>
      </c>
      <c r="F57" s="35">
        <v>1702</v>
      </c>
      <c r="G57" s="108">
        <f t="shared" si="67"/>
        <v>94154.64</v>
      </c>
      <c r="H57" s="119" t="s">
        <v>103</v>
      </c>
      <c r="I57" s="111">
        <v>15</v>
      </c>
      <c r="J57" s="26">
        <v>2000</v>
      </c>
      <c r="K57" s="10">
        <f t="shared" si="68"/>
        <v>133.33333333333334</v>
      </c>
      <c r="L57" s="111">
        <v>15</v>
      </c>
      <c r="M57" s="11">
        <f t="shared" si="69"/>
        <v>1891.1111111111122</v>
      </c>
      <c r="N57" s="11">
        <f t="shared" si="71"/>
        <v>126.07407407407415</v>
      </c>
      <c r="O57" s="12">
        <f t="shared" si="72"/>
        <v>0</v>
      </c>
      <c r="P57" s="13">
        <f t="shared" si="73"/>
        <v>-7.2592592592591956</v>
      </c>
      <c r="Q57" s="113">
        <f t="shared" si="74"/>
        <v>0.94555555555555604</v>
      </c>
      <c r="R57" s="442"/>
      <c r="S57" s="28">
        <v>0.76250000000000007</v>
      </c>
      <c r="T57" s="28">
        <v>0.8</v>
      </c>
      <c r="U57" s="108">
        <f t="shared" si="75"/>
        <v>7.9999999999999716</v>
      </c>
      <c r="V57" s="110">
        <f t="shared" si="70"/>
        <v>53.999999999999972</v>
      </c>
      <c r="W57" s="16"/>
      <c r="X57" s="16"/>
      <c r="Y57" s="114"/>
      <c r="Z57" s="115"/>
      <c r="AA57" s="12">
        <f t="shared" si="2"/>
        <v>-108.88888888888778</v>
      </c>
      <c r="AB57" s="113">
        <f t="shared" si="57"/>
        <v>0.94555555555555615</v>
      </c>
      <c r="AC57" s="442"/>
    </row>
    <row r="58" spans="1:29" ht="15.75" customHeight="1">
      <c r="A58" s="451" t="s">
        <v>247</v>
      </c>
      <c r="B58" s="31" t="s">
        <v>58</v>
      </c>
      <c r="C58" s="444" t="s">
        <v>91</v>
      </c>
      <c r="D58" s="445"/>
      <c r="E58" s="31">
        <v>57.73</v>
      </c>
      <c r="F58" s="35">
        <v>1311</v>
      </c>
      <c r="G58" s="108">
        <f t="shared" si="67"/>
        <v>75684.03</v>
      </c>
      <c r="H58" s="119" t="s">
        <v>103</v>
      </c>
      <c r="I58" s="111">
        <v>16</v>
      </c>
      <c r="J58" s="26">
        <v>1500</v>
      </c>
      <c r="K58" s="10">
        <f t="shared" si="68"/>
        <v>93.75</v>
      </c>
      <c r="L58" s="111">
        <v>16</v>
      </c>
      <c r="M58" s="11">
        <f t="shared" si="69"/>
        <v>1404.6428571428582</v>
      </c>
      <c r="N58" s="11">
        <f t="shared" si="71"/>
        <v>87.79017857142864</v>
      </c>
      <c r="O58" s="12">
        <f t="shared" si="72"/>
        <v>0</v>
      </c>
      <c r="P58" s="13">
        <f t="shared" si="73"/>
        <v>-5.9598214285713595</v>
      </c>
      <c r="Q58" s="113">
        <f t="shared" si="74"/>
        <v>0.93642857142857217</v>
      </c>
      <c r="R58" s="442"/>
      <c r="S58" s="28">
        <v>0.80347222222222225</v>
      </c>
      <c r="T58" s="28">
        <v>0.84236111111111112</v>
      </c>
      <c r="U58" s="108">
        <f t="shared" si="75"/>
        <v>4.9999999999999822</v>
      </c>
      <c r="V58" s="110">
        <f t="shared" si="70"/>
        <v>55.999999999999957</v>
      </c>
      <c r="W58" s="16"/>
      <c r="X58" s="16"/>
      <c r="Y58" s="447"/>
      <c r="Z58" s="448"/>
      <c r="AA58" s="12">
        <f t="shared" si="2"/>
        <v>-95.357142857141753</v>
      </c>
      <c r="AB58" s="113">
        <f t="shared" si="57"/>
        <v>0.93642857142857217</v>
      </c>
      <c r="AC58" s="442"/>
    </row>
    <row r="59" spans="1:29">
      <c r="A59" s="452" t="s">
        <v>247</v>
      </c>
      <c r="B59" s="31" t="s">
        <v>240</v>
      </c>
      <c r="C59" s="446"/>
      <c r="D59" s="446"/>
      <c r="E59" s="112"/>
      <c r="F59" s="33"/>
      <c r="G59" s="10"/>
      <c r="H59" s="109"/>
      <c r="I59" s="19">
        <v>16.5</v>
      </c>
      <c r="J59" s="26">
        <v>1916.6666666666667</v>
      </c>
      <c r="K59" s="10">
        <f>J59/I59</f>
        <v>116.16161616161617</v>
      </c>
      <c r="L59" s="19">
        <v>16.5</v>
      </c>
      <c r="M59" s="11">
        <f>AVERAGE(M53:M58)</f>
        <v>1806.4161867264054</v>
      </c>
      <c r="N59" s="10">
        <f>M59/L59</f>
        <v>109.47976889250941</v>
      </c>
      <c r="O59" s="12">
        <f>L59-I59</f>
        <v>0</v>
      </c>
      <c r="P59" s="13">
        <f>N59-K59</f>
        <v>-6.6818472691067541</v>
      </c>
      <c r="Q59" s="113">
        <f>N59/K59</f>
        <v>0.94247801046595059</v>
      </c>
      <c r="R59" s="442"/>
      <c r="S59" s="29"/>
      <c r="T59" s="28"/>
      <c r="U59" s="10"/>
      <c r="V59" s="110"/>
      <c r="W59" s="10"/>
      <c r="X59" s="10"/>
      <c r="Y59" s="443"/>
      <c r="Z59" s="443"/>
      <c r="AA59" s="12">
        <f t="shared" si="2"/>
        <v>-110.25047994026136</v>
      </c>
      <c r="AB59" s="113">
        <f t="shared" si="57"/>
        <v>0.94247801046595059</v>
      </c>
      <c r="AC59" s="442"/>
    </row>
    <row r="60" spans="1:29" ht="15.75" customHeight="1">
      <c r="A60" s="449" t="s">
        <v>254</v>
      </c>
      <c r="B60" s="109" t="s">
        <v>92</v>
      </c>
      <c r="C60" s="441" t="s">
        <v>93</v>
      </c>
      <c r="D60" s="441"/>
      <c r="E60" s="31">
        <v>84.51</v>
      </c>
      <c r="F60" s="35">
        <v>2008</v>
      </c>
      <c r="G60" s="108">
        <f t="shared" ref="G60:G65" si="76">E60*F60</f>
        <v>169696.08000000002</v>
      </c>
      <c r="H60" s="119" t="s">
        <v>103</v>
      </c>
      <c r="I60" s="111">
        <v>17</v>
      </c>
      <c r="J60" s="26">
        <v>2400</v>
      </c>
      <c r="K60" s="10">
        <f t="shared" ref="K60:K65" si="77">J60/I60</f>
        <v>141.1764705882353</v>
      </c>
      <c r="L60" s="19">
        <v>17</v>
      </c>
      <c r="M60" s="11">
        <f t="shared" ref="M60:M65" si="78">F60/V60*60</f>
        <v>2273.2075471698108</v>
      </c>
      <c r="N60" s="10">
        <f>M60/L60</f>
        <v>133.71809100998888</v>
      </c>
      <c r="O60" s="12">
        <f t="shared" ref="O60:O65" si="79">L60-I60</f>
        <v>0</v>
      </c>
      <c r="P60" s="13">
        <f t="shared" ref="P60:P65" si="80">N60-K60</f>
        <v>-7.4583795782464222</v>
      </c>
      <c r="Q60" s="113">
        <f>N60/K60</f>
        <v>0.94716981132075451</v>
      </c>
      <c r="R60" s="442">
        <f>Q66</f>
        <v>0.94000648172345835</v>
      </c>
      <c r="S60" s="28">
        <v>0.125</v>
      </c>
      <c r="T60" s="28">
        <v>0.16180555555555556</v>
      </c>
      <c r="U60" s="108"/>
      <c r="V60" s="110">
        <f t="shared" ref="V60:V65" si="81">(T60-S60)*24*60</f>
        <v>53.000000000000014</v>
      </c>
      <c r="W60" s="18"/>
      <c r="X60" s="18"/>
      <c r="Y60" s="443"/>
      <c r="Z60" s="443"/>
      <c r="AA60" s="12">
        <f t="shared" si="2"/>
        <v>-126.79245283018918</v>
      </c>
      <c r="AB60" s="113">
        <f t="shared" si="57"/>
        <v>0.94716981132075451</v>
      </c>
      <c r="AC60" s="442">
        <f>AB66</f>
        <v>0.94000648172345846</v>
      </c>
    </row>
    <row r="61" spans="1:29" ht="15.75" customHeight="1">
      <c r="A61" s="449" t="s">
        <v>254</v>
      </c>
      <c r="B61" s="109" t="s">
        <v>79</v>
      </c>
      <c r="C61" s="441" t="s">
        <v>94</v>
      </c>
      <c r="D61" s="441"/>
      <c r="E61" s="31">
        <v>26.78</v>
      </c>
      <c r="F61" s="35">
        <v>2731</v>
      </c>
      <c r="G61" s="108">
        <f t="shared" si="76"/>
        <v>73136.180000000008</v>
      </c>
      <c r="H61" s="119" t="s">
        <v>103</v>
      </c>
      <c r="I61" s="111">
        <v>10</v>
      </c>
      <c r="J61" s="26">
        <v>3000</v>
      </c>
      <c r="K61" s="10">
        <f t="shared" si="77"/>
        <v>300</v>
      </c>
      <c r="L61" s="19">
        <v>10</v>
      </c>
      <c r="M61" s="11">
        <f t="shared" si="78"/>
        <v>2825.1724137931037</v>
      </c>
      <c r="N61" s="10">
        <f t="shared" ref="N61:N65" si="82">M61/L61</f>
        <v>282.51724137931035</v>
      </c>
      <c r="O61" s="12">
        <f t="shared" si="79"/>
        <v>0</v>
      </c>
      <c r="P61" s="13">
        <f t="shared" si="80"/>
        <v>-17.482758620689651</v>
      </c>
      <c r="Q61" s="113">
        <f t="shared" ref="Q61:Q65" si="83">N61/K61</f>
        <v>0.94172413793103449</v>
      </c>
      <c r="R61" s="442"/>
      <c r="S61" s="28">
        <v>0.16527777777777777</v>
      </c>
      <c r="T61" s="28">
        <v>0.20555555555555555</v>
      </c>
      <c r="U61" s="108">
        <f>(S61-T60)*24*60</f>
        <v>4.9999999999999822</v>
      </c>
      <c r="V61" s="110">
        <f t="shared" si="81"/>
        <v>57.999999999999993</v>
      </c>
      <c r="W61" s="108"/>
      <c r="X61" s="108"/>
      <c r="Y61" s="443"/>
      <c r="Z61" s="443"/>
      <c r="AA61" s="12">
        <f t="shared" si="2"/>
        <v>-174.82758620689629</v>
      </c>
      <c r="AB61" s="113">
        <f t="shared" si="57"/>
        <v>0.9417241379310346</v>
      </c>
      <c r="AC61" s="442"/>
    </row>
    <row r="62" spans="1:29" ht="15.75" customHeight="1">
      <c r="A62" s="449" t="s">
        <v>254</v>
      </c>
      <c r="B62" s="109" t="s">
        <v>79</v>
      </c>
      <c r="C62" s="441" t="s">
        <v>95</v>
      </c>
      <c r="D62" s="441"/>
      <c r="E62" s="31">
        <v>35.369999999999997</v>
      </c>
      <c r="F62" s="35">
        <v>1646</v>
      </c>
      <c r="G62" s="108">
        <f t="shared" si="76"/>
        <v>58219.02</v>
      </c>
      <c r="H62" s="119" t="s">
        <v>103</v>
      </c>
      <c r="I62" s="111">
        <v>10</v>
      </c>
      <c r="J62" s="26">
        <v>3000</v>
      </c>
      <c r="K62" s="10">
        <f t="shared" si="77"/>
        <v>300</v>
      </c>
      <c r="L62" s="19">
        <v>10</v>
      </c>
      <c r="M62" s="11">
        <f t="shared" si="78"/>
        <v>2821.7142857142862</v>
      </c>
      <c r="N62" s="10">
        <f t="shared" si="82"/>
        <v>282.17142857142863</v>
      </c>
      <c r="O62" s="12">
        <f t="shared" si="79"/>
        <v>0</v>
      </c>
      <c r="P62" s="13">
        <f t="shared" si="80"/>
        <v>-17.828571428571365</v>
      </c>
      <c r="Q62" s="113">
        <f t="shared" si="83"/>
        <v>0.94057142857142884</v>
      </c>
      <c r="R62" s="442"/>
      <c r="S62" s="28">
        <v>0.21111111111111111</v>
      </c>
      <c r="T62" s="28">
        <v>0.23541666666666666</v>
      </c>
      <c r="U62" s="108">
        <f t="shared" ref="U62:U65" si="84">(S62-T61)*24*60</f>
        <v>8.0000000000000107</v>
      </c>
      <c r="V62" s="110">
        <f t="shared" si="81"/>
        <v>34.999999999999993</v>
      </c>
      <c r="W62" s="108"/>
      <c r="X62" s="108"/>
      <c r="Y62" s="443"/>
      <c r="Z62" s="443"/>
      <c r="AA62" s="12">
        <f t="shared" si="2"/>
        <v>-178.28571428571377</v>
      </c>
      <c r="AB62" s="113">
        <f t="shared" si="57"/>
        <v>0.94057142857142872</v>
      </c>
      <c r="AC62" s="442"/>
    </row>
    <row r="63" spans="1:29" ht="15.75" customHeight="1">
      <c r="A63" s="449" t="s">
        <v>254</v>
      </c>
      <c r="B63" s="109" t="s">
        <v>53</v>
      </c>
      <c r="C63" s="441" t="s">
        <v>96</v>
      </c>
      <c r="D63" s="441"/>
      <c r="E63" s="31">
        <v>26.97</v>
      </c>
      <c r="F63" s="35">
        <v>3347</v>
      </c>
      <c r="G63" s="108">
        <f t="shared" si="76"/>
        <v>90268.59</v>
      </c>
      <c r="H63" s="119" t="s">
        <v>103</v>
      </c>
      <c r="I63" s="111">
        <v>8</v>
      </c>
      <c r="J63" s="26">
        <v>1500</v>
      </c>
      <c r="K63" s="10">
        <f t="shared" si="77"/>
        <v>187.5</v>
      </c>
      <c r="L63" s="19">
        <v>8</v>
      </c>
      <c r="M63" s="11">
        <f t="shared" si="78"/>
        <v>1404.335664335664</v>
      </c>
      <c r="N63" s="10">
        <f t="shared" si="82"/>
        <v>175.541958041958</v>
      </c>
      <c r="O63" s="12">
        <f t="shared" si="79"/>
        <v>0</v>
      </c>
      <c r="P63" s="13">
        <f t="shared" si="80"/>
        <v>-11.958041958042003</v>
      </c>
      <c r="Q63" s="113">
        <f t="shared" si="83"/>
        <v>0.93622377622377595</v>
      </c>
      <c r="R63" s="442"/>
      <c r="S63" s="28">
        <v>0.24097222222222223</v>
      </c>
      <c r="T63" s="28">
        <v>0.34027777777777779</v>
      </c>
      <c r="U63" s="108">
        <f t="shared" si="84"/>
        <v>8.0000000000000107</v>
      </c>
      <c r="V63" s="110">
        <f t="shared" si="81"/>
        <v>143.00000000000003</v>
      </c>
      <c r="W63" s="108"/>
      <c r="X63" s="108"/>
      <c r="Y63" s="443"/>
      <c r="Z63" s="443"/>
      <c r="AA63" s="12">
        <f t="shared" si="2"/>
        <v>-95.664335664336022</v>
      </c>
      <c r="AB63" s="113">
        <f t="shared" si="57"/>
        <v>0.93622377622377595</v>
      </c>
      <c r="AC63" s="442"/>
    </row>
    <row r="64" spans="1:29">
      <c r="A64" s="450" t="s">
        <v>254</v>
      </c>
      <c r="B64" s="109" t="s">
        <v>79</v>
      </c>
      <c r="C64" s="441" t="s">
        <v>97</v>
      </c>
      <c r="D64" s="441"/>
      <c r="E64" s="31">
        <v>35.119999999999997</v>
      </c>
      <c r="F64" s="35">
        <v>1375</v>
      </c>
      <c r="G64" s="108">
        <f t="shared" si="76"/>
        <v>48290</v>
      </c>
      <c r="H64" s="119" t="s">
        <v>103</v>
      </c>
      <c r="I64" s="111">
        <v>13</v>
      </c>
      <c r="J64" s="26">
        <v>2000</v>
      </c>
      <c r="K64" s="10">
        <f t="shared" si="77"/>
        <v>153.84615384615384</v>
      </c>
      <c r="L64" s="19">
        <v>13</v>
      </c>
      <c r="M64" s="11">
        <f t="shared" si="78"/>
        <v>1875</v>
      </c>
      <c r="N64" s="10">
        <f t="shared" si="82"/>
        <v>144.23076923076923</v>
      </c>
      <c r="O64" s="12">
        <f t="shared" si="79"/>
        <v>0</v>
      </c>
      <c r="P64" s="13">
        <f t="shared" si="80"/>
        <v>-9.6153846153846132</v>
      </c>
      <c r="Q64" s="113">
        <f t="shared" si="83"/>
        <v>0.9375</v>
      </c>
      <c r="R64" s="442"/>
      <c r="S64" s="28">
        <v>0.34583333333333333</v>
      </c>
      <c r="T64" s="28">
        <v>0.37638888888888888</v>
      </c>
      <c r="U64" s="108">
        <f t="shared" si="84"/>
        <v>7.9999999999999716</v>
      </c>
      <c r="V64" s="110">
        <f t="shared" si="81"/>
        <v>44</v>
      </c>
      <c r="W64" s="16"/>
      <c r="X64" s="16"/>
      <c r="Y64" s="443"/>
      <c r="Z64" s="443"/>
      <c r="AA64" s="12">
        <f t="shared" si="2"/>
        <v>-125</v>
      </c>
      <c r="AB64" s="113">
        <f t="shared" si="57"/>
        <v>0.9375</v>
      </c>
      <c r="AC64" s="442"/>
    </row>
    <row r="65" spans="1:29" ht="15" customHeight="1">
      <c r="A65" s="450" t="s">
        <v>254</v>
      </c>
      <c r="B65" s="109" t="s">
        <v>79</v>
      </c>
      <c r="C65" s="444" t="s">
        <v>98</v>
      </c>
      <c r="D65" s="445"/>
      <c r="E65" s="31">
        <v>35.869999999999997</v>
      </c>
      <c r="F65" s="35">
        <v>2526</v>
      </c>
      <c r="G65" s="108">
        <f t="shared" si="76"/>
        <v>90607.62</v>
      </c>
      <c r="H65" s="119" t="s">
        <v>103</v>
      </c>
      <c r="I65" s="111">
        <v>10</v>
      </c>
      <c r="J65" s="26">
        <v>3000</v>
      </c>
      <c r="K65" s="10">
        <f t="shared" si="77"/>
        <v>300</v>
      </c>
      <c r="L65" s="19">
        <v>10</v>
      </c>
      <c r="M65" s="11">
        <f t="shared" si="78"/>
        <v>2806.6666666666679</v>
      </c>
      <c r="N65" s="10">
        <f t="shared" si="82"/>
        <v>280.6666666666668</v>
      </c>
      <c r="O65" s="12">
        <f t="shared" si="79"/>
        <v>0</v>
      </c>
      <c r="P65" s="13">
        <f t="shared" si="80"/>
        <v>-19.333333333333201</v>
      </c>
      <c r="Q65" s="113">
        <f t="shared" si="83"/>
        <v>0.93555555555555603</v>
      </c>
      <c r="R65" s="442"/>
      <c r="S65" s="28">
        <v>0.38055555555555554</v>
      </c>
      <c r="T65" s="28">
        <v>0.41805555555555551</v>
      </c>
      <c r="U65" s="108">
        <f t="shared" si="84"/>
        <v>5.9999999999999787</v>
      </c>
      <c r="V65" s="110">
        <f t="shared" si="81"/>
        <v>53.999999999999972</v>
      </c>
      <c r="W65" s="108"/>
      <c r="X65" s="108"/>
      <c r="Y65" s="447"/>
      <c r="Z65" s="448"/>
      <c r="AA65" s="12">
        <f t="shared" si="2"/>
        <v>-193.33333333333212</v>
      </c>
      <c r="AB65" s="113">
        <f t="shared" si="57"/>
        <v>0.93555555555555592</v>
      </c>
      <c r="AC65" s="442"/>
    </row>
    <row r="66" spans="1:29">
      <c r="A66" s="450" t="s">
        <v>254</v>
      </c>
      <c r="B66" s="31" t="s">
        <v>240</v>
      </c>
      <c r="C66" s="446"/>
      <c r="D66" s="446"/>
      <c r="E66" s="112"/>
      <c r="F66" s="33"/>
      <c r="G66" s="10"/>
      <c r="H66" s="109"/>
      <c r="I66" s="19">
        <v>11.333333333333334</v>
      </c>
      <c r="J66" s="26">
        <v>2483.3333333333335</v>
      </c>
      <c r="K66" s="10">
        <f>J66/I66</f>
        <v>219.11764705882354</v>
      </c>
      <c r="L66" s="19">
        <v>11.333333333333334</v>
      </c>
      <c r="M66" s="11">
        <f>AVERAGE(M60:M65)</f>
        <v>2334.3494296132553</v>
      </c>
      <c r="N66" s="10">
        <f>M66/L66</f>
        <v>205.97200849528721</v>
      </c>
      <c r="O66" s="12">
        <f>L66-I66</f>
        <v>0</v>
      </c>
      <c r="P66" s="13">
        <f>N66-K66</f>
        <v>-13.145638563536323</v>
      </c>
      <c r="Q66" s="113">
        <f>N66/K66</f>
        <v>0.94000648172345835</v>
      </c>
      <c r="R66" s="442"/>
      <c r="S66" s="28"/>
      <c r="T66" s="28"/>
      <c r="U66" s="10"/>
      <c r="V66" s="110"/>
      <c r="W66" s="10"/>
      <c r="X66" s="10"/>
      <c r="Y66" s="443"/>
      <c r="Z66" s="443"/>
      <c r="AA66" s="12">
        <f t="shared" si="2"/>
        <v>-148.98390372007816</v>
      </c>
      <c r="AB66" s="113">
        <f t="shared" si="57"/>
        <v>0.94000648172345846</v>
      </c>
      <c r="AC66" s="442"/>
    </row>
    <row r="67" spans="1:29" ht="15.75" customHeight="1">
      <c r="A67" s="439" t="s">
        <v>248</v>
      </c>
      <c r="B67" s="109" t="s">
        <v>67</v>
      </c>
      <c r="C67" s="441" t="s">
        <v>99</v>
      </c>
      <c r="D67" s="441"/>
      <c r="E67" s="31">
        <v>20.2</v>
      </c>
      <c r="F67" s="109">
        <v>3077</v>
      </c>
      <c r="G67" s="108">
        <f t="shared" ref="G67:G72" si="85">E67*F67</f>
        <v>62155.399999999994</v>
      </c>
      <c r="H67" s="119" t="s">
        <v>103</v>
      </c>
      <c r="I67" s="111">
        <v>19</v>
      </c>
      <c r="J67" s="26">
        <v>2400</v>
      </c>
      <c r="K67" s="10">
        <f t="shared" ref="K67:K69" si="86">J67/I67</f>
        <v>126.31578947368421</v>
      </c>
      <c r="L67" s="19">
        <v>19</v>
      </c>
      <c r="M67" s="11">
        <f>F67/V67*60</f>
        <v>2251.4634146341464</v>
      </c>
      <c r="N67" s="10">
        <f t="shared" ref="N67:N72" si="87">M67/L67</f>
        <v>118.49807445442876</v>
      </c>
      <c r="O67" s="12">
        <f t="shared" ref="O67:O72" si="88">L67-I67</f>
        <v>0</v>
      </c>
      <c r="P67" s="13">
        <f t="shared" ref="P67:P72" si="89">N67-K67</f>
        <v>-7.817715019255445</v>
      </c>
      <c r="Q67" s="113">
        <f>N67/K67</f>
        <v>0.93810975609756109</v>
      </c>
      <c r="R67" s="442">
        <f>Q73</f>
        <v>0.94180183104565574</v>
      </c>
      <c r="S67" s="28">
        <v>8.3333333333333329E-2</v>
      </c>
      <c r="T67" s="28">
        <v>0.14027777777777778</v>
      </c>
      <c r="U67" s="18"/>
      <c r="V67" s="110">
        <f t="shared" ref="V67:V72" si="90">(T67-S67)*24*60</f>
        <v>82</v>
      </c>
      <c r="W67" s="16">
        <f>T67</f>
        <v>0.14027777777777778</v>
      </c>
      <c r="X67" s="16">
        <f>S68</f>
        <v>0.16041666666666668</v>
      </c>
      <c r="Y67" s="443"/>
      <c r="Z67" s="443"/>
      <c r="AA67" s="12">
        <f t="shared" si="2"/>
        <v>-148.53658536585363</v>
      </c>
      <c r="AB67" s="113">
        <f>M67/J67</f>
        <v>0.93810975609756098</v>
      </c>
      <c r="AC67" s="442">
        <f>AB73</f>
        <v>0.94180183104565596</v>
      </c>
    </row>
    <row r="68" spans="1:29" ht="15.75" customHeight="1">
      <c r="A68" s="439" t="s">
        <v>248</v>
      </c>
      <c r="B68" s="109" t="s">
        <v>67</v>
      </c>
      <c r="C68" s="441" t="s">
        <v>100</v>
      </c>
      <c r="D68" s="441"/>
      <c r="E68" s="31">
        <v>19.02</v>
      </c>
      <c r="F68" s="109">
        <v>6500</v>
      </c>
      <c r="G68" s="108">
        <f t="shared" si="85"/>
        <v>123630</v>
      </c>
      <c r="H68" s="119">
        <v>2</v>
      </c>
      <c r="I68" s="111">
        <v>15</v>
      </c>
      <c r="J68" s="26">
        <v>2400</v>
      </c>
      <c r="K68" s="10">
        <f t="shared" si="86"/>
        <v>160</v>
      </c>
      <c r="L68" s="19">
        <v>15</v>
      </c>
      <c r="M68" s="11">
        <f t="shared" ref="M68:M72" si="91">F68/V68*60</f>
        <v>2254.3352601156071</v>
      </c>
      <c r="N68" s="10">
        <f t="shared" si="87"/>
        <v>150.28901734104048</v>
      </c>
      <c r="O68" s="12">
        <f t="shared" si="88"/>
        <v>0</v>
      </c>
      <c r="P68" s="13">
        <f t="shared" si="89"/>
        <v>-9.710982658959523</v>
      </c>
      <c r="Q68" s="113">
        <f t="shared" ref="Q68:Q73" si="92">N68/K68</f>
        <v>0.939306358381503</v>
      </c>
      <c r="R68" s="442"/>
      <c r="S68" s="28">
        <v>0.16041666666666668</v>
      </c>
      <c r="T68" s="28">
        <v>0.28055555555555556</v>
      </c>
      <c r="U68" s="108">
        <f>(S68-T67)*24*60</f>
        <v>29.000000000000018</v>
      </c>
      <c r="V68" s="110">
        <f t="shared" si="90"/>
        <v>172.99999999999997</v>
      </c>
      <c r="W68" s="16"/>
      <c r="X68" s="16"/>
      <c r="Y68" s="443"/>
      <c r="Z68" s="443"/>
      <c r="AA68" s="12">
        <f t="shared" si="2"/>
        <v>-145.66473988439293</v>
      </c>
      <c r="AB68" s="113">
        <f t="shared" ref="AB68:AB73" si="93">M68/J68</f>
        <v>0.93930635838150289</v>
      </c>
      <c r="AC68" s="442"/>
    </row>
    <row r="69" spans="1:29" ht="15.75" customHeight="1">
      <c r="A69" s="439" t="s">
        <v>248</v>
      </c>
      <c r="B69" s="109" t="s">
        <v>67</v>
      </c>
      <c r="C69" s="441" t="s">
        <v>101</v>
      </c>
      <c r="D69" s="441"/>
      <c r="E69" s="31">
        <v>25</v>
      </c>
      <c r="F69" s="109">
        <v>4504</v>
      </c>
      <c r="G69" s="108">
        <f t="shared" si="85"/>
        <v>112600</v>
      </c>
      <c r="H69" s="119" t="s">
        <v>103</v>
      </c>
      <c r="I69" s="111">
        <v>15</v>
      </c>
      <c r="J69" s="26">
        <v>2400</v>
      </c>
      <c r="K69" s="10">
        <f t="shared" si="86"/>
        <v>160</v>
      </c>
      <c r="L69" s="19">
        <v>15</v>
      </c>
      <c r="M69" s="11">
        <f t="shared" si="91"/>
        <v>2252.0000000000009</v>
      </c>
      <c r="N69" s="10">
        <f t="shared" si="87"/>
        <v>150.13333333333338</v>
      </c>
      <c r="O69" s="12">
        <f t="shared" si="88"/>
        <v>0</v>
      </c>
      <c r="P69" s="13">
        <f t="shared" si="89"/>
        <v>-9.8666666666666174</v>
      </c>
      <c r="Q69" s="113">
        <f t="shared" si="92"/>
        <v>0.93833333333333369</v>
      </c>
      <c r="R69" s="442"/>
      <c r="S69" s="28">
        <v>0.28541666666666665</v>
      </c>
      <c r="T69" s="28">
        <v>0.36874999999999997</v>
      </c>
      <c r="U69" s="108">
        <f t="shared" ref="U69:U72" si="94">(S69-T68)*24*60</f>
        <v>6.9999999999999751</v>
      </c>
      <c r="V69" s="110">
        <f t="shared" si="90"/>
        <v>119.99999999999997</v>
      </c>
      <c r="W69" s="16"/>
      <c r="X69" s="16"/>
      <c r="Y69" s="443"/>
      <c r="Z69" s="443"/>
      <c r="AA69" s="12">
        <f t="shared" ref="AA69:AA73" si="95">M69-J69</f>
        <v>-147.99999999999909</v>
      </c>
      <c r="AB69" s="113">
        <f t="shared" si="93"/>
        <v>0.93833333333333369</v>
      </c>
      <c r="AC69" s="442"/>
    </row>
    <row r="70" spans="1:29" ht="15.75" customHeight="1">
      <c r="A70" s="439" t="s">
        <v>248</v>
      </c>
      <c r="B70" s="109" t="s">
        <v>67</v>
      </c>
      <c r="C70" s="441" t="s">
        <v>102</v>
      </c>
      <c r="D70" s="441"/>
      <c r="E70" s="31">
        <v>20.52</v>
      </c>
      <c r="F70" s="109">
        <v>4713</v>
      </c>
      <c r="G70" s="108">
        <f t="shared" si="85"/>
        <v>96710.76</v>
      </c>
      <c r="H70" s="119" t="s">
        <v>103</v>
      </c>
      <c r="I70" s="111">
        <v>18</v>
      </c>
      <c r="J70" s="26">
        <v>2400</v>
      </c>
      <c r="K70" s="10">
        <f>J70/I70</f>
        <v>133.33333333333334</v>
      </c>
      <c r="L70" s="19">
        <v>18</v>
      </c>
      <c r="M70" s="11">
        <f t="shared" si="91"/>
        <v>2262.2399999999998</v>
      </c>
      <c r="N70" s="10">
        <f t="shared" si="87"/>
        <v>125.67999999999999</v>
      </c>
      <c r="O70" s="12">
        <f t="shared" si="88"/>
        <v>0</v>
      </c>
      <c r="P70" s="13">
        <f t="shared" si="89"/>
        <v>-7.6533333333333502</v>
      </c>
      <c r="Q70" s="113">
        <f t="shared" si="92"/>
        <v>0.94259999999999988</v>
      </c>
      <c r="R70" s="442"/>
      <c r="S70" s="28">
        <v>0.37291666666666662</v>
      </c>
      <c r="T70" s="28">
        <v>0.4597222222222222</v>
      </c>
      <c r="U70" s="108">
        <f t="shared" si="94"/>
        <v>5.9999999999999787</v>
      </c>
      <c r="V70" s="110">
        <f t="shared" si="90"/>
        <v>125.00000000000003</v>
      </c>
      <c r="W70" s="16"/>
      <c r="X70" s="16"/>
      <c r="Y70" s="443"/>
      <c r="Z70" s="443"/>
      <c r="AA70" s="12">
        <f t="shared" si="95"/>
        <v>-137.76000000000022</v>
      </c>
      <c r="AB70" s="113">
        <f t="shared" si="93"/>
        <v>0.94259999999999988</v>
      </c>
      <c r="AC70" s="442"/>
    </row>
    <row r="71" spans="1:29" ht="15.75" customHeight="1">
      <c r="A71" s="439" t="s">
        <v>248</v>
      </c>
      <c r="B71" s="109" t="s">
        <v>67</v>
      </c>
      <c r="C71" s="441" t="s">
        <v>71</v>
      </c>
      <c r="D71" s="441"/>
      <c r="E71" s="31">
        <v>22.35</v>
      </c>
      <c r="F71" s="109">
        <v>1903</v>
      </c>
      <c r="G71" s="108">
        <f t="shared" si="85"/>
        <v>42532.05</v>
      </c>
      <c r="H71" s="119" t="s">
        <v>103</v>
      </c>
      <c r="I71" s="111">
        <v>16</v>
      </c>
      <c r="J71" s="26">
        <v>2400</v>
      </c>
      <c r="K71" s="10">
        <f t="shared" ref="K71:K73" si="96">J71/I71</f>
        <v>150</v>
      </c>
      <c r="L71" s="19">
        <v>16</v>
      </c>
      <c r="M71" s="11">
        <f t="shared" si="91"/>
        <v>2283.6000000000004</v>
      </c>
      <c r="N71" s="10">
        <f t="shared" si="87"/>
        <v>142.72500000000002</v>
      </c>
      <c r="O71" s="12">
        <f t="shared" si="88"/>
        <v>0</v>
      </c>
      <c r="P71" s="13">
        <f t="shared" si="89"/>
        <v>-7.2749999999999773</v>
      </c>
      <c r="Q71" s="113">
        <f t="shared" si="92"/>
        <v>0.95150000000000012</v>
      </c>
      <c r="R71" s="442"/>
      <c r="S71" s="28">
        <v>0.46527777777777773</v>
      </c>
      <c r="T71" s="28">
        <v>0.49999999999999994</v>
      </c>
      <c r="U71" s="108">
        <f t="shared" si="94"/>
        <v>7.9999999999999716</v>
      </c>
      <c r="V71" s="110">
        <f t="shared" si="90"/>
        <v>49.999999999999986</v>
      </c>
      <c r="W71" s="16">
        <f>T71</f>
        <v>0.49999999999999994</v>
      </c>
      <c r="X71" s="16">
        <f>S72</f>
        <v>0.54027777777777775</v>
      </c>
      <c r="Y71" s="443"/>
      <c r="Z71" s="443"/>
      <c r="AA71" s="12">
        <f t="shared" si="95"/>
        <v>-116.39999999999964</v>
      </c>
      <c r="AB71" s="113">
        <f t="shared" si="93"/>
        <v>0.95150000000000012</v>
      </c>
      <c r="AC71" s="442"/>
    </row>
    <row r="72" spans="1:29" ht="15.75" customHeight="1">
      <c r="A72" s="439" t="s">
        <v>248</v>
      </c>
      <c r="B72" s="109" t="s">
        <v>67</v>
      </c>
      <c r="C72" s="441" t="s">
        <v>100</v>
      </c>
      <c r="D72" s="441"/>
      <c r="E72" s="31">
        <v>19.02</v>
      </c>
      <c r="F72" s="109">
        <v>4893</v>
      </c>
      <c r="G72" s="108">
        <f t="shared" si="85"/>
        <v>93064.86</v>
      </c>
      <c r="H72" s="119" t="s">
        <v>103</v>
      </c>
      <c r="I72" s="111">
        <v>15</v>
      </c>
      <c r="J72" s="26">
        <v>2400</v>
      </c>
      <c r="K72" s="10">
        <f t="shared" si="96"/>
        <v>160</v>
      </c>
      <c r="L72" s="19">
        <v>15</v>
      </c>
      <c r="M72" s="11">
        <f t="shared" si="91"/>
        <v>2258.3076923076915</v>
      </c>
      <c r="N72" s="10">
        <f t="shared" si="87"/>
        <v>150.55384615384611</v>
      </c>
      <c r="O72" s="12">
        <f t="shared" si="88"/>
        <v>0</v>
      </c>
      <c r="P72" s="13">
        <f t="shared" si="89"/>
        <v>-9.4461538461538908</v>
      </c>
      <c r="Q72" s="113">
        <f t="shared" si="92"/>
        <v>0.94096153846153818</v>
      </c>
      <c r="R72" s="442"/>
      <c r="S72" s="28">
        <v>0.54027777777777775</v>
      </c>
      <c r="T72" s="28">
        <v>0.63055555555555554</v>
      </c>
      <c r="U72" s="108">
        <f t="shared" si="94"/>
        <v>58.000000000000036</v>
      </c>
      <c r="V72" s="110">
        <f t="shared" si="90"/>
        <v>130.00000000000003</v>
      </c>
      <c r="W72" s="16"/>
      <c r="X72" s="16"/>
      <c r="Y72" s="443"/>
      <c r="Z72" s="443"/>
      <c r="AA72" s="12">
        <f t="shared" si="95"/>
        <v>-141.69230769230853</v>
      </c>
      <c r="AB72" s="113">
        <f t="shared" si="93"/>
        <v>0.94096153846153807</v>
      </c>
      <c r="AC72" s="442"/>
    </row>
    <row r="73" spans="1:29" ht="16.5" customHeight="1">
      <c r="A73" s="440" t="s">
        <v>248</v>
      </c>
      <c r="B73" s="31" t="s">
        <v>240</v>
      </c>
      <c r="C73" s="446"/>
      <c r="D73" s="446"/>
      <c r="E73" s="112"/>
      <c r="F73" s="33"/>
      <c r="G73" s="10"/>
      <c r="H73" s="109"/>
      <c r="I73" s="19">
        <v>16.333333333333332</v>
      </c>
      <c r="J73" s="26">
        <v>2400</v>
      </c>
      <c r="K73" s="10">
        <f t="shared" si="96"/>
        <v>146.9387755102041</v>
      </c>
      <c r="L73" s="19">
        <v>16.333333333333332</v>
      </c>
      <c r="M73" s="11">
        <f>AVERAGE(M67:M72)</f>
        <v>2260.3243945095742</v>
      </c>
      <c r="N73" s="10">
        <f>M73/L73</f>
        <v>138.38720782711678</v>
      </c>
      <c r="O73" s="12">
        <f>L73-I73</f>
        <v>0</v>
      </c>
      <c r="P73" s="13">
        <f>N73-K73</f>
        <v>-8.5515676830873133</v>
      </c>
      <c r="Q73" s="113">
        <f t="shared" si="92"/>
        <v>0.94180183104565574</v>
      </c>
      <c r="R73" s="442"/>
      <c r="S73" s="28"/>
      <c r="T73" s="28"/>
      <c r="U73" s="10"/>
      <c r="V73" s="110"/>
      <c r="W73" s="10"/>
      <c r="X73" s="10"/>
      <c r="Y73" s="443"/>
      <c r="Z73" s="443"/>
      <c r="AA73" s="12">
        <f t="shared" si="95"/>
        <v>-139.67560549042582</v>
      </c>
      <c r="AB73" s="113">
        <f t="shared" si="93"/>
        <v>0.94180183104565596</v>
      </c>
      <c r="AC73" s="442"/>
    </row>
    <row r="74" spans="1:29">
      <c r="D74" s="22"/>
      <c r="E74" s="22"/>
    </row>
  </sheetData>
  <mergeCells count="194">
    <mergeCell ref="Y70:Z70"/>
    <mergeCell ref="C71:D71"/>
    <mergeCell ref="Y71:Z71"/>
    <mergeCell ref="A67:A73"/>
    <mergeCell ref="C67:D67"/>
    <mergeCell ref="R67:R73"/>
    <mergeCell ref="Y67:Z67"/>
    <mergeCell ref="AC67:AC73"/>
    <mergeCell ref="C68:D68"/>
    <mergeCell ref="Y68:Z68"/>
    <mergeCell ref="C69:D69"/>
    <mergeCell ref="Y69:Z69"/>
    <mergeCell ref="C70:D70"/>
    <mergeCell ref="C72:D72"/>
    <mergeCell ref="Y72:Z72"/>
    <mergeCell ref="C73:D73"/>
    <mergeCell ref="Y73:Z73"/>
    <mergeCell ref="A60:A66"/>
    <mergeCell ref="C60:D60"/>
    <mergeCell ref="R60:R66"/>
    <mergeCell ref="Y60:Z60"/>
    <mergeCell ref="AC60:AC66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66:Z66"/>
    <mergeCell ref="AC53:AC59"/>
    <mergeCell ref="C54:D54"/>
    <mergeCell ref="Y54:Z54"/>
    <mergeCell ref="C55:D55"/>
    <mergeCell ref="C58:D58"/>
    <mergeCell ref="Y58:Z58"/>
    <mergeCell ref="C59:D59"/>
    <mergeCell ref="Y59:Z59"/>
    <mergeCell ref="C52:D52"/>
    <mergeCell ref="Y52:Z52"/>
    <mergeCell ref="AC45:AC52"/>
    <mergeCell ref="A53:A59"/>
    <mergeCell ref="C53:D53"/>
    <mergeCell ref="R53:R59"/>
    <mergeCell ref="Y53:Z53"/>
    <mergeCell ref="Y48:Z48"/>
    <mergeCell ref="C49:D49"/>
    <mergeCell ref="Y49:Z49"/>
    <mergeCell ref="C50:D50"/>
    <mergeCell ref="Y50:Z50"/>
    <mergeCell ref="C51:D51"/>
    <mergeCell ref="Y51:Z51"/>
    <mergeCell ref="A45:A52"/>
    <mergeCell ref="C45:D45"/>
    <mergeCell ref="R45:R52"/>
    <mergeCell ref="Y45:Z45"/>
    <mergeCell ref="C46:D46"/>
    <mergeCell ref="Y46:Z46"/>
    <mergeCell ref="C47:D47"/>
    <mergeCell ref="Y47:Z47"/>
    <mergeCell ref="C48:D48"/>
    <mergeCell ref="AC34:AC44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A26:A33"/>
    <mergeCell ref="C26:D26"/>
    <mergeCell ref="R26:R33"/>
    <mergeCell ref="Y26:Z26"/>
    <mergeCell ref="C33:D33"/>
    <mergeCell ref="Y33:Z33"/>
    <mergeCell ref="A34:A44"/>
    <mergeCell ref="C34:D34"/>
    <mergeCell ref="R34:R44"/>
    <mergeCell ref="Y34:Z34"/>
    <mergeCell ref="Y39:Z39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Y44:Z44"/>
    <mergeCell ref="AC26:AC33"/>
    <mergeCell ref="C27:D27"/>
    <mergeCell ref="Y27:Z27"/>
    <mergeCell ref="C28:D28"/>
    <mergeCell ref="Y28:Z28"/>
    <mergeCell ref="C29:D29"/>
    <mergeCell ref="AC19:AC25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Y29:Z29"/>
    <mergeCell ref="C30:D30"/>
    <mergeCell ref="Y30:Z30"/>
    <mergeCell ref="C31:D31"/>
    <mergeCell ref="Y31:Z31"/>
    <mergeCell ref="C32:D32"/>
    <mergeCell ref="Y32:Z32"/>
    <mergeCell ref="A19:A25"/>
    <mergeCell ref="C19:D19"/>
    <mergeCell ref="R19:R25"/>
    <mergeCell ref="Y19:Z19"/>
    <mergeCell ref="Y24:Z24"/>
    <mergeCell ref="C25:D25"/>
    <mergeCell ref="Y25:Z25"/>
    <mergeCell ref="A14:A18"/>
    <mergeCell ref="C14:D14"/>
    <mergeCell ref="R14:R18"/>
    <mergeCell ref="Y14:Z1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3 O5:O9 O13:O15 O52:O60 O18:O50">
    <cfRule type="cellIs" dxfId="154" priority="41" operator="greaterThan">
      <formula>0</formula>
    </cfRule>
  </conditionalFormatting>
  <conditionalFormatting sqref="P5:P7 P63:P65 AA63:AA65 P67:P72 P26:P32 P60 P9 P13:P15 P19:P24 P53:P58 AA67:AA73 P34:P50 AA5:AA60">
    <cfRule type="cellIs" dxfId="153" priority="45" operator="lessThan">
      <formula>0</formula>
    </cfRule>
  </conditionalFormatting>
  <conditionalFormatting sqref="AB63:AB65 Q63:Q73 Q5:Q9 Q13:Q15 Q52:Q60 AB67:AB73 Q18:Q50 AB5:AB60">
    <cfRule type="cellIs" dxfId="152" priority="42" operator="greaterThan">
      <formula>1</formula>
    </cfRule>
    <cfRule type="cellIs" dxfId="151" priority="43" operator="lessThan">
      <formula>0.8</formula>
    </cfRule>
  </conditionalFormatting>
  <conditionalFormatting sqref="AC14:AC15 R14:R15 AC63 R18:R41 AC18:AC41 R63:R73 AC5:AC9 R5:R9 R44:R50 AC44:AC50 AC52:AC60 R52:R60">
    <cfRule type="cellIs" dxfId="150" priority="47" operator="lessThan">
      <formula>0.8</formula>
    </cfRule>
  </conditionalFormatting>
  <conditionalFormatting sqref="AC45">
    <cfRule type="cellIs" dxfId="149" priority="49" operator="lessThan">
      <formula>0.8</formula>
    </cfRule>
  </conditionalFormatting>
  <conditionalFormatting sqref="AC19:AC24">
    <cfRule type="cellIs" dxfId="148" priority="46" operator="lessThan">
      <formula>0.8</formula>
    </cfRule>
  </conditionalFormatting>
  <conditionalFormatting sqref="AC26">
    <cfRule type="cellIs" dxfId="147" priority="48" operator="lessThan">
      <formula>0.8</formula>
    </cfRule>
  </conditionalFormatting>
  <conditionalFormatting sqref="AC34:AC41">
    <cfRule type="cellIs" dxfId="146" priority="44" operator="lessThan">
      <formula>0.8</formula>
    </cfRule>
  </conditionalFormatting>
  <conditionalFormatting sqref="AA66">
    <cfRule type="cellIs" dxfId="145" priority="40" operator="lessThan">
      <formula>0</formula>
    </cfRule>
  </conditionalFormatting>
  <conditionalFormatting sqref="AB66">
    <cfRule type="cellIs" dxfId="144" priority="38" operator="greaterThan">
      <formula>1</formula>
    </cfRule>
    <cfRule type="cellIs" dxfId="143" priority="39" operator="lessThan">
      <formula>0.8</formula>
    </cfRule>
  </conditionalFormatting>
  <conditionalFormatting sqref="O16:O17">
    <cfRule type="cellIs" dxfId="142" priority="33" operator="greaterThan">
      <formula>0</formula>
    </cfRule>
  </conditionalFormatting>
  <conditionalFormatting sqref="P16:P17">
    <cfRule type="cellIs" dxfId="141" priority="36" operator="lessThan">
      <formula>0</formula>
    </cfRule>
  </conditionalFormatting>
  <conditionalFormatting sqref="Q16:Q17">
    <cfRule type="cellIs" dxfId="140" priority="34" operator="greaterThan">
      <formula>1</formula>
    </cfRule>
    <cfRule type="cellIs" dxfId="139" priority="35" operator="lessThan">
      <formula>0.8</formula>
    </cfRule>
  </conditionalFormatting>
  <conditionalFormatting sqref="R16:R17 AC16:AC17">
    <cfRule type="cellIs" dxfId="138" priority="37" operator="lessThan">
      <formula>0.8</formula>
    </cfRule>
  </conditionalFormatting>
  <conditionalFormatting sqref="O10:O12">
    <cfRule type="cellIs" dxfId="137" priority="29" operator="greaterThan">
      <formula>0</formula>
    </cfRule>
  </conditionalFormatting>
  <conditionalFormatting sqref="P10:P12">
    <cfRule type="cellIs" dxfId="136" priority="32" operator="lessThan">
      <formula>0</formula>
    </cfRule>
  </conditionalFormatting>
  <conditionalFormatting sqref="Q10:Q12">
    <cfRule type="cellIs" dxfId="135" priority="30" operator="greaterThan">
      <formula>1</formula>
    </cfRule>
    <cfRule type="cellIs" dxfId="134" priority="31" operator="lessThan">
      <formula>0.8</formula>
    </cfRule>
  </conditionalFormatting>
  <conditionalFormatting sqref="R42 AC42">
    <cfRule type="cellIs" dxfId="133" priority="28" operator="lessThan">
      <formula>0.8</formula>
    </cfRule>
  </conditionalFormatting>
  <conditionalFormatting sqref="AC42">
    <cfRule type="cellIs" dxfId="132" priority="27" operator="lessThan">
      <formula>0.8</formula>
    </cfRule>
  </conditionalFormatting>
  <conditionalFormatting sqref="O62">
    <cfRule type="cellIs" dxfId="131" priority="22" operator="greaterThan">
      <formula>0</formula>
    </cfRule>
  </conditionalFormatting>
  <conditionalFormatting sqref="P62 AA62">
    <cfRule type="cellIs" dxfId="130" priority="25" operator="lessThan">
      <formula>0</formula>
    </cfRule>
  </conditionalFormatting>
  <conditionalFormatting sqref="Q62 AB62">
    <cfRule type="cellIs" dxfId="129" priority="23" operator="greaterThan">
      <formula>1</formula>
    </cfRule>
    <cfRule type="cellIs" dxfId="128" priority="24" operator="lessThan">
      <formula>0.8</formula>
    </cfRule>
  </conditionalFormatting>
  <conditionalFormatting sqref="R62 AC62">
    <cfRule type="cellIs" dxfId="127" priority="26" operator="lessThan">
      <formula>0.8</formula>
    </cfRule>
  </conditionalFormatting>
  <conditionalFormatting sqref="O51">
    <cfRule type="cellIs" dxfId="126" priority="16" operator="greaterThan">
      <formula>0</formula>
    </cfRule>
  </conditionalFormatting>
  <conditionalFormatting sqref="P51">
    <cfRule type="cellIs" dxfId="125" priority="20" operator="lessThan">
      <formula>0</formula>
    </cfRule>
  </conditionalFormatting>
  <conditionalFormatting sqref="Q51">
    <cfRule type="cellIs" dxfId="124" priority="17" operator="greaterThan">
      <formula>1</formula>
    </cfRule>
    <cfRule type="cellIs" dxfId="123" priority="18" operator="lessThan">
      <formula>0.8</formula>
    </cfRule>
  </conditionalFormatting>
  <conditionalFormatting sqref="R51 AC51">
    <cfRule type="cellIs" dxfId="122" priority="21" operator="lessThan">
      <formula>0.8</formula>
    </cfRule>
  </conditionalFormatting>
  <conditionalFormatting sqref="AC51">
    <cfRule type="cellIs" dxfId="121" priority="19" operator="lessThan">
      <formula>0.8</formula>
    </cfRule>
  </conditionalFormatting>
  <conditionalFormatting sqref="O61">
    <cfRule type="cellIs" dxfId="120" priority="11" operator="greaterThan">
      <formula>0</formula>
    </cfRule>
  </conditionalFormatting>
  <conditionalFormatting sqref="P61 AA61">
    <cfRule type="cellIs" dxfId="119" priority="14" operator="lessThan">
      <formula>0</formula>
    </cfRule>
  </conditionalFormatting>
  <conditionalFormatting sqref="Q61 AB61">
    <cfRule type="cellIs" dxfId="118" priority="12" operator="greaterThan">
      <formula>1</formula>
    </cfRule>
    <cfRule type="cellIs" dxfId="117" priority="13" operator="lessThan">
      <formula>0.8</formula>
    </cfRule>
  </conditionalFormatting>
  <conditionalFormatting sqref="R61 AC61">
    <cfRule type="cellIs" dxfId="116" priority="15" operator="lessThan">
      <formula>0.8</formula>
    </cfRule>
  </conditionalFormatting>
  <conditionalFormatting sqref="P8">
    <cfRule type="cellIs" dxfId="115" priority="10" operator="lessThan">
      <formula>0</formula>
    </cfRule>
  </conditionalFormatting>
  <conditionalFormatting sqref="P18">
    <cfRule type="cellIs" dxfId="114" priority="9" operator="lessThan">
      <formula>0</formula>
    </cfRule>
  </conditionalFormatting>
  <conditionalFormatting sqref="P25">
    <cfRule type="cellIs" dxfId="113" priority="8" operator="lessThan">
      <formula>0</formula>
    </cfRule>
  </conditionalFormatting>
  <conditionalFormatting sqref="P33">
    <cfRule type="cellIs" dxfId="112" priority="7" operator="lessThan">
      <formula>0</formula>
    </cfRule>
  </conditionalFormatting>
  <conditionalFormatting sqref="P52">
    <cfRule type="cellIs" dxfId="111" priority="6" operator="lessThan">
      <formula>0</formula>
    </cfRule>
  </conditionalFormatting>
  <conditionalFormatting sqref="P59">
    <cfRule type="cellIs" dxfId="110" priority="5" operator="lessThan">
      <formula>0</formula>
    </cfRule>
  </conditionalFormatting>
  <conditionalFormatting sqref="P66">
    <cfRule type="cellIs" dxfId="109" priority="4" operator="lessThan">
      <formula>0</formula>
    </cfRule>
  </conditionalFormatting>
  <conditionalFormatting sqref="P73">
    <cfRule type="cellIs" dxfId="108" priority="3" operator="lessThan">
      <formula>0</formula>
    </cfRule>
  </conditionalFormatting>
  <conditionalFormatting sqref="R43 AC43">
    <cfRule type="cellIs" dxfId="107" priority="2" operator="lessThan">
      <formula>0.8</formula>
    </cfRule>
  </conditionalFormatting>
  <conditionalFormatting sqref="AC43">
    <cfRule type="cellIs" dxfId="106" priority="1" operator="lessThan">
      <formula>0.8</formula>
    </cfRule>
  </conditionalFormatting>
  <dataValidations disablePrompts="1" count="1">
    <dataValidation type="list" allowBlank="1" showInputMessage="1" showErrorMessage="1" sqref="Z8 Z64:Z65 Y5:Z7 Y66:Z73 Y8:Y65 Z10:Z6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B1:Q28"/>
  <sheetViews>
    <sheetView zoomScale="80" zoomScaleNormal="80" workbookViewId="0">
      <selection activeCell="Y67" sqref="Y67:Z67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170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92" t="s">
        <v>171</v>
      </c>
      <c r="C3" s="493" t="str">
        <f>TEXT('0902 4度C'!A2,"yyyy.mm.ddaaaa")</f>
        <v>2025.09.02星期二</v>
      </c>
      <c r="D3" s="493"/>
      <c r="E3" s="92" t="s">
        <v>172</v>
      </c>
      <c r="F3" s="494">
        <f>'0902 4度C'!D1</f>
        <v>193593</v>
      </c>
      <c r="G3" s="494"/>
      <c r="H3" s="92" t="s">
        <v>173</v>
      </c>
      <c r="I3" s="495">
        <f>'0902 4度C'!F1</f>
        <v>6639488.3499999996</v>
      </c>
      <c r="J3" s="495"/>
      <c r="K3" s="45"/>
      <c r="L3" s="46"/>
      <c r="M3" s="47"/>
      <c r="N3" s="47"/>
    </row>
    <row r="4" spans="2:17" ht="28.5" customHeight="1">
      <c r="B4" s="496" t="s">
        <v>174</v>
      </c>
      <c r="C4" s="496" t="s">
        <v>175</v>
      </c>
      <c r="D4" s="496"/>
      <c r="E4" s="497" t="s">
        <v>176</v>
      </c>
      <c r="F4" s="497"/>
      <c r="G4" s="497" t="s">
        <v>177</v>
      </c>
      <c r="H4" s="497"/>
      <c r="I4" s="497" t="s">
        <v>178</v>
      </c>
      <c r="J4" s="497"/>
      <c r="L4" s="47"/>
      <c r="M4" s="47"/>
      <c r="N4" s="47"/>
    </row>
    <row r="5" spans="2:17" ht="28.5" customHeight="1">
      <c r="B5" s="496"/>
      <c r="C5" s="496" t="s">
        <v>179</v>
      </c>
      <c r="D5" s="496"/>
      <c r="E5" s="496" t="s">
        <v>180</v>
      </c>
      <c r="F5" s="496"/>
      <c r="G5" s="498" t="s">
        <v>181</v>
      </c>
      <c r="H5" s="498"/>
      <c r="I5" s="499" t="s">
        <v>182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145.28493354707683</v>
      </c>
      <c r="F6" s="496">
        <f>AVERAGE(D27:O27,D13:J13)</f>
        <v>148.60921567803351</v>
      </c>
      <c r="G6" s="501">
        <f>AVERAGE(D13:J13)</f>
        <v>148.60921567803351</v>
      </c>
      <c r="H6" s="501"/>
      <c r="I6" s="501">
        <f>AVERAGE(K13:M13)</f>
        <v>137.52827524151118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136.92509360121068</v>
      </c>
      <c r="F7" s="506">
        <f>AVERAGE(D28:O28,D14:J14)</f>
        <v>140.15435142532013</v>
      </c>
      <c r="G7" s="507">
        <f>AVERAGE(D14:J14)</f>
        <v>140.15435142532013</v>
      </c>
      <c r="H7" s="507"/>
      <c r="I7" s="507">
        <f>AVERAGE(K14:M14)</f>
        <v>129.39015867828866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0.94207449020061451</v>
      </c>
      <c r="F8" s="504">
        <f>AVERAGE(D15:J15,D29:O29)</f>
        <v>0.94258664937367409</v>
      </c>
      <c r="G8" s="509">
        <f>AVERAGE(D15:J15)</f>
        <v>0.94258664937367409</v>
      </c>
      <c r="H8" s="509"/>
      <c r="I8" s="509">
        <f>AVERAGE(K15:M15)</f>
        <v>0.94087945213014201</v>
      </c>
      <c r="J8" s="509"/>
      <c r="K8" s="48" t="s">
        <v>183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184</v>
      </c>
      <c r="C10" s="414"/>
      <c r="D10" s="415" t="s">
        <v>185</v>
      </c>
      <c r="E10" s="416"/>
      <c r="F10" s="416"/>
      <c r="G10" s="416"/>
      <c r="H10" s="416"/>
      <c r="I10" s="416"/>
      <c r="J10" s="417"/>
      <c r="K10" s="389" t="s">
        <v>186</v>
      </c>
      <c r="L10" s="390"/>
      <c r="M10" s="391"/>
      <c r="P10" s="51"/>
      <c r="Q10" s="51"/>
    </row>
    <row r="11" spans="2:17" ht="17.25" customHeight="1">
      <c r="B11" s="503" t="s">
        <v>187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188</v>
      </c>
      <c r="C13" s="58" t="s">
        <v>189</v>
      </c>
      <c r="D13" s="59">
        <f>SUMIFS('0902 4度C'!$K:$K,'0902 4度C'!$A:$A,"新豐6線",'0902 4度C'!$B:$B,"平均")</f>
        <v>117.64705882352941</v>
      </c>
      <c r="E13" s="60">
        <f>SUMIFS('0902 4度C'!$K:$K,'0902 4度C'!$A:$A,"新豐2線",'0902 4度C'!$B:$B,"平均")</f>
        <v>83.333333333333329</v>
      </c>
      <c r="F13" s="61">
        <f>SUMIFS('0902 4度C'!$K:$K,'0902 4度C'!$A:$A,"新豐5線",'0902 4度C'!$B:$B,"平均")</f>
        <v>87.5</v>
      </c>
      <c r="G13" s="61">
        <f>SUMIFS('0902 4度C'!$K:$K,'0902 4度C'!$A:$A,"新豐7線",'0902 4度C'!$B:$B,"平均")</f>
        <v>116.50485436893203</v>
      </c>
      <c r="H13" s="61">
        <f>SUMIFS('0902 4度C'!$K:$K,'0902 4度C'!$A:$A,"新豐3線",'0902 4度C'!$B:$B,"平均")</f>
        <v>300</v>
      </c>
      <c r="I13" s="61">
        <f>SUMIFS('0902 4度C'!$K:$K,'0902 4度C'!$A:$A,"新豐1線",'0902 4度C'!$B:$B,"平均")</f>
        <v>116.16161616161617</v>
      </c>
      <c r="J13" s="62">
        <f>SUMIFS('0902 4度C'!$K:$K,'0902 4度C'!$A:$A,"新豐10線",'0902 4度C'!$B:$B,"平均")</f>
        <v>219.11764705882354</v>
      </c>
      <c r="K13" s="63">
        <f>SUMIFS('0902 4度C'!$K:$K,'0902 4度C'!$A:$A,"新豐8線",'0902 4度C'!$B:$B,"平均")</f>
        <v>135.21126760563379</v>
      </c>
      <c r="L13" s="64">
        <f>SUMIFS('0902 4度C'!$K:$K,'0902 4度C'!$A:$A,"新豐9線",'0902 4度C'!$B:$B,"平均")</f>
        <v>130.43478260869566</v>
      </c>
      <c r="M13" s="62">
        <f>SUMIFS('0902 4度C'!$K:$K,'0902 4度C'!$A:$A,"新豐4線",'0902 4度C'!$B:$B,"平均")</f>
        <v>146.9387755102041</v>
      </c>
    </row>
    <row r="14" spans="2:17" ht="39.6" customHeight="1">
      <c r="B14" s="515"/>
      <c r="C14" s="65" t="s">
        <v>190</v>
      </c>
      <c r="D14" s="66">
        <f>SUMIFS('0902 4度C'!$N:$N,'0902 4度C'!$A:$A,"新豐6線",'0902 4度C'!$B:$B,"平均")</f>
        <v>110.98592915675903</v>
      </c>
      <c r="E14" s="67">
        <f>SUMIFS('0902 4度C'!$N:$N,'0902 4度C'!$A:$A,"新豐2線",'0902 4度C'!$B:$B,"平均")</f>
        <v>78.508531730217612</v>
      </c>
      <c r="F14" s="67">
        <f>SUMIFS('0902 4度C'!$N:$N,'0902 4度C'!$A:$A,"新豐5線",'0902 4度C'!$B:$B,"平均")</f>
        <v>82.380577197925433</v>
      </c>
      <c r="G14" s="67">
        <f>SUMIFS('0902 4度C'!$N:$N,'0902 4度C'!$A:$A,"新豐7線",'0902 4度C'!$B:$B,"平均")</f>
        <v>109.67851771250966</v>
      </c>
      <c r="H14" s="67">
        <f>SUMIFS('0902 4度C'!$N:$N,'0902 4度C'!$A:$A,"新豐3線",'0902 4度C'!$B:$B,"平均")</f>
        <v>283.81043971876579</v>
      </c>
      <c r="I14" s="67">
        <f>SUMIFS('0902 4度C'!$N:$N,'0902 4度C'!$A:$A,"新豐1線",'0902 4度C'!$B:$B,"平均")</f>
        <v>109.4790074596206</v>
      </c>
      <c r="J14" s="68">
        <f>SUMIFS('0902 4度C'!$N:$N,'0902 4度C'!$A:$A,"新豐10線",'0902 4度C'!$B:$B,"平均")</f>
        <v>206.23745700144292</v>
      </c>
      <c r="K14" s="69">
        <f>SUMIFS('0902 4度C'!$N:$N,'0902 4度C'!$A:$A,"新豐8線",'0902 4度C'!$B:$B,"平均")</f>
        <v>127.17816568726835</v>
      </c>
      <c r="L14" s="70">
        <f>SUMIFS('0902 4度C'!$N:$N,'0902 4度C'!$A:$A,"新豐9線",'0902 4度C'!$B:$B,"平均")</f>
        <v>122.9251026018942</v>
      </c>
      <c r="M14" s="68">
        <f>SUMIFS('0902 4度C'!$N:$N,'0902 4度C'!$A:$A,"新豐4線",'0902 4度C'!$B:$B,"平均")</f>
        <v>138.06720774570346</v>
      </c>
    </row>
    <row r="15" spans="2:17" ht="40.15" customHeight="1">
      <c r="B15" s="515"/>
      <c r="C15" s="71" t="s">
        <v>191</v>
      </c>
      <c r="D15" s="72">
        <f>D14/D13</f>
        <v>0.94338039783245176</v>
      </c>
      <c r="E15" s="73">
        <f t="shared" ref="E15:M15" si="0">E14/E13</f>
        <v>0.94210238076261144</v>
      </c>
      <c r="F15" s="73">
        <f t="shared" si="0"/>
        <v>0.94149231083343354</v>
      </c>
      <c r="G15" s="73">
        <f t="shared" si="0"/>
        <v>0.9414072770323747</v>
      </c>
      <c r="H15" s="73">
        <f>H14/H13</f>
        <v>0.94603479906255261</v>
      </c>
      <c r="I15" s="73">
        <f>I14/I13</f>
        <v>0.94247145552195122</v>
      </c>
      <c r="J15" s="74">
        <f>J14/J13</f>
        <v>0.94121792457034348</v>
      </c>
      <c r="K15" s="72">
        <f>K14/K13</f>
        <v>0.9405885170620889</v>
      </c>
      <c r="L15" s="73">
        <f>L14/L13</f>
        <v>0.94242578661452214</v>
      </c>
      <c r="M15" s="74">
        <f t="shared" si="0"/>
        <v>0.93962405271381511</v>
      </c>
    </row>
    <row r="16" spans="2:17" ht="17.25" customHeight="1">
      <c r="B16" s="502" t="s">
        <v>192</v>
      </c>
      <c r="C16" s="91" t="s">
        <v>193</v>
      </c>
      <c r="D16" s="76">
        <f>VLOOKUP("新豐6線",'0902 4度C'!$A:$T,19,0)</f>
        <v>0.70833333333333337</v>
      </c>
      <c r="E16" s="28">
        <f>VLOOKUP("新豐2線",'0902 4度C'!$A:$T,19,0)</f>
        <v>8.3333333333333329E-2</v>
      </c>
      <c r="F16" s="28">
        <f>VLOOKUP("新豐5線",'0902 4度C'!$A:$T,19,0)</f>
        <v>0.20833333333333334</v>
      </c>
      <c r="G16" s="28">
        <f>VLOOKUP("新豐7線",'0902 4度C'!$A:$T,19,0)</f>
        <v>0.20833333333333334</v>
      </c>
      <c r="H16" s="28">
        <f>VLOOKUP("新豐3線",'0902 4度C'!$A:$T,19,0)</f>
        <v>8.3333333333333329E-2</v>
      </c>
      <c r="I16" s="28">
        <f>VLOOKUP("新豐1線",'0902 4度C'!$A:$T,19,0)</f>
        <v>0.25</v>
      </c>
      <c r="J16" s="77">
        <f>VLOOKUP("新豐10線",'0902 4度C'!$A:$T,19,0)</f>
        <v>0.125</v>
      </c>
      <c r="K16" s="78">
        <f>VLOOKUP("新豐8線",'0902 4度C'!$A:$T,19,0)</f>
        <v>8.3333333333333329E-2</v>
      </c>
      <c r="L16" s="79">
        <f>VLOOKUP("新豐9線",'0902 4度C'!$A:$T,19,0)</f>
        <v>0.125</v>
      </c>
      <c r="M16" s="80">
        <f>VLOOKUP("新豐4線",'0902 4度C'!$A:$T,19,0)</f>
        <v>8.3333333333333329E-2</v>
      </c>
    </row>
    <row r="17" spans="2:13" ht="17.25" customHeight="1">
      <c r="B17" s="503"/>
      <c r="C17" s="91" t="s">
        <v>194</v>
      </c>
      <c r="D17" s="78">
        <f>LOOKUP(2,1/(('0902 4度C'!$A:$A="新豐6線")*('0902 4度C'!$T:$T&lt;&gt;"")),'0902 4度C'!$T:$T)</f>
        <v>0.83750000000000013</v>
      </c>
      <c r="E17" s="28">
        <f>LOOKUP(2,1/(('0902 4度C'!$A:$A="新豐2線")*('0902 4度C'!$T:$T&lt;&gt;"")),'0902 4度C'!$T:$T)</f>
        <v>0.60138888888888875</v>
      </c>
      <c r="F17" s="28">
        <f>LOOKUP(2,1/(('0902 4度C'!$A:$A="新豐5線")*('0902 4度C'!$T:$T&lt;&gt;"")),'0902 4度C'!$T:$T)</f>
        <v>0.85138888888888886</v>
      </c>
      <c r="G17" s="28">
        <f>LOOKUP(2,1/(('0902 4度C'!$A:$A="新豐7線")*('0902 4度C'!$T:$T&lt;&gt;"")),'0902 4度C'!$T:$T)</f>
        <v>0.80555555555555569</v>
      </c>
      <c r="H17" s="28">
        <f>LOOKUP(2,1/(('0902 4度C'!$A:$A="新豐3線")*('0902 4度C'!$T:$T&lt;&gt;"")),'0902 4度C'!$T:$T)</f>
        <v>0.49374999999999997</v>
      </c>
      <c r="I17" s="28">
        <f>LOOKUP(2,1/(('0902 4度C'!$A:$A="新豐1線")*('0902 4度C'!$T:$T&lt;&gt;"")),'0902 4度C'!$T:$T)</f>
        <v>0.85624999999999996</v>
      </c>
      <c r="J17" s="77">
        <f>LOOKUP(2,1/(('0902 4度C'!$A:$A="新豐10線")*('0902 4度C'!$T:$T&lt;&gt;"")),'0902 4度C'!$T:$T)</f>
        <v>0.42291666666666661</v>
      </c>
      <c r="K17" s="76">
        <f>LOOKUP(2,1/(('0902 4度C'!$A:$A="新豐8線")*('0902 4度C'!$T:$T&lt;&gt;"")),'0902 4度C'!$T:$T)</f>
        <v>0.74999999999999989</v>
      </c>
      <c r="L17" s="28">
        <f>LOOKUP(2,1/(('0902 4度C'!$A:$A="新豐9線")*('0902 4度C'!$T:$T&lt;&gt;"")),'0902 4度C'!$T:$T)</f>
        <v>0.75208333333333321</v>
      </c>
      <c r="M17" s="77">
        <f>LOOKUP(2,1/(('0902 4度C'!$A:$A="新豐4線")*('0902 4度C'!$T:$T&lt;&gt;"")),'0902 4度C'!$T:$T)</f>
        <v>0.63749999999999996</v>
      </c>
    </row>
    <row r="18" spans="2:13" ht="17.25" customHeight="1">
      <c r="B18" s="503" t="s">
        <v>195</v>
      </c>
      <c r="C18" s="514"/>
      <c r="D18" s="81">
        <f>SUMIFS('0902 4度C'!$I:$I,'0902 4度C'!$A:$A,"新豐6線",'0902 4度C'!$B:$B,"平均")</f>
        <v>17</v>
      </c>
      <c r="E18" s="82">
        <f>SUMIFS('0902 4度C'!$I:$I,'0902 4度C'!$A:$A,"新豐2線",'0902 4度C'!$B:$B,"平均")</f>
        <v>18</v>
      </c>
      <c r="F18" s="82">
        <f>SUMIFS('0902 4度C'!$I:$I,'0902 4度C'!$A:$A,"新豐5線",'0902 4度C'!$B:$B,"平均")</f>
        <v>20</v>
      </c>
      <c r="G18" s="82">
        <f>SUMIFS('0902 4度C'!$I:$I,'0902 4度C'!$A:$A,"新豐7線",'0902 4度C'!$B:$B,"平均")</f>
        <v>17.166666666666668</v>
      </c>
      <c r="H18" s="82">
        <f>SUMIFS('0902 4度C'!$I:$I,'0902 4度C'!$A:$A,"新豐3線",'0902 4度C'!$B:$B,"平均")</f>
        <v>10</v>
      </c>
      <c r="I18" s="82">
        <f>SUMIFS('0902 4度C'!$I:$I,'0902 4度C'!$A:$A,"新豐1線",'0902 4度C'!$B:$B,"平均")</f>
        <v>16.5</v>
      </c>
      <c r="J18" s="83">
        <f>SUMIFS('0902 4度C'!$I:$I,'0902 4度C'!$A:$A,"新豐10線",'0902 4度C'!$B:$B,"平均")</f>
        <v>11.333333333333334</v>
      </c>
      <c r="K18" s="81">
        <f>SUMIFS('0902 4度C'!$I:$I,'0902 4度C'!$A:$A,"新豐8線",'0902 4度C'!$B:$B,"平均")</f>
        <v>17.75</v>
      </c>
      <c r="L18" s="82">
        <f>SUMIFS('0902 4度C'!$I:$I,'0902 4度C'!$A:$A,"新豐9線",'0902 4度C'!$B:$B,"平均")</f>
        <v>18.399999999999999</v>
      </c>
      <c r="M18" s="83">
        <f>SUMIFS('0902 4度C'!$I:$I,'0902 4度C'!$A:$A,"新豐4線",'0902 4度C'!$B:$B,"平均")</f>
        <v>16.333333333333332</v>
      </c>
    </row>
    <row r="19" spans="2:13" ht="17.25" customHeight="1">
      <c r="B19" s="510" t="s">
        <v>196</v>
      </c>
      <c r="C19" s="511"/>
      <c r="D19" s="84" t="s">
        <v>148</v>
      </c>
      <c r="E19" s="85" t="s">
        <v>149</v>
      </c>
      <c r="F19" s="85" t="s">
        <v>197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198</v>
      </c>
      <c r="L19" s="85" t="s">
        <v>198</v>
      </c>
      <c r="M19" s="86" t="s">
        <v>198</v>
      </c>
    </row>
    <row r="20" spans="2:13" ht="17.25" customHeight="1">
      <c r="B20" s="510" t="s">
        <v>199</v>
      </c>
      <c r="C20" s="511"/>
      <c r="D20" s="84"/>
      <c r="E20" s="85"/>
      <c r="F20" s="85" t="s">
        <v>200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201</v>
      </c>
      <c r="C21" s="513"/>
      <c r="D21" s="87"/>
      <c r="E21" s="88" t="s">
        <v>202</v>
      </c>
      <c r="F21" s="387" t="s">
        <v>203</v>
      </c>
      <c r="G21" s="388"/>
      <c r="H21" s="88" t="s">
        <v>204</v>
      </c>
      <c r="I21" s="88" t="s">
        <v>205</v>
      </c>
      <c r="J21" s="89" t="s">
        <v>204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0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>
    <pageSetUpPr fitToPage="1"/>
  </sheetPr>
  <dimension ref="A1:AC75"/>
  <sheetViews>
    <sheetView zoomScale="80" zoomScaleNormal="80" workbookViewId="0">
      <pane ySplit="4" topLeftCell="A41" activePane="bottomLeft" state="frozen"/>
      <selection activeCell="B26" sqref="B26"/>
      <selection pane="bottomLeft" activeCell="B48" sqref="B4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206</v>
      </c>
      <c r="B1" s="1"/>
      <c r="C1" s="2" t="s">
        <v>207</v>
      </c>
      <c r="D1" s="3">
        <f>SUM(F5:F74)</f>
        <v>193593</v>
      </c>
      <c r="E1" s="94" t="s">
        <v>2</v>
      </c>
      <c r="F1" s="1">
        <f>SUM(G5:G74)</f>
        <v>6639488.3499999996</v>
      </c>
      <c r="G1" s="1" t="s">
        <v>3</v>
      </c>
      <c r="H1" s="106">
        <f>L8+L13+L53+L60+L18+L67+L34+L45+L25+L74</f>
        <v>162.48333333333332</v>
      </c>
      <c r="I1" s="482" t="s">
        <v>208</v>
      </c>
      <c r="J1" s="482"/>
      <c r="K1" s="482"/>
      <c r="L1" s="482" t="s">
        <v>160</v>
      </c>
      <c r="M1" s="482"/>
      <c r="N1" s="482"/>
      <c r="O1" s="482" t="s">
        <v>6</v>
      </c>
      <c r="P1" s="482"/>
      <c r="Q1" s="482"/>
      <c r="R1" s="482"/>
      <c r="S1" s="482" t="s">
        <v>209</v>
      </c>
      <c r="T1" s="482"/>
      <c r="U1" s="482"/>
      <c r="V1" s="482"/>
      <c r="W1" s="482"/>
      <c r="X1" s="482"/>
      <c r="Y1" s="482" t="s">
        <v>210</v>
      </c>
      <c r="Z1" s="482"/>
      <c r="AA1" s="482" t="s">
        <v>211</v>
      </c>
      <c r="AB1" s="483"/>
      <c r="AC1" s="483"/>
    </row>
    <row r="2" spans="1:29" ht="26.25" customHeight="1">
      <c r="A2" s="24">
        <v>45902</v>
      </c>
      <c r="B2" s="25" t="s">
        <v>161</v>
      </c>
      <c r="C2" s="2" t="s">
        <v>188</v>
      </c>
      <c r="D2" s="6">
        <f>AVERAGE(N8,N13,N53,N60,N18,N67,N25,N34,N45,N74)</f>
        <v>136.9250936012107</v>
      </c>
      <c r="E2" s="7" t="s">
        <v>11</v>
      </c>
      <c r="F2" s="8">
        <f>F1/D1</f>
        <v>34.296117886493825</v>
      </c>
      <c r="G2" s="1" t="s">
        <v>12</v>
      </c>
      <c r="H2" s="105">
        <f>COUNT(H5:H74)</f>
        <v>9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212</v>
      </c>
      <c r="B3" s="443" t="s">
        <v>213</v>
      </c>
      <c r="C3" s="443" t="s">
        <v>214</v>
      </c>
      <c r="D3" s="443"/>
      <c r="E3" s="484" t="s">
        <v>215</v>
      </c>
      <c r="F3" s="443" t="s">
        <v>216</v>
      </c>
      <c r="G3" s="484" t="s">
        <v>217</v>
      </c>
      <c r="H3" s="476" t="s">
        <v>218</v>
      </c>
      <c r="I3" s="474" t="s">
        <v>219</v>
      </c>
      <c r="J3" s="479" t="s">
        <v>220</v>
      </c>
      <c r="K3" s="481" t="s">
        <v>188</v>
      </c>
      <c r="L3" s="474" t="s">
        <v>219</v>
      </c>
      <c r="M3" s="479" t="s">
        <v>21</v>
      </c>
      <c r="N3" s="481" t="s">
        <v>188</v>
      </c>
      <c r="O3" s="474" t="s">
        <v>219</v>
      </c>
      <c r="P3" s="481" t="s">
        <v>10</v>
      </c>
      <c r="Q3" s="480" t="s">
        <v>221</v>
      </c>
      <c r="R3" s="451" t="s">
        <v>222</v>
      </c>
      <c r="S3" s="486" t="s">
        <v>25</v>
      </c>
      <c r="T3" s="486"/>
      <c r="U3" s="476" t="s">
        <v>26</v>
      </c>
      <c r="V3" s="476" t="s">
        <v>223</v>
      </c>
      <c r="W3" s="443" t="s">
        <v>224</v>
      </c>
      <c r="X3" s="443"/>
      <c r="Y3" s="477" t="s">
        <v>225</v>
      </c>
      <c r="Z3" s="478"/>
      <c r="AA3" s="479" t="s">
        <v>226</v>
      </c>
      <c r="AB3" s="480" t="s">
        <v>23</v>
      </c>
      <c r="AC3" s="451" t="s">
        <v>227</v>
      </c>
    </row>
    <row r="4" spans="1:29">
      <c r="A4" s="443"/>
      <c r="B4" s="443"/>
      <c r="C4" s="443"/>
      <c r="D4" s="443"/>
      <c r="E4" s="485"/>
      <c r="F4" s="443"/>
      <c r="G4" s="485"/>
      <c r="H4" s="476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103" t="s">
        <v>31</v>
      </c>
      <c r="T4" s="103" t="s">
        <v>32</v>
      </c>
      <c r="U4" s="476"/>
      <c r="V4" s="476"/>
      <c r="W4" s="94" t="s">
        <v>228</v>
      </c>
      <c r="X4" s="94" t="s">
        <v>229</v>
      </c>
      <c r="Y4" s="478"/>
      <c r="Z4" s="478"/>
      <c r="AA4" s="479"/>
      <c r="AB4" s="480"/>
      <c r="AC4" s="451"/>
    </row>
    <row r="5" spans="1:29">
      <c r="A5" s="473" t="s">
        <v>230</v>
      </c>
      <c r="B5" s="31" t="s">
        <v>58</v>
      </c>
      <c r="C5" s="475" t="s">
        <v>104</v>
      </c>
      <c r="D5" s="475"/>
      <c r="E5" s="31">
        <v>46.93</v>
      </c>
      <c r="F5" s="103">
        <v>1164</v>
      </c>
      <c r="G5" s="94">
        <f>E5*F5</f>
        <v>54626.52</v>
      </c>
      <c r="H5" s="104" t="s">
        <v>103</v>
      </c>
      <c r="I5" s="101">
        <v>17</v>
      </c>
      <c r="J5" s="26">
        <v>2000</v>
      </c>
      <c r="K5" s="10">
        <f>J5/I5</f>
        <v>117.64705882352941</v>
      </c>
      <c r="L5" s="101">
        <v>17</v>
      </c>
      <c r="M5" s="11">
        <f>F5/V5*60</f>
        <v>1887.5675675675661</v>
      </c>
      <c r="N5" s="10">
        <f>M5/L5</f>
        <v>111.03338632750389</v>
      </c>
      <c r="O5" s="12">
        <f t="shared" ref="O5:O7" si="0">L5-I5</f>
        <v>0</v>
      </c>
      <c r="P5" s="13">
        <f t="shared" ref="P5:P7" si="1">N5-K5</f>
        <v>-6.6136724960255151</v>
      </c>
      <c r="Q5" s="95">
        <f>N5/K5</f>
        <v>0.94378378378378314</v>
      </c>
      <c r="R5" s="442">
        <f>Q8</f>
        <v>0.94338039783245176</v>
      </c>
      <c r="S5" s="28">
        <v>0.70833333333333337</v>
      </c>
      <c r="T5" s="28">
        <v>0.73402777777777783</v>
      </c>
      <c r="U5" s="94"/>
      <c r="V5" s="102">
        <f>(T5-S5)*24*60</f>
        <v>37.000000000000028</v>
      </c>
      <c r="W5" s="16"/>
      <c r="X5" s="17"/>
      <c r="Y5" s="443"/>
      <c r="Z5" s="443"/>
      <c r="AA5" s="12">
        <f t="shared" ref="AA5:AA68" si="2">M5-J5</f>
        <v>-112.43243243243387</v>
      </c>
      <c r="AB5" s="95">
        <f t="shared" ref="AB5:AB7" si="3">M5/J5</f>
        <v>0.94378378378378303</v>
      </c>
      <c r="AC5" s="442">
        <f>AB8</f>
        <v>0.94338039783245176</v>
      </c>
    </row>
    <row r="6" spans="1:29">
      <c r="A6" s="474" t="s">
        <v>230</v>
      </c>
      <c r="B6" s="31" t="s">
        <v>58</v>
      </c>
      <c r="C6" s="475" t="s">
        <v>105</v>
      </c>
      <c r="D6" s="475"/>
      <c r="E6" s="31">
        <v>50.49</v>
      </c>
      <c r="F6" s="103">
        <v>2284</v>
      </c>
      <c r="G6" s="94">
        <f t="shared" ref="G6:G7" si="4">E6*F6</f>
        <v>115319.16</v>
      </c>
      <c r="H6" s="104" t="s">
        <v>103</v>
      </c>
      <c r="I6" s="101">
        <v>16</v>
      </c>
      <c r="J6" s="26">
        <v>2000</v>
      </c>
      <c r="K6" s="10">
        <f t="shared" ref="K6:K7" si="5">J6/I6</f>
        <v>125</v>
      </c>
      <c r="L6" s="101">
        <v>16</v>
      </c>
      <c r="M6" s="11">
        <f>F6/V6*60</f>
        <v>1877.2602739726012</v>
      </c>
      <c r="N6" s="10">
        <f t="shared" ref="N6:N7" si="6">M6/L6</f>
        <v>117.32876712328758</v>
      </c>
      <c r="O6" s="12">
        <f t="shared" si="0"/>
        <v>0</v>
      </c>
      <c r="P6" s="13">
        <f t="shared" si="1"/>
        <v>-7.6712328767124234</v>
      </c>
      <c r="Q6" s="95">
        <f t="shared" ref="Q6:Q7" si="7">N6/K6</f>
        <v>0.9386301369863006</v>
      </c>
      <c r="R6" s="442"/>
      <c r="S6" s="28">
        <v>0.73750000000000004</v>
      </c>
      <c r="T6" s="28">
        <v>0.78819444444444453</v>
      </c>
      <c r="U6" s="94">
        <f>(S6-T5)*24*60</f>
        <v>4.9999999999999822</v>
      </c>
      <c r="V6" s="102">
        <f>(T6-S6)*24*60</f>
        <v>73.000000000000057</v>
      </c>
      <c r="W6" s="16"/>
      <c r="X6" s="16"/>
      <c r="Y6" s="443"/>
      <c r="Z6" s="443"/>
      <c r="AA6" s="12">
        <f t="shared" si="2"/>
        <v>-122.73972602739877</v>
      </c>
      <c r="AB6" s="95">
        <f t="shared" si="3"/>
        <v>0.9386301369863006</v>
      </c>
      <c r="AC6" s="442"/>
    </row>
    <row r="7" spans="1:29">
      <c r="A7" s="474" t="s">
        <v>230</v>
      </c>
      <c r="B7" s="31" t="s">
        <v>58</v>
      </c>
      <c r="C7" s="471" t="s">
        <v>106</v>
      </c>
      <c r="D7" s="472"/>
      <c r="E7" s="31">
        <v>50.67</v>
      </c>
      <c r="F7" s="103">
        <v>2085</v>
      </c>
      <c r="G7" s="94">
        <f t="shared" si="4"/>
        <v>105646.95</v>
      </c>
      <c r="H7" s="104" t="s">
        <v>103</v>
      </c>
      <c r="I7" s="101">
        <v>18</v>
      </c>
      <c r="J7" s="26">
        <v>2000</v>
      </c>
      <c r="K7" s="10">
        <f t="shared" si="5"/>
        <v>111.11111111111111</v>
      </c>
      <c r="L7" s="101">
        <v>18</v>
      </c>
      <c r="M7" s="11">
        <f t="shared" ref="M7" si="8">F7/V7*60</f>
        <v>1895.454545454543</v>
      </c>
      <c r="N7" s="10">
        <f t="shared" si="6"/>
        <v>105.30303030303017</v>
      </c>
      <c r="O7" s="12">
        <f t="shared" si="0"/>
        <v>0</v>
      </c>
      <c r="P7" s="13">
        <f t="shared" si="1"/>
        <v>-5.8080808080809447</v>
      </c>
      <c r="Q7" s="95">
        <f t="shared" si="7"/>
        <v>0.94772727272727153</v>
      </c>
      <c r="R7" s="442"/>
      <c r="S7" s="28">
        <v>0.79166666666666674</v>
      </c>
      <c r="T7" s="28">
        <v>0.83750000000000013</v>
      </c>
      <c r="U7" s="94">
        <f t="shared" ref="U7" si="9">(S7-T6)*24*60</f>
        <v>4.9999999999999822</v>
      </c>
      <c r="V7" s="102">
        <f t="shared" ref="V7" si="10">(T7-S7)*24*60</f>
        <v>66.000000000000085</v>
      </c>
      <c r="W7" s="16"/>
      <c r="X7" s="16"/>
      <c r="Y7" s="447"/>
      <c r="Z7" s="448"/>
      <c r="AA7" s="12">
        <f t="shared" si="2"/>
        <v>-104.54545454545701</v>
      </c>
      <c r="AB7" s="95">
        <f t="shared" si="3"/>
        <v>0.94772727272727153</v>
      </c>
      <c r="AC7" s="442"/>
    </row>
    <row r="8" spans="1:29">
      <c r="A8" s="474" t="s">
        <v>35</v>
      </c>
      <c r="B8" s="31" t="s">
        <v>231</v>
      </c>
      <c r="C8" s="446"/>
      <c r="D8" s="446"/>
      <c r="E8" s="93"/>
      <c r="F8" s="33"/>
      <c r="G8" s="10"/>
      <c r="H8" s="103"/>
      <c r="I8" s="19">
        <v>17</v>
      </c>
      <c r="J8" s="26">
        <v>2000</v>
      </c>
      <c r="K8" s="10">
        <f>J8/I8</f>
        <v>117.64705882352941</v>
      </c>
      <c r="L8" s="19">
        <v>17</v>
      </c>
      <c r="M8" s="11">
        <f>AVERAGE(M5:M7)</f>
        <v>1886.7607956649035</v>
      </c>
      <c r="N8" s="10">
        <f>M8/L8</f>
        <v>110.98592915675903</v>
      </c>
      <c r="O8" s="12">
        <f>L8-I8</f>
        <v>0</v>
      </c>
      <c r="P8" s="13">
        <f>N8-K8</f>
        <v>-6.6611296667703783</v>
      </c>
      <c r="Q8" s="95">
        <f>N8/K8</f>
        <v>0.94338039783245176</v>
      </c>
      <c r="R8" s="442"/>
      <c r="S8" s="28"/>
      <c r="T8" s="28"/>
      <c r="U8" s="94"/>
      <c r="V8" s="102"/>
      <c r="W8" s="10"/>
      <c r="X8" s="10"/>
      <c r="Y8" s="443"/>
      <c r="Z8" s="443"/>
      <c r="AA8" s="12">
        <f t="shared" si="2"/>
        <v>-113.23920433509647</v>
      </c>
      <c r="AB8" s="95">
        <f>M8/J8</f>
        <v>0.94338039783245176</v>
      </c>
      <c r="AC8" s="442"/>
    </row>
    <row r="9" spans="1:29" ht="15.75" customHeight="1">
      <c r="A9" s="439" t="s">
        <v>232</v>
      </c>
      <c r="B9" s="31" t="s">
        <v>53</v>
      </c>
      <c r="C9" s="471" t="s">
        <v>107</v>
      </c>
      <c r="D9" s="472"/>
      <c r="E9" s="31">
        <v>39.619999999999997</v>
      </c>
      <c r="F9" s="103">
        <v>4924</v>
      </c>
      <c r="G9" s="94">
        <f t="shared" ref="G9:G12" si="11">E9*F9</f>
        <v>195088.87999999998</v>
      </c>
      <c r="H9" s="104" t="s">
        <v>103</v>
      </c>
      <c r="I9" s="101">
        <v>19</v>
      </c>
      <c r="J9" s="26">
        <v>1500</v>
      </c>
      <c r="K9" s="10">
        <f t="shared" ref="K9:K12" si="12">J9/I9</f>
        <v>78.94736842105263</v>
      </c>
      <c r="L9" s="101">
        <v>19</v>
      </c>
      <c r="M9" s="11">
        <f t="shared" ref="M9:M12" si="13">F9/V9*60</f>
        <v>1413.5885167464112</v>
      </c>
      <c r="N9" s="10">
        <f t="shared" ref="N9:N12" si="14">M9/L9</f>
        <v>74.399395618232163</v>
      </c>
      <c r="O9" s="12">
        <f t="shared" ref="O9:O12" si="15">L9-I9</f>
        <v>0</v>
      </c>
      <c r="P9" s="13">
        <f>N9-K9</f>
        <v>-4.5479728028204676</v>
      </c>
      <c r="Q9" s="95">
        <f>N9/K9</f>
        <v>0.94239234449760745</v>
      </c>
      <c r="R9" s="442">
        <f>Q13</f>
        <v>0.94210238076261144</v>
      </c>
      <c r="S9" s="28">
        <v>8.3333333333333329E-2</v>
      </c>
      <c r="T9" s="28">
        <v>0.22847222222222224</v>
      </c>
      <c r="U9" s="94"/>
      <c r="V9" s="102">
        <f t="shared" ref="V9:V12" si="16">(T9-S9)*24*60</f>
        <v>209.00000000000006</v>
      </c>
      <c r="W9" s="16">
        <f>T9</f>
        <v>0.22847222222222224</v>
      </c>
      <c r="X9" s="16">
        <f>S10</f>
        <v>0.2479166666666667</v>
      </c>
      <c r="Y9" s="443"/>
      <c r="Z9" s="443"/>
      <c r="AA9" s="12">
        <f t="shared" si="2"/>
        <v>-86.411483253588813</v>
      </c>
      <c r="AB9" s="95">
        <f>M9/J9</f>
        <v>0.94239234449760745</v>
      </c>
      <c r="AC9" s="442">
        <f>AB13</f>
        <v>0.94210238076261132</v>
      </c>
    </row>
    <row r="10" spans="1:29" ht="15.75" customHeight="1">
      <c r="A10" s="439" t="s">
        <v>37</v>
      </c>
      <c r="B10" s="31" t="s">
        <v>53</v>
      </c>
      <c r="C10" s="471" t="s">
        <v>54</v>
      </c>
      <c r="D10" s="472"/>
      <c r="E10" s="31">
        <v>39.799999999999997</v>
      </c>
      <c r="F10" s="103">
        <v>4000</v>
      </c>
      <c r="G10" s="94">
        <f t="shared" si="11"/>
        <v>159200</v>
      </c>
      <c r="H10" s="104">
        <v>2</v>
      </c>
      <c r="I10" s="101">
        <v>17</v>
      </c>
      <c r="J10" s="26">
        <v>1500</v>
      </c>
      <c r="K10" s="10">
        <f t="shared" si="12"/>
        <v>88.235294117647058</v>
      </c>
      <c r="L10" s="101">
        <v>17</v>
      </c>
      <c r="M10" s="11">
        <f t="shared" si="13"/>
        <v>1411.7647058823532</v>
      </c>
      <c r="N10" s="10">
        <f t="shared" si="14"/>
        <v>83.044982698961945</v>
      </c>
      <c r="O10" s="12">
        <f t="shared" si="15"/>
        <v>0</v>
      </c>
      <c r="P10" s="13">
        <f t="shared" ref="P10:P12" si="17">N10-K10</f>
        <v>-5.1903114186851127</v>
      </c>
      <c r="Q10" s="95">
        <f t="shared" ref="Q10:Q12" si="18">N10/K10</f>
        <v>0.94117647058823539</v>
      </c>
      <c r="R10" s="442"/>
      <c r="S10" s="28">
        <v>0.2479166666666667</v>
      </c>
      <c r="T10" s="28">
        <v>0.36597222222222225</v>
      </c>
      <c r="U10" s="94">
        <f>(S10-T9)*24*60</f>
        <v>28.000000000000021</v>
      </c>
      <c r="V10" s="102">
        <f t="shared" si="16"/>
        <v>169.99999999999997</v>
      </c>
      <c r="W10" s="16"/>
      <c r="X10" s="16"/>
      <c r="Y10" s="443"/>
      <c r="Z10" s="443"/>
      <c r="AA10" s="12">
        <f t="shared" si="2"/>
        <v>-88.235294117646845</v>
      </c>
      <c r="AB10" s="95">
        <f t="shared" ref="AB10:AB25" si="19">M10/J10</f>
        <v>0.94117647058823539</v>
      </c>
      <c r="AC10" s="442"/>
    </row>
    <row r="11" spans="1:29" ht="15.75" customHeight="1">
      <c r="A11" s="439" t="s">
        <v>37</v>
      </c>
      <c r="B11" s="31" t="s">
        <v>53</v>
      </c>
      <c r="C11" s="471" t="s">
        <v>55</v>
      </c>
      <c r="D11" s="472"/>
      <c r="E11" s="31">
        <v>39.29</v>
      </c>
      <c r="F11" s="103">
        <v>3756</v>
      </c>
      <c r="G11" s="94">
        <f t="shared" si="11"/>
        <v>147573.24</v>
      </c>
      <c r="H11" s="104" t="s">
        <v>103</v>
      </c>
      <c r="I11" s="101">
        <v>19</v>
      </c>
      <c r="J11" s="26">
        <v>1500</v>
      </c>
      <c r="K11" s="10">
        <f t="shared" si="12"/>
        <v>78.94736842105263</v>
      </c>
      <c r="L11" s="101">
        <v>19</v>
      </c>
      <c r="M11" s="11">
        <f t="shared" si="13"/>
        <v>1408.5</v>
      </c>
      <c r="N11" s="10">
        <f t="shared" si="14"/>
        <v>74.131578947368425</v>
      </c>
      <c r="O11" s="12">
        <f t="shared" si="15"/>
        <v>0</v>
      </c>
      <c r="P11" s="13">
        <f t="shared" si="17"/>
        <v>-4.8157894736842053</v>
      </c>
      <c r="Q11" s="95">
        <f t="shared" si="18"/>
        <v>0.93900000000000006</v>
      </c>
      <c r="R11" s="442"/>
      <c r="S11" s="28">
        <v>0.37083333333333335</v>
      </c>
      <c r="T11" s="28">
        <v>0.48194444444444445</v>
      </c>
      <c r="U11" s="94">
        <f t="shared" ref="U11:U12" si="20">(S11-T10)*24*60</f>
        <v>6.9999999999999751</v>
      </c>
      <c r="V11" s="102">
        <f t="shared" si="16"/>
        <v>160</v>
      </c>
      <c r="W11" s="16">
        <f>T11</f>
        <v>0.48194444444444445</v>
      </c>
      <c r="X11" s="16">
        <f>S12</f>
        <v>0.52291666666666659</v>
      </c>
      <c r="Y11" s="443"/>
      <c r="Z11" s="443"/>
      <c r="AA11" s="12">
        <f t="shared" si="2"/>
        <v>-91.5</v>
      </c>
      <c r="AB11" s="95">
        <f t="shared" si="19"/>
        <v>0.93899999999999995</v>
      </c>
      <c r="AC11" s="442"/>
    </row>
    <row r="12" spans="1:29" ht="15.75" customHeight="1">
      <c r="A12" s="439" t="s">
        <v>37</v>
      </c>
      <c r="B12" s="31" t="s">
        <v>53</v>
      </c>
      <c r="C12" s="471" t="s">
        <v>54</v>
      </c>
      <c r="D12" s="472"/>
      <c r="E12" s="31">
        <v>39.799999999999997</v>
      </c>
      <c r="F12" s="103">
        <v>2672</v>
      </c>
      <c r="G12" s="94">
        <f t="shared" si="11"/>
        <v>106345.59999999999</v>
      </c>
      <c r="H12" s="104" t="s">
        <v>103</v>
      </c>
      <c r="I12" s="101">
        <v>17</v>
      </c>
      <c r="J12" s="26">
        <v>1500</v>
      </c>
      <c r="K12" s="10">
        <f t="shared" si="12"/>
        <v>88.235294117647058</v>
      </c>
      <c r="L12" s="101">
        <v>17</v>
      </c>
      <c r="M12" s="11">
        <f t="shared" si="13"/>
        <v>1418.7610619469037</v>
      </c>
      <c r="N12" s="10">
        <f t="shared" si="14"/>
        <v>83.45653305570022</v>
      </c>
      <c r="O12" s="12">
        <f t="shared" si="15"/>
        <v>0</v>
      </c>
      <c r="P12" s="13">
        <f t="shared" si="17"/>
        <v>-4.7787610619468381</v>
      </c>
      <c r="Q12" s="95">
        <f t="shared" si="18"/>
        <v>0.94584070796460251</v>
      </c>
      <c r="R12" s="442"/>
      <c r="S12" s="28">
        <v>0.52291666666666659</v>
      </c>
      <c r="T12" s="28">
        <v>0.60138888888888875</v>
      </c>
      <c r="U12" s="94">
        <f t="shared" si="20"/>
        <v>58.999999999999872</v>
      </c>
      <c r="V12" s="102">
        <f t="shared" si="16"/>
        <v>112.99999999999991</v>
      </c>
      <c r="W12" s="16"/>
      <c r="X12" s="16"/>
      <c r="Y12" s="443"/>
      <c r="Z12" s="443"/>
      <c r="AA12" s="12">
        <f t="shared" si="2"/>
        <v>-81.238938053096263</v>
      </c>
      <c r="AB12" s="95">
        <f t="shared" si="19"/>
        <v>0.94584070796460251</v>
      </c>
      <c r="AC12" s="442"/>
    </row>
    <row r="13" spans="1:29" ht="16.5" customHeight="1">
      <c r="A13" s="439" t="s">
        <v>37</v>
      </c>
      <c r="B13" s="31" t="s">
        <v>36</v>
      </c>
      <c r="C13" s="446"/>
      <c r="D13" s="446"/>
      <c r="E13" s="93"/>
      <c r="F13" s="26"/>
      <c r="G13" s="11"/>
      <c r="H13" s="103"/>
      <c r="I13" s="19">
        <v>18</v>
      </c>
      <c r="J13" s="26">
        <v>1500</v>
      </c>
      <c r="K13" s="10">
        <f>J13/I13</f>
        <v>83.333333333333329</v>
      </c>
      <c r="L13" s="19">
        <v>18</v>
      </c>
      <c r="M13" s="11">
        <f>AVERAGE(M9:M12)</f>
        <v>1413.1535711439169</v>
      </c>
      <c r="N13" s="10">
        <f>M13/L13</f>
        <v>78.508531730217612</v>
      </c>
      <c r="O13" s="12">
        <f>L13-I13</f>
        <v>0</v>
      </c>
      <c r="P13" s="13">
        <f>N13-K13</f>
        <v>-4.8248016031157164</v>
      </c>
      <c r="Q13" s="95">
        <f>N13/K13</f>
        <v>0.94210238076261144</v>
      </c>
      <c r="R13" s="442"/>
      <c r="S13" s="28"/>
      <c r="T13" s="28"/>
      <c r="U13" s="10"/>
      <c r="V13" s="102"/>
      <c r="W13" s="10"/>
      <c r="X13" s="10"/>
      <c r="Y13" s="443"/>
      <c r="Z13" s="443"/>
      <c r="AA13" s="12">
        <f t="shared" si="2"/>
        <v>-86.846428856083094</v>
      </c>
      <c r="AB13" s="95">
        <f t="shared" si="19"/>
        <v>0.94210238076261132</v>
      </c>
      <c r="AC13" s="442"/>
    </row>
    <row r="14" spans="1:29" ht="16.5" customHeight="1">
      <c r="A14" s="469" t="s">
        <v>162</v>
      </c>
      <c r="B14" s="103" t="s">
        <v>56</v>
      </c>
      <c r="C14" s="464" t="s">
        <v>57</v>
      </c>
      <c r="D14" s="464"/>
      <c r="E14" s="31">
        <v>41</v>
      </c>
      <c r="F14" s="103">
        <v>1854</v>
      </c>
      <c r="G14" s="94">
        <f t="shared" ref="G14:G17" si="21">E14*F14</f>
        <v>76014</v>
      </c>
      <c r="H14" s="104" t="s">
        <v>103</v>
      </c>
      <c r="I14" s="101">
        <v>26</v>
      </c>
      <c r="J14" s="26">
        <v>1500</v>
      </c>
      <c r="K14" s="10">
        <f>J14/I14</f>
        <v>57.692307692307693</v>
      </c>
      <c r="L14" s="101">
        <v>26</v>
      </c>
      <c r="M14" s="11">
        <f>F14/V14*60</f>
        <v>1408.1012658227849</v>
      </c>
      <c r="N14" s="10">
        <f t="shared" ref="N14:N24" si="22">M14/L14</f>
        <v>54.157740993184035</v>
      </c>
      <c r="O14" s="12">
        <f t="shared" ref="O14" si="23">L14-I14</f>
        <v>0</v>
      </c>
      <c r="P14" s="13">
        <f t="shared" ref="P14" si="24">N14-K14</f>
        <v>-3.5345666991236584</v>
      </c>
      <c r="Q14" s="95">
        <f>N14/K14</f>
        <v>0.93873417721518992</v>
      </c>
      <c r="R14" s="442">
        <f>Q18</f>
        <v>0.94149231083343354</v>
      </c>
      <c r="S14" s="28">
        <v>0.20833333333333334</v>
      </c>
      <c r="T14" s="28">
        <v>0.26319444444444445</v>
      </c>
      <c r="U14" s="94"/>
      <c r="V14" s="102">
        <f>(T14-S14)*24*60</f>
        <v>79</v>
      </c>
      <c r="W14" s="18"/>
      <c r="X14" s="18"/>
      <c r="Y14" s="443"/>
      <c r="Z14" s="443"/>
      <c r="AA14" s="12">
        <f t="shared" si="2"/>
        <v>-91.898734177215147</v>
      </c>
      <c r="AB14" s="95">
        <f t="shared" si="19"/>
        <v>0.93873417721518992</v>
      </c>
      <c r="AC14" s="442">
        <f>AB18</f>
        <v>0.94149231083343354</v>
      </c>
    </row>
    <row r="15" spans="1:29" ht="16.5" customHeight="1">
      <c r="A15" s="470" t="s">
        <v>162</v>
      </c>
      <c r="B15" s="103" t="s">
        <v>53</v>
      </c>
      <c r="C15" s="464" t="s">
        <v>163</v>
      </c>
      <c r="D15" s="464"/>
      <c r="E15" s="31">
        <v>37.5</v>
      </c>
      <c r="F15" s="103">
        <v>8949</v>
      </c>
      <c r="G15" s="94">
        <f t="shared" si="21"/>
        <v>335587.5</v>
      </c>
      <c r="H15" s="104" t="s">
        <v>103</v>
      </c>
      <c r="I15" s="101">
        <v>21</v>
      </c>
      <c r="J15" s="26">
        <v>1500</v>
      </c>
      <c r="K15" s="10">
        <f>J15/I15</f>
        <v>71.428571428571431</v>
      </c>
      <c r="L15" s="101">
        <v>21</v>
      </c>
      <c r="M15" s="11">
        <f>F15/V15*60</f>
        <v>1409.2913385826771</v>
      </c>
      <c r="N15" s="10">
        <f t="shared" si="22"/>
        <v>67.109111361079869</v>
      </c>
      <c r="O15" s="12">
        <f>L15-I15</f>
        <v>0</v>
      </c>
      <c r="P15" s="13">
        <f>N15-K15</f>
        <v>-4.319460067491562</v>
      </c>
      <c r="Q15" s="95">
        <f>N15/K15</f>
        <v>0.93952755905511809</v>
      </c>
      <c r="R15" s="442"/>
      <c r="S15" s="28">
        <v>0.26805555555555555</v>
      </c>
      <c r="T15" s="28">
        <v>0.53263888888888888</v>
      </c>
      <c r="U15" s="94">
        <f>IF(S15=TIME(17,0,0),"",(S15-T14)*24*60)</f>
        <v>6.9999999999999751</v>
      </c>
      <c r="V15" s="102">
        <f>(T15-S15)*24*60</f>
        <v>381</v>
      </c>
      <c r="W15" s="16"/>
      <c r="X15" s="16"/>
      <c r="Y15" s="443"/>
      <c r="Z15" s="443"/>
      <c r="AA15" s="12">
        <f t="shared" si="2"/>
        <v>-90.708661417322901</v>
      </c>
      <c r="AB15" s="95">
        <f t="shared" si="19"/>
        <v>0.93952755905511809</v>
      </c>
      <c r="AC15" s="442"/>
    </row>
    <row r="16" spans="1:29" ht="16.5" customHeight="1">
      <c r="A16" s="470" t="s">
        <v>162</v>
      </c>
      <c r="B16" s="103" t="s">
        <v>58</v>
      </c>
      <c r="C16" s="464" t="s">
        <v>59</v>
      </c>
      <c r="D16" s="464"/>
      <c r="E16" s="31">
        <v>50.98</v>
      </c>
      <c r="F16" s="103">
        <v>3017</v>
      </c>
      <c r="G16" s="94">
        <f t="shared" si="21"/>
        <v>153806.66</v>
      </c>
      <c r="H16" s="104" t="s">
        <v>103</v>
      </c>
      <c r="I16" s="101">
        <v>17</v>
      </c>
      <c r="J16" s="26">
        <v>2000</v>
      </c>
      <c r="K16" s="10">
        <f t="shared" ref="K16:K17" si="25">J16/I16</f>
        <v>117.64705882352941</v>
      </c>
      <c r="L16" s="101">
        <v>17</v>
      </c>
      <c r="M16" s="11">
        <f t="shared" ref="M16:M17" si="26">F16/V16*60</f>
        <v>1885.6250000000005</v>
      </c>
      <c r="N16" s="10">
        <f t="shared" si="22"/>
        <v>110.91911764705885</v>
      </c>
      <c r="O16" s="12">
        <f t="shared" ref="O16:O17" si="27">L16-I16</f>
        <v>0</v>
      </c>
      <c r="P16" s="13">
        <f t="shared" ref="P16:P17" si="28">N16-K16</f>
        <v>-6.7279411764705515</v>
      </c>
      <c r="Q16" s="95">
        <f t="shared" ref="Q16:Q24" si="29">N16/K16</f>
        <v>0.94281250000000028</v>
      </c>
      <c r="R16" s="442"/>
      <c r="S16" s="28">
        <v>0.70833333333333337</v>
      </c>
      <c r="T16" s="28">
        <v>0.77500000000000002</v>
      </c>
      <c r="U16" s="94" t="str">
        <f t="shared" ref="U16:U17" si="30">IF(S16=TIME(17,0,0),"",(S16-T15)*24*60)</f>
        <v/>
      </c>
      <c r="V16" s="102">
        <f t="shared" ref="V16:V17" si="31">(T16-S16)*24*60</f>
        <v>95.999999999999972</v>
      </c>
      <c r="W16" s="16"/>
      <c r="X16" s="16"/>
      <c r="Y16" s="443"/>
      <c r="Z16" s="443"/>
      <c r="AA16" s="12">
        <f t="shared" si="2"/>
        <v>-114.37499999999955</v>
      </c>
      <c r="AB16" s="95">
        <f t="shared" si="19"/>
        <v>0.94281250000000028</v>
      </c>
      <c r="AC16" s="442"/>
    </row>
    <row r="17" spans="1:29" ht="16.5" customHeight="1">
      <c r="A17" s="470" t="s">
        <v>162</v>
      </c>
      <c r="B17" s="103" t="s">
        <v>58</v>
      </c>
      <c r="C17" s="464" t="s">
        <v>60</v>
      </c>
      <c r="D17" s="464"/>
      <c r="E17" s="31">
        <v>50.92</v>
      </c>
      <c r="F17" s="103">
        <v>3303</v>
      </c>
      <c r="G17" s="94">
        <f t="shared" si="21"/>
        <v>168188.76</v>
      </c>
      <c r="H17" s="104" t="s">
        <v>103</v>
      </c>
      <c r="I17" s="101">
        <v>16</v>
      </c>
      <c r="J17" s="26">
        <v>2000</v>
      </c>
      <c r="K17" s="10">
        <f t="shared" si="25"/>
        <v>125</v>
      </c>
      <c r="L17" s="101">
        <v>16</v>
      </c>
      <c r="M17" s="11">
        <f t="shared" si="26"/>
        <v>1887.4285714285725</v>
      </c>
      <c r="N17" s="10">
        <f t="shared" si="22"/>
        <v>117.96428571428578</v>
      </c>
      <c r="O17" s="12">
        <f t="shared" si="27"/>
        <v>0</v>
      </c>
      <c r="P17" s="13">
        <f t="shared" si="28"/>
        <v>-7.0357142857142208</v>
      </c>
      <c r="Q17" s="95">
        <f t="shared" si="29"/>
        <v>0.94371428571428628</v>
      </c>
      <c r="R17" s="442"/>
      <c r="S17" s="28">
        <v>0.77847222222222223</v>
      </c>
      <c r="T17" s="28">
        <v>0.85138888888888886</v>
      </c>
      <c r="U17" s="94">
        <f t="shared" si="30"/>
        <v>4.9999999999999822</v>
      </c>
      <c r="V17" s="102">
        <f t="shared" si="31"/>
        <v>104.99999999999994</v>
      </c>
      <c r="W17" s="16"/>
      <c r="X17" s="16"/>
      <c r="Y17" s="443"/>
      <c r="Z17" s="443"/>
      <c r="AA17" s="12">
        <f t="shared" si="2"/>
        <v>-112.57142857142753</v>
      </c>
      <c r="AB17" s="95">
        <f t="shared" si="19"/>
        <v>0.94371428571428628</v>
      </c>
      <c r="AC17" s="442"/>
    </row>
    <row r="18" spans="1:29" ht="16.5" customHeight="1">
      <c r="A18" s="470" t="s">
        <v>162</v>
      </c>
      <c r="B18" s="31" t="s">
        <v>36</v>
      </c>
      <c r="C18" s="446"/>
      <c r="D18" s="446"/>
      <c r="E18" s="93"/>
      <c r="F18" s="33"/>
      <c r="G18" s="10"/>
      <c r="H18" s="103"/>
      <c r="I18" s="19">
        <v>20</v>
      </c>
      <c r="J18" s="26">
        <v>1750</v>
      </c>
      <c r="K18" s="10">
        <f>J18/I18</f>
        <v>87.5</v>
      </c>
      <c r="L18" s="19">
        <v>20</v>
      </c>
      <c r="M18" s="11">
        <f>AVERAGE(M14:M17)</f>
        <v>1647.6115439585087</v>
      </c>
      <c r="N18" s="10">
        <f t="shared" si="22"/>
        <v>82.380577197925433</v>
      </c>
      <c r="O18" s="12">
        <f>L18-I18</f>
        <v>0</v>
      </c>
      <c r="P18" s="13">
        <f>N18-K18</f>
        <v>-5.1194228020745669</v>
      </c>
      <c r="Q18" s="95">
        <f t="shared" si="29"/>
        <v>0.94149231083343354</v>
      </c>
      <c r="R18" s="442"/>
      <c r="S18" s="28"/>
      <c r="T18" s="28"/>
      <c r="U18" s="94"/>
      <c r="V18" s="102"/>
      <c r="W18" s="10"/>
      <c r="X18" s="10"/>
      <c r="Y18" s="443"/>
      <c r="Z18" s="443"/>
      <c r="AA18" s="12">
        <f t="shared" si="2"/>
        <v>-102.38845604149128</v>
      </c>
      <c r="AB18" s="95">
        <f t="shared" si="19"/>
        <v>0.94149231083343354</v>
      </c>
      <c r="AC18" s="442"/>
    </row>
    <row r="19" spans="1:29" ht="15.75" customHeight="1">
      <c r="A19" s="467" t="s">
        <v>233</v>
      </c>
      <c r="B19" s="31" t="s">
        <v>56</v>
      </c>
      <c r="C19" s="464" t="s">
        <v>61</v>
      </c>
      <c r="D19" s="464"/>
      <c r="E19" s="31">
        <v>43.14</v>
      </c>
      <c r="F19" s="103">
        <v>1484</v>
      </c>
      <c r="G19" s="94">
        <f t="shared" ref="G19:G24" si="32">E19*F19</f>
        <v>64019.76</v>
      </c>
      <c r="H19" s="104" t="s">
        <v>103</v>
      </c>
      <c r="I19" s="101">
        <v>17</v>
      </c>
      <c r="J19" s="26">
        <v>2000</v>
      </c>
      <c r="K19" s="10">
        <f t="shared" ref="K19:K25" si="33">J19/I19</f>
        <v>117.64705882352941</v>
      </c>
      <c r="L19" s="101">
        <v>17</v>
      </c>
      <c r="M19" s="11">
        <f t="shared" ref="M19:M24" si="34">F19/V19*60</f>
        <v>1894.4680851063833</v>
      </c>
      <c r="N19" s="10">
        <f t="shared" si="22"/>
        <v>111.4392991239049</v>
      </c>
      <c r="O19" s="12">
        <f t="shared" ref="O19:O24" si="35">L19-I19</f>
        <v>0</v>
      </c>
      <c r="P19" s="13">
        <f t="shared" ref="P19:P24" si="36">N19-K19</f>
        <v>-6.2077596996245035</v>
      </c>
      <c r="Q19" s="95">
        <f t="shared" si="29"/>
        <v>0.94723404255319177</v>
      </c>
      <c r="R19" s="442">
        <f>Q25</f>
        <v>0.9414072770323747</v>
      </c>
      <c r="S19" s="28">
        <v>0.20833333333333334</v>
      </c>
      <c r="T19" s="28">
        <v>0.24097222222222223</v>
      </c>
      <c r="U19" s="94"/>
      <c r="V19" s="102">
        <f>(T19-S19)*24*60</f>
        <v>46.999999999999993</v>
      </c>
      <c r="W19" s="18"/>
      <c r="X19" s="18"/>
      <c r="Y19" s="443"/>
      <c r="Z19" s="443"/>
      <c r="AA19" s="12">
        <f t="shared" si="2"/>
        <v>-105.53191489361666</v>
      </c>
      <c r="AB19" s="95">
        <f t="shared" si="19"/>
        <v>0.94723404255319166</v>
      </c>
      <c r="AC19" s="442">
        <f>AB25</f>
        <v>0.94140727703237459</v>
      </c>
    </row>
    <row r="20" spans="1:29" ht="15.75" customHeight="1">
      <c r="A20" s="468" t="s">
        <v>42</v>
      </c>
      <c r="B20" s="31" t="s">
        <v>58</v>
      </c>
      <c r="C20" s="464" t="s">
        <v>62</v>
      </c>
      <c r="D20" s="464"/>
      <c r="E20" s="31">
        <v>57.73</v>
      </c>
      <c r="F20" s="103">
        <v>2937</v>
      </c>
      <c r="G20" s="94">
        <f t="shared" si="32"/>
        <v>169553.00999999998</v>
      </c>
      <c r="H20" s="104" t="s">
        <v>103</v>
      </c>
      <c r="I20" s="101">
        <v>16</v>
      </c>
      <c r="J20" s="26">
        <v>2000</v>
      </c>
      <c r="K20" s="10">
        <f t="shared" si="33"/>
        <v>125</v>
      </c>
      <c r="L20" s="101">
        <v>16</v>
      </c>
      <c r="M20" s="11">
        <f t="shared" si="34"/>
        <v>1874.68085106383</v>
      </c>
      <c r="N20" s="10">
        <f t="shared" si="22"/>
        <v>117.16755319148938</v>
      </c>
      <c r="O20" s="12">
        <f t="shared" si="35"/>
        <v>0</v>
      </c>
      <c r="P20" s="13">
        <f t="shared" si="36"/>
        <v>-7.8324468085106247</v>
      </c>
      <c r="Q20" s="95">
        <f t="shared" si="29"/>
        <v>0.93734042553191499</v>
      </c>
      <c r="R20" s="442"/>
      <c r="S20" s="28">
        <v>0.24513888888888891</v>
      </c>
      <c r="T20" s="28">
        <v>0.31041666666666667</v>
      </c>
      <c r="U20" s="94">
        <f>IF(S20=TIME(17,0,0),"",(S20-T19)*24*60)</f>
        <v>6.0000000000000187</v>
      </c>
      <c r="V20" s="102">
        <f t="shared" ref="V20:V24" si="37">(T20-S20)*24*60</f>
        <v>93.999999999999986</v>
      </c>
      <c r="W20" s="16"/>
      <c r="X20" s="94"/>
      <c r="Y20" s="443"/>
      <c r="Z20" s="443"/>
      <c r="AA20" s="12">
        <f t="shared" si="2"/>
        <v>-125.31914893617</v>
      </c>
      <c r="AB20" s="95">
        <f t="shared" si="19"/>
        <v>0.93734042553191499</v>
      </c>
      <c r="AC20" s="442"/>
    </row>
    <row r="21" spans="1:29" ht="15.75" customHeight="1">
      <c r="A21" s="468" t="s">
        <v>42</v>
      </c>
      <c r="B21" s="31" t="s">
        <v>58</v>
      </c>
      <c r="C21" s="464" t="s">
        <v>63</v>
      </c>
      <c r="D21" s="464"/>
      <c r="E21" s="31">
        <v>53.68</v>
      </c>
      <c r="F21" s="103">
        <v>1969</v>
      </c>
      <c r="G21" s="94">
        <f t="shared" si="32"/>
        <v>105695.92</v>
      </c>
      <c r="H21" s="104" t="s">
        <v>103</v>
      </c>
      <c r="I21" s="101">
        <v>17</v>
      </c>
      <c r="J21" s="26">
        <v>2000</v>
      </c>
      <c r="K21" s="10">
        <f t="shared" si="33"/>
        <v>117.64705882352941</v>
      </c>
      <c r="L21" s="101">
        <v>17</v>
      </c>
      <c r="M21" s="11">
        <f t="shared" si="34"/>
        <v>1875.2380952380947</v>
      </c>
      <c r="N21" s="10">
        <f t="shared" si="22"/>
        <v>110.30812324929968</v>
      </c>
      <c r="O21" s="12">
        <f t="shared" si="35"/>
        <v>0</v>
      </c>
      <c r="P21" s="13">
        <f t="shared" si="36"/>
        <v>-7.3389355742297226</v>
      </c>
      <c r="Q21" s="95">
        <f t="shared" si="29"/>
        <v>0.93761904761904735</v>
      </c>
      <c r="R21" s="442"/>
      <c r="S21" s="28">
        <v>0.31527777777777777</v>
      </c>
      <c r="T21" s="28">
        <v>0.35902777777777778</v>
      </c>
      <c r="U21" s="94">
        <f t="shared" ref="U21:U24" si="38">IF(S21=TIME(17,0,0),"",(S21-T20)*24*60)</f>
        <v>6.9999999999999751</v>
      </c>
      <c r="V21" s="102">
        <f t="shared" si="37"/>
        <v>63.000000000000014</v>
      </c>
      <c r="W21" s="16"/>
      <c r="X21" s="94"/>
      <c r="Y21" s="443"/>
      <c r="Z21" s="443"/>
      <c r="AA21" s="12">
        <f t="shared" si="2"/>
        <v>-124.76190476190527</v>
      </c>
      <c r="AB21" s="95">
        <f t="shared" si="19"/>
        <v>0.93761904761904735</v>
      </c>
      <c r="AC21" s="442"/>
    </row>
    <row r="22" spans="1:29" ht="15.75" customHeight="1">
      <c r="A22" s="468" t="s">
        <v>42</v>
      </c>
      <c r="B22" s="31" t="s">
        <v>58</v>
      </c>
      <c r="C22" s="464" t="s">
        <v>64</v>
      </c>
      <c r="D22" s="464"/>
      <c r="E22" s="31">
        <v>58.17</v>
      </c>
      <c r="F22" s="103">
        <v>1664</v>
      </c>
      <c r="G22" s="94">
        <f t="shared" si="32"/>
        <v>96794.880000000005</v>
      </c>
      <c r="H22" s="104" t="s">
        <v>103</v>
      </c>
      <c r="I22" s="101">
        <v>18</v>
      </c>
      <c r="J22" s="26">
        <v>2000</v>
      </c>
      <c r="K22" s="10">
        <f t="shared" si="33"/>
        <v>111.11111111111111</v>
      </c>
      <c r="L22" s="101">
        <v>18</v>
      </c>
      <c r="M22" s="11">
        <f t="shared" si="34"/>
        <v>1883.7735849056614</v>
      </c>
      <c r="N22" s="10">
        <f t="shared" si="22"/>
        <v>104.65408805031453</v>
      </c>
      <c r="O22" s="12">
        <f t="shared" si="35"/>
        <v>0</v>
      </c>
      <c r="P22" s="13">
        <f t="shared" si="36"/>
        <v>-6.4570230607965868</v>
      </c>
      <c r="Q22" s="95">
        <f t="shared" si="29"/>
        <v>0.94188679245283069</v>
      </c>
      <c r="R22" s="442"/>
      <c r="S22" s="28">
        <v>0.36458333333333331</v>
      </c>
      <c r="T22" s="28">
        <v>0.40138888888888885</v>
      </c>
      <c r="U22" s="94">
        <f t="shared" si="38"/>
        <v>7.9999999999999716</v>
      </c>
      <c r="V22" s="102">
        <f t="shared" si="37"/>
        <v>52.999999999999972</v>
      </c>
      <c r="W22" s="16"/>
      <c r="X22" s="94"/>
      <c r="Y22" s="443"/>
      <c r="Z22" s="443"/>
      <c r="AA22" s="12">
        <f t="shared" si="2"/>
        <v>-116.22641509433856</v>
      </c>
      <c r="AB22" s="95">
        <f t="shared" si="19"/>
        <v>0.94188679245283069</v>
      </c>
      <c r="AC22" s="442"/>
    </row>
    <row r="23" spans="1:29" ht="15.75" customHeight="1">
      <c r="A23" s="468" t="s">
        <v>42</v>
      </c>
      <c r="B23" s="31" t="s">
        <v>58</v>
      </c>
      <c r="C23" s="464" t="s">
        <v>65</v>
      </c>
      <c r="D23" s="464"/>
      <c r="E23" s="31">
        <v>54.09</v>
      </c>
      <c r="F23" s="103">
        <v>3524</v>
      </c>
      <c r="G23" s="94">
        <f t="shared" si="32"/>
        <v>190613.16</v>
      </c>
      <c r="H23" s="104" t="s">
        <v>103</v>
      </c>
      <c r="I23" s="101">
        <v>20</v>
      </c>
      <c r="J23" s="26">
        <v>2000</v>
      </c>
      <c r="K23" s="10">
        <f t="shared" si="33"/>
        <v>100</v>
      </c>
      <c r="L23" s="101">
        <v>20</v>
      </c>
      <c r="M23" s="11">
        <f t="shared" si="34"/>
        <v>1887.8571428571415</v>
      </c>
      <c r="N23" s="10">
        <f t="shared" si="22"/>
        <v>94.392857142857082</v>
      </c>
      <c r="O23" s="12">
        <f t="shared" si="35"/>
        <v>0</v>
      </c>
      <c r="P23" s="13">
        <f t="shared" si="36"/>
        <v>-5.607142857142918</v>
      </c>
      <c r="Q23" s="95">
        <f t="shared" si="29"/>
        <v>0.94392857142857078</v>
      </c>
      <c r="R23" s="442"/>
      <c r="S23" s="28">
        <v>0.70833333333333337</v>
      </c>
      <c r="T23" s="28">
        <v>0.7861111111111112</v>
      </c>
      <c r="U23" s="94" t="str">
        <f t="shared" si="38"/>
        <v/>
      </c>
      <c r="V23" s="102">
        <f t="shared" si="37"/>
        <v>112.00000000000009</v>
      </c>
      <c r="W23" s="16"/>
      <c r="X23" s="94"/>
      <c r="Y23" s="443"/>
      <c r="Z23" s="443"/>
      <c r="AA23" s="12">
        <f t="shared" si="2"/>
        <v>-112.14285714285847</v>
      </c>
      <c r="AB23" s="95">
        <f t="shared" si="19"/>
        <v>0.94392857142857078</v>
      </c>
      <c r="AC23" s="442"/>
    </row>
    <row r="24" spans="1:29" ht="15.75" customHeight="1">
      <c r="A24" s="468" t="s">
        <v>42</v>
      </c>
      <c r="B24" s="31" t="s">
        <v>58</v>
      </c>
      <c r="C24" s="464" t="s">
        <v>66</v>
      </c>
      <c r="D24" s="464"/>
      <c r="E24" s="31">
        <v>53.27</v>
      </c>
      <c r="F24" s="103">
        <v>721</v>
      </c>
      <c r="G24" s="94">
        <f t="shared" si="32"/>
        <v>38407.670000000006</v>
      </c>
      <c r="H24" s="104" t="s">
        <v>103</v>
      </c>
      <c r="I24" s="101">
        <v>15</v>
      </c>
      <c r="J24" s="26">
        <v>2000</v>
      </c>
      <c r="K24" s="10">
        <f t="shared" si="33"/>
        <v>133.33333333333334</v>
      </c>
      <c r="L24" s="101">
        <v>15</v>
      </c>
      <c r="M24" s="11">
        <f t="shared" si="34"/>
        <v>1880.8695652173851</v>
      </c>
      <c r="N24" s="10">
        <f t="shared" si="22"/>
        <v>125.39130434782568</v>
      </c>
      <c r="O24" s="12">
        <f t="shared" si="35"/>
        <v>0</v>
      </c>
      <c r="P24" s="13">
        <f t="shared" si="36"/>
        <v>-7.9420289855076618</v>
      </c>
      <c r="Q24" s="95">
        <f t="shared" si="29"/>
        <v>0.94043478260869251</v>
      </c>
      <c r="R24" s="442"/>
      <c r="S24" s="28">
        <v>0.78958333333333341</v>
      </c>
      <c r="T24" s="28">
        <v>0.80555555555555569</v>
      </c>
      <c r="U24" s="94">
        <f t="shared" si="38"/>
        <v>4.9999999999999822</v>
      </c>
      <c r="V24" s="102">
        <f t="shared" si="37"/>
        <v>23.000000000000078</v>
      </c>
      <c r="W24" s="16"/>
      <c r="X24" s="18"/>
      <c r="Y24" s="443"/>
      <c r="Z24" s="443"/>
      <c r="AA24" s="12">
        <f t="shared" si="2"/>
        <v>-119.13043478261488</v>
      </c>
      <c r="AB24" s="95">
        <f t="shared" si="19"/>
        <v>0.94043478260869251</v>
      </c>
      <c r="AC24" s="442"/>
    </row>
    <row r="25" spans="1:29" ht="15.75" customHeight="1">
      <c r="A25" s="468" t="s">
        <v>42</v>
      </c>
      <c r="B25" s="31" t="s">
        <v>36</v>
      </c>
      <c r="C25" s="446"/>
      <c r="D25" s="446"/>
      <c r="E25" s="93"/>
      <c r="F25" s="103"/>
      <c r="G25" s="94"/>
      <c r="H25" s="103"/>
      <c r="I25" s="19">
        <v>17.166666666666668</v>
      </c>
      <c r="J25" s="26">
        <v>2000</v>
      </c>
      <c r="K25" s="10">
        <f t="shared" si="33"/>
        <v>116.50485436893203</v>
      </c>
      <c r="L25" s="19">
        <v>17.166666666666668</v>
      </c>
      <c r="M25" s="11">
        <f>AVERAGE(M19:M24)</f>
        <v>1882.8145540647492</v>
      </c>
      <c r="N25" s="10">
        <f>M25/L25</f>
        <v>109.67851771250966</v>
      </c>
      <c r="O25" s="12">
        <f>L25-I25</f>
        <v>0</v>
      </c>
      <c r="P25" s="13">
        <f>N25-K25</f>
        <v>-6.8263366564223702</v>
      </c>
      <c r="Q25" s="95">
        <f>N25/K25</f>
        <v>0.9414072770323747</v>
      </c>
      <c r="R25" s="442"/>
      <c r="S25" s="28"/>
      <c r="T25" s="28"/>
      <c r="U25" s="10"/>
      <c r="V25" s="102"/>
      <c r="W25" s="10"/>
      <c r="X25" s="10"/>
      <c r="Y25" s="443"/>
      <c r="Z25" s="443"/>
      <c r="AA25" s="12">
        <f t="shared" si="2"/>
        <v>-117.18544593525075</v>
      </c>
      <c r="AB25" s="95">
        <f t="shared" si="19"/>
        <v>0.94140727703237459</v>
      </c>
      <c r="AC25" s="442"/>
    </row>
    <row r="26" spans="1:29" ht="15.75" customHeight="1">
      <c r="A26" s="463" t="s">
        <v>164</v>
      </c>
      <c r="B26" s="31" t="s">
        <v>67</v>
      </c>
      <c r="C26" s="464" t="s">
        <v>68</v>
      </c>
      <c r="D26" s="464"/>
      <c r="E26" s="31">
        <v>26.2</v>
      </c>
      <c r="F26" s="103">
        <v>4456</v>
      </c>
      <c r="G26" s="94">
        <f t="shared" ref="G26:G33" si="39">E26*F26</f>
        <v>116747.2</v>
      </c>
      <c r="H26" s="104" t="s">
        <v>103</v>
      </c>
      <c r="I26" s="101">
        <v>20</v>
      </c>
      <c r="J26" s="26">
        <v>2400</v>
      </c>
      <c r="K26" s="10">
        <f>J26/I26</f>
        <v>120</v>
      </c>
      <c r="L26" s="101">
        <v>20</v>
      </c>
      <c r="M26" s="11">
        <f t="shared" ref="M26:M33" si="40">F26/V26*60</f>
        <v>2246.7226890756306</v>
      </c>
      <c r="N26" s="10">
        <f t="shared" ref="N26:N33" si="41">M26/L26</f>
        <v>112.33613445378153</v>
      </c>
      <c r="O26" s="12">
        <f t="shared" ref="O26:O33" si="42">L26-I26</f>
        <v>0</v>
      </c>
      <c r="P26" s="13">
        <f t="shared" ref="P26:P33" si="43">N26-K26</f>
        <v>-7.6638655462184744</v>
      </c>
      <c r="Q26" s="95">
        <f t="shared" ref="Q26:Q33" si="44">N26/K26</f>
        <v>0.93613445378151272</v>
      </c>
      <c r="R26" s="442">
        <f>Q34</f>
        <v>0.9405885170620889</v>
      </c>
      <c r="S26" s="28">
        <v>8.3333333333333329E-2</v>
      </c>
      <c r="T26" s="28">
        <v>0.16597222222222222</v>
      </c>
      <c r="U26" s="94"/>
      <c r="V26" s="102">
        <f t="shared" ref="V26:V33" si="45">(T26-S26)*24*60</f>
        <v>119</v>
      </c>
      <c r="W26" s="16">
        <f>T26</f>
        <v>0.16597222222222222</v>
      </c>
      <c r="X26" s="16">
        <f>S27</f>
        <v>0.18611111111111112</v>
      </c>
      <c r="Y26" s="443"/>
      <c r="Z26" s="443"/>
      <c r="AA26" s="12">
        <f t="shared" si="2"/>
        <v>-153.27731092436943</v>
      </c>
      <c r="AB26" s="95">
        <f>M26/J26</f>
        <v>0.93613445378151272</v>
      </c>
      <c r="AC26" s="442">
        <f>AB34</f>
        <v>0.94058851706208879</v>
      </c>
    </row>
    <row r="27" spans="1:29" ht="15.75" customHeight="1">
      <c r="A27" s="463" t="s">
        <v>164</v>
      </c>
      <c r="B27" s="31" t="s">
        <v>67</v>
      </c>
      <c r="C27" s="464" t="s">
        <v>69</v>
      </c>
      <c r="D27" s="464"/>
      <c r="E27" s="31">
        <v>31.29</v>
      </c>
      <c r="F27" s="103">
        <v>5300</v>
      </c>
      <c r="G27" s="94">
        <f t="shared" si="39"/>
        <v>165837</v>
      </c>
      <c r="H27" s="104">
        <v>2</v>
      </c>
      <c r="I27" s="101">
        <v>16</v>
      </c>
      <c r="J27" s="26">
        <v>2400</v>
      </c>
      <c r="K27" s="10">
        <f t="shared" ref="K27:K34" si="46">J27/I27</f>
        <v>150</v>
      </c>
      <c r="L27" s="101">
        <v>16</v>
      </c>
      <c r="M27" s="11">
        <f t="shared" si="40"/>
        <v>2255.3191489361707</v>
      </c>
      <c r="N27" s="10">
        <f t="shared" si="41"/>
        <v>140.95744680851067</v>
      </c>
      <c r="O27" s="12">
        <f t="shared" si="42"/>
        <v>0</v>
      </c>
      <c r="P27" s="13">
        <f t="shared" si="43"/>
        <v>-9.0425531914893327</v>
      </c>
      <c r="Q27" s="95">
        <f t="shared" si="44"/>
        <v>0.93971631205673778</v>
      </c>
      <c r="R27" s="442"/>
      <c r="S27" s="28">
        <v>0.18611111111111112</v>
      </c>
      <c r="T27" s="28">
        <v>0.28402777777777777</v>
      </c>
      <c r="U27" s="94">
        <f>(S27-T26)*24*60</f>
        <v>29.000000000000018</v>
      </c>
      <c r="V27" s="102">
        <f t="shared" si="45"/>
        <v>140.99999999999997</v>
      </c>
      <c r="W27" s="16"/>
      <c r="X27" s="16"/>
      <c r="Y27" s="443"/>
      <c r="Z27" s="443"/>
      <c r="AA27" s="12">
        <f t="shared" si="2"/>
        <v>-144.68085106382932</v>
      </c>
      <c r="AB27" s="95">
        <f t="shared" ref="AB27:AB33" si="47">M27/J27</f>
        <v>0.93971631205673778</v>
      </c>
      <c r="AC27" s="442"/>
    </row>
    <row r="28" spans="1:29" ht="15.75" customHeight="1">
      <c r="A28" s="463" t="s">
        <v>164</v>
      </c>
      <c r="B28" s="31" t="s">
        <v>67</v>
      </c>
      <c r="C28" s="464" t="s">
        <v>70</v>
      </c>
      <c r="D28" s="464"/>
      <c r="E28" s="31">
        <v>24.25</v>
      </c>
      <c r="F28" s="103">
        <v>4435</v>
      </c>
      <c r="G28" s="94">
        <f t="shared" si="39"/>
        <v>107548.75</v>
      </c>
      <c r="H28" s="104" t="s">
        <v>103</v>
      </c>
      <c r="I28" s="101">
        <v>18</v>
      </c>
      <c r="J28" s="26">
        <v>2400</v>
      </c>
      <c r="K28" s="10">
        <f t="shared" si="46"/>
        <v>133.33333333333334</v>
      </c>
      <c r="L28" s="101">
        <v>18</v>
      </c>
      <c r="M28" s="11">
        <f t="shared" si="40"/>
        <v>2255.0847457627119</v>
      </c>
      <c r="N28" s="10">
        <f t="shared" si="41"/>
        <v>125.28248587570621</v>
      </c>
      <c r="O28" s="12">
        <f t="shared" si="42"/>
        <v>0</v>
      </c>
      <c r="P28" s="13">
        <f t="shared" si="43"/>
        <v>-8.0508474576271283</v>
      </c>
      <c r="Q28" s="95">
        <f t="shared" si="44"/>
        <v>0.93961864406779649</v>
      </c>
      <c r="R28" s="442"/>
      <c r="S28" s="28">
        <v>0.28749999999999998</v>
      </c>
      <c r="T28" s="28">
        <v>0.36944444444444441</v>
      </c>
      <c r="U28" s="94">
        <f t="shared" ref="U28:U33" si="48">(S28-T27)*24*60</f>
        <v>4.9999999999999822</v>
      </c>
      <c r="V28" s="102">
        <f t="shared" si="45"/>
        <v>117.99999999999999</v>
      </c>
      <c r="W28" s="16"/>
      <c r="X28" s="16"/>
      <c r="Y28" s="443"/>
      <c r="Z28" s="443"/>
      <c r="AA28" s="12">
        <f t="shared" si="2"/>
        <v>-144.91525423728808</v>
      </c>
      <c r="AB28" s="95">
        <f t="shared" si="47"/>
        <v>0.9396186440677966</v>
      </c>
      <c r="AC28" s="442"/>
    </row>
    <row r="29" spans="1:29" ht="15.75" customHeight="1">
      <c r="A29" s="463" t="s">
        <v>164</v>
      </c>
      <c r="B29" s="31" t="s">
        <v>67</v>
      </c>
      <c r="C29" s="464" t="s">
        <v>72</v>
      </c>
      <c r="D29" s="464"/>
      <c r="E29" s="31">
        <v>25.98</v>
      </c>
      <c r="F29" s="103">
        <v>2300</v>
      </c>
      <c r="G29" s="94">
        <f t="shared" si="39"/>
        <v>59754</v>
      </c>
      <c r="H29" s="104">
        <v>2</v>
      </c>
      <c r="I29" s="101">
        <v>17</v>
      </c>
      <c r="J29" s="26">
        <v>2400</v>
      </c>
      <c r="K29" s="10">
        <f t="shared" si="46"/>
        <v>141.1764705882353</v>
      </c>
      <c r="L29" s="101">
        <v>17</v>
      </c>
      <c r="M29" s="11">
        <f t="shared" si="40"/>
        <v>2262.2950819672124</v>
      </c>
      <c r="N29" s="10">
        <f t="shared" si="41"/>
        <v>133.07618129218895</v>
      </c>
      <c r="O29" s="12">
        <f t="shared" si="42"/>
        <v>0</v>
      </c>
      <c r="P29" s="13">
        <f t="shared" si="43"/>
        <v>-8.1002892960463555</v>
      </c>
      <c r="Q29" s="95">
        <f t="shared" si="44"/>
        <v>0.94262295081967162</v>
      </c>
      <c r="R29" s="442"/>
      <c r="S29" s="28">
        <v>0.3743055555555555</v>
      </c>
      <c r="T29" s="28">
        <v>0.41666666666666663</v>
      </c>
      <c r="U29" s="94">
        <f t="shared" si="48"/>
        <v>6.9999999999999751</v>
      </c>
      <c r="V29" s="102">
        <f t="shared" si="45"/>
        <v>61.000000000000021</v>
      </c>
      <c r="W29" s="16"/>
      <c r="X29" s="16"/>
      <c r="Y29" s="443"/>
      <c r="Z29" s="443"/>
      <c r="AA29" s="12">
        <f t="shared" si="2"/>
        <v>-137.70491803278765</v>
      </c>
      <c r="AB29" s="95">
        <f t="shared" si="47"/>
        <v>0.94262295081967185</v>
      </c>
      <c r="AC29" s="442"/>
    </row>
    <row r="30" spans="1:29" ht="15.75" customHeight="1">
      <c r="A30" s="463" t="s">
        <v>164</v>
      </c>
      <c r="B30" s="31" t="s">
        <v>67</v>
      </c>
      <c r="C30" s="464" t="s">
        <v>165</v>
      </c>
      <c r="D30" s="464"/>
      <c r="E30" s="31">
        <v>25.02</v>
      </c>
      <c r="F30" s="103">
        <v>5000</v>
      </c>
      <c r="G30" s="94">
        <f t="shared" si="39"/>
        <v>125100</v>
      </c>
      <c r="H30" s="104">
        <v>2</v>
      </c>
      <c r="I30" s="101">
        <v>19</v>
      </c>
      <c r="J30" s="26">
        <v>2400</v>
      </c>
      <c r="K30" s="10">
        <f t="shared" si="46"/>
        <v>126.31578947368421</v>
      </c>
      <c r="L30" s="101">
        <v>19</v>
      </c>
      <c r="M30" s="11">
        <f t="shared" si="40"/>
        <v>2255.6390977443607</v>
      </c>
      <c r="N30" s="10">
        <f t="shared" si="41"/>
        <v>118.7178472497032</v>
      </c>
      <c r="O30" s="12">
        <f t="shared" si="42"/>
        <v>0</v>
      </c>
      <c r="P30" s="13">
        <f t="shared" si="43"/>
        <v>-7.5979422239810077</v>
      </c>
      <c r="Q30" s="95">
        <f t="shared" si="44"/>
        <v>0.93984962406015038</v>
      </c>
      <c r="R30" s="442"/>
      <c r="S30" s="28">
        <v>0.42222222222222217</v>
      </c>
      <c r="T30" s="28">
        <v>0.51458333333333328</v>
      </c>
      <c r="U30" s="94">
        <f t="shared" si="48"/>
        <v>7.9999999999999716</v>
      </c>
      <c r="V30" s="102">
        <f t="shared" si="45"/>
        <v>133</v>
      </c>
      <c r="W30" s="16">
        <f>T30</f>
        <v>0.51458333333333328</v>
      </c>
      <c r="X30" s="16">
        <f>S31</f>
        <v>0.55486111111111103</v>
      </c>
      <c r="Y30" s="443"/>
      <c r="Z30" s="443"/>
      <c r="AA30" s="12">
        <f t="shared" si="2"/>
        <v>-144.3609022556393</v>
      </c>
      <c r="AB30" s="95">
        <f t="shared" si="47"/>
        <v>0.93984962406015027</v>
      </c>
      <c r="AC30" s="442"/>
    </row>
    <row r="31" spans="1:29" ht="15.75" customHeight="1">
      <c r="A31" s="463" t="s">
        <v>164</v>
      </c>
      <c r="B31" s="31" t="s">
        <v>67</v>
      </c>
      <c r="C31" s="464" t="s">
        <v>165</v>
      </c>
      <c r="D31" s="464"/>
      <c r="E31" s="31">
        <v>25.02</v>
      </c>
      <c r="F31" s="103">
        <v>4258</v>
      </c>
      <c r="G31" s="94">
        <f t="shared" si="39"/>
        <v>106535.16</v>
      </c>
      <c r="H31" s="104" t="s">
        <v>103</v>
      </c>
      <c r="I31" s="101">
        <v>19</v>
      </c>
      <c r="J31" s="26">
        <v>2400</v>
      </c>
      <c r="K31" s="10">
        <f t="shared" si="46"/>
        <v>126.31578947368421</v>
      </c>
      <c r="L31" s="101">
        <v>19</v>
      </c>
      <c r="M31" s="11">
        <f t="shared" si="40"/>
        <v>2260.8849557522108</v>
      </c>
      <c r="N31" s="10">
        <f t="shared" si="41"/>
        <v>118.99394503959005</v>
      </c>
      <c r="O31" s="12">
        <f t="shared" si="42"/>
        <v>0</v>
      </c>
      <c r="P31" s="13">
        <f t="shared" si="43"/>
        <v>-7.3218444340941602</v>
      </c>
      <c r="Q31" s="95">
        <f t="shared" si="44"/>
        <v>0.94203539823008786</v>
      </c>
      <c r="R31" s="442"/>
      <c r="S31" s="28">
        <v>0.55486111111111103</v>
      </c>
      <c r="T31" s="28">
        <v>0.6333333333333333</v>
      </c>
      <c r="U31" s="94">
        <f t="shared" si="48"/>
        <v>57.999999999999957</v>
      </c>
      <c r="V31" s="102">
        <f t="shared" si="45"/>
        <v>113.00000000000009</v>
      </c>
      <c r="W31" s="16"/>
      <c r="X31" s="16"/>
      <c r="Y31" s="443"/>
      <c r="Z31" s="443"/>
      <c r="AA31" s="12">
        <f t="shared" si="2"/>
        <v>-139.11504424778923</v>
      </c>
      <c r="AB31" s="95">
        <f t="shared" si="47"/>
        <v>0.94203539823008786</v>
      </c>
      <c r="AC31" s="442"/>
    </row>
    <row r="32" spans="1:29" ht="15.75" customHeight="1">
      <c r="A32" s="463" t="s">
        <v>164</v>
      </c>
      <c r="B32" s="31" t="s">
        <v>67</v>
      </c>
      <c r="C32" s="464" t="s">
        <v>69</v>
      </c>
      <c r="D32" s="464"/>
      <c r="E32" s="31">
        <v>31.29</v>
      </c>
      <c r="F32" s="103">
        <v>4183</v>
      </c>
      <c r="G32" s="94">
        <f t="shared" si="39"/>
        <v>130886.06999999999</v>
      </c>
      <c r="H32" s="104" t="s">
        <v>103</v>
      </c>
      <c r="I32" s="101">
        <v>16</v>
      </c>
      <c r="J32" s="26">
        <v>2400</v>
      </c>
      <c r="K32" s="10">
        <f t="shared" si="46"/>
        <v>150</v>
      </c>
      <c r="L32" s="101">
        <v>16</v>
      </c>
      <c r="M32" s="11">
        <f t="shared" si="40"/>
        <v>2261.0810810810826</v>
      </c>
      <c r="N32" s="10">
        <f t="shared" si="41"/>
        <v>141.31756756756766</v>
      </c>
      <c r="O32" s="12">
        <f t="shared" si="42"/>
        <v>0</v>
      </c>
      <c r="P32" s="13">
        <f t="shared" si="43"/>
        <v>-8.6824324324323356</v>
      </c>
      <c r="Q32" s="95">
        <f t="shared" si="44"/>
        <v>0.94211711711711776</v>
      </c>
      <c r="R32" s="442"/>
      <c r="S32" s="28">
        <v>0.63680555555555551</v>
      </c>
      <c r="T32" s="28">
        <v>0.7138888888888888</v>
      </c>
      <c r="U32" s="94">
        <f t="shared" si="48"/>
        <v>4.9999999999999822</v>
      </c>
      <c r="V32" s="102">
        <f t="shared" si="45"/>
        <v>110.99999999999993</v>
      </c>
      <c r="W32" s="16"/>
      <c r="X32" s="16"/>
      <c r="Y32" s="443"/>
      <c r="Z32" s="443"/>
      <c r="AA32" s="12">
        <f t="shared" si="2"/>
        <v>-138.91891891891737</v>
      </c>
      <c r="AB32" s="95">
        <f t="shared" si="47"/>
        <v>0.94211711711711776</v>
      </c>
      <c r="AC32" s="442"/>
    </row>
    <row r="33" spans="1:29" ht="15.75" customHeight="1">
      <c r="A33" s="463" t="s">
        <v>164</v>
      </c>
      <c r="B33" s="31" t="s">
        <v>67</v>
      </c>
      <c r="C33" s="464" t="s">
        <v>72</v>
      </c>
      <c r="D33" s="464"/>
      <c r="E33" s="31">
        <v>25.98</v>
      </c>
      <c r="F33" s="103">
        <v>1659</v>
      </c>
      <c r="G33" s="94">
        <f t="shared" si="39"/>
        <v>43100.82</v>
      </c>
      <c r="H33" s="104" t="s">
        <v>103</v>
      </c>
      <c r="I33" s="101">
        <v>17</v>
      </c>
      <c r="J33" s="26">
        <v>2400</v>
      </c>
      <c r="K33" s="10">
        <f t="shared" si="46"/>
        <v>141.1764705882353</v>
      </c>
      <c r="L33" s="101">
        <v>17</v>
      </c>
      <c r="M33" s="11">
        <f t="shared" si="40"/>
        <v>2262.272727272727</v>
      </c>
      <c r="N33" s="10">
        <f t="shared" si="41"/>
        <v>133.07486631016042</v>
      </c>
      <c r="O33" s="12">
        <f t="shared" si="42"/>
        <v>0</v>
      </c>
      <c r="P33" s="13">
        <f t="shared" si="43"/>
        <v>-8.1016042780748876</v>
      </c>
      <c r="Q33" s="95">
        <f t="shared" si="44"/>
        <v>0.94261363636363626</v>
      </c>
      <c r="R33" s="442"/>
      <c r="S33" s="28">
        <v>0.71944444444444433</v>
      </c>
      <c r="T33" s="28">
        <v>0.74999999999999989</v>
      </c>
      <c r="U33" s="94">
        <f t="shared" si="48"/>
        <v>7.9999999999999716</v>
      </c>
      <c r="V33" s="102">
        <f t="shared" si="45"/>
        <v>44</v>
      </c>
      <c r="W33" s="16"/>
      <c r="X33" s="16"/>
      <c r="Y33" s="443"/>
      <c r="Z33" s="443"/>
      <c r="AA33" s="12">
        <f t="shared" si="2"/>
        <v>-137.72727272727298</v>
      </c>
      <c r="AB33" s="95">
        <f t="shared" si="47"/>
        <v>0.94261363636363626</v>
      </c>
      <c r="AC33" s="442"/>
    </row>
    <row r="34" spans="1:29" ht="15.75" customHeight="1">
      <c r="A34" s="463" t="s">
        <v>164</v>
      </c>
      <c r="B34" s="31" t="s">
        <v>36</v>
      </c>
      <c r="C34" s="446"/>
      <c r="D34" s="446"/>
      <c r="E34" s="93"/>
      <c r="F34" s="103"/>
      <c r="G34" s="94"/>
      <c r="H34" s="103"/>
      <c r="I34" s="19">
        <v>17.75</v>
      </c>
      <c r="J34" s="26">
        <v>2400</v>
      </c>
      <c r="K34" s="10">
        <f t="shared" si="46"/>
        <v>135.21126760563379</v>
      </c>
      <c r="L34" s="19">
        <v>17.75</v>
      </c>
      <c r="M34" s="11">
        <f>AVERAGE(M26:M33)</f>
        <v>2257.4124409490132</v>
      </c>
      <c r="N34" s="10">
        <f>M34/L34</f>
        <v>127.17816568726835</v>
      </c>
      <c r="O34" s="12">
        <f>L34-I34</f>
        <v>0</v>
      </c>
      <c r="P34" s="13">
        <f>N34-K34</f>
        <v>-8.0331019183654462</v>
      </c>
      <c r="Q34" s="95">
        <f>N34/K34</f>
        <v>0.9405885170620889</v>
      </c>
      <c r="R34" s="442"/>
      <c r="S34" s="28"/>
      <c r="T34" s="28"/>
      <c r="U34" s="94"/>
      <c r="V34" s="102"/>
      <c r="W34" s="94"/>
      <c r="X34" s="94"/>
      <c r="Y34" s="443"/>
      <c r="Z34" s="443"/>
      <c r="AA34" s="12">
        <f t="shared" si="2"/>
        <v>-142.58755905098678</v>
      </c>
      <c r="AB34" s="95">
        <f>M34/J34</f>
        <v>0.94058851706208879</v>
      </c>
      <c r="AC34" s="442"/>
    </row>
    <row r="35" spans="1:29" ht="15.75" customHeight="1">
      <c r="A35" s="461" t="s">
        <v>44</v>
      </c>
      <c r="B35" s="31" t="s">
        <v>67</v>
      </c>
      <c r="C35" s="441" t="s">
        <v>73</v>
      </c>
      <c r="D35" s="441"/>
      <c r="E35" s="31">
        <v>26.2</v>
      </c>
      <c r="F35" s="103">
        <v>4000</v>
      </c>
      <c r="G35" s="94">
        <f t="shared" ref="G35:G44" si="49">E35*F35</f>
        <v>104800</v>
      </c>
      <c r="H35" s="104">
        <v>2</v>
      </c>
      <c r="I35" s="101">
        <v>18</v>
      </c>
      <c r="J35" s="26">
        <v>2400</v>
      </c>
      <c r="K35" s="10">
        <f>J35/I35</f>
        <v>133.33333333333334</v>
      </c>
      <c r="L35" s="101">
        <v>18</v>
      </c>
      <c r="M35" s="11">
        <f>F35/V35*60</f>
        <v>2264.1509433962256</v>
      </c>
      <c r="N35" s="10">
        <f>M35/L35</f>
        <v>125.78616352201253</v>
      </c>
      <c r="O35" s="12">
        <f t="shared" ref="O35:O44" si="50">L35-I35</f>
        <v>0</v>
      </c>
      <c r="P35" s="13">
        <f t="shared" ref="P35:P53" si="51">N35-K35</f>
        <v>-7.5471698113208134</v>
      </c>
      <c r="Q35" s="95">
        <f t="shared" ref="Q35:Q49" si="52">N35/K35</f>
        <v>0.94339622641509391</v>
      </c>
      <c r="R35" s="442">
        <f>Q45</f>
        <v>0.94242578661452214</v>
      </c>
      <c r="S35" s="28">
        <v>0.125</v>
      </c>
      <c r="T35" s="28">
        <v>0.19861111111111113</v>
      </c>
      <c r="U35" s="94"/>
      <c r="V35" s="102">
        <f t="shared" ref="V35:V44" si="53">(T35-S35)*24*60</f>
        <v>106.00000000000003</v>
      </c>
      <c r="W35" s="18">
        <f>T35</f>
        <v>0.19861111111111113</v>
      </c>
      <c r="X35" s="18">
        <f>S36</f>
        <v>0.21875000000000003</v>
      </c>
      <c r="Y35" s="443"/>
      <c r="Z35" s="443"/>
      <c r="AA35" s="12">
        <f t="shared" si="2"/>
        <v>-135.84905660377444</v>
      </c>
      <c r="AB35" s="95">
        <f>M35/J35</f>
        <v>0.94339622641509402</v>
      </c>
      <c r="AC35" s="442">
        <f>AB45</f>
        <v>0.94242578661452214</v>
      </c>
    </row>
    <row r="36" spans="1:29" ht="15.75" customHeight="1">
      <c r="A36" s="461" t="s">
        <v>234</v>
      </c>
      <c r="B36" s="31" t="s">
        <v>67</v>
      </c>
      <c r="C36" s="441" t="s">
        <v>74</v>
      </c>
      <c r="D36" s="441"/>
      <c r="E36" s="31">
        <v>24.45</v>
      </c>
      <c r="F36" s="103">
        <v>2436</v>
      </c>
      <c r="G36" s="94">
        <f t="shared" si="49"/>
        <v>59560.2</v>
      </c>
      <c r="H36" s="104" t="s">
        <v>103</v>
      </c>
      <c r="I36" s="101">
        <v>20</v>
      </c>
      <c r="J36" s="26">
        <v>2400</v>
      </c>
      <c r="K36" s="10">
        <f t="shared" ref="K36:K52" si="54">J36/I36</f>
        <v>120</v>
      </c>
      <c r="L36" s="101">
        <v>20</v>
      </c>
      <c r="M36" s="11">
        <f t="shared" ref="M36:M44" si="55">F36/V36*60</f>
        <v>2248.6153846153857</v>
      </c>
      <c r="N36" s="10">
        <f t="shared" ref="N36:N44" si="56">M36/L36</f>
        <v>112.43076923076929</v>
      </c>
      <c r="O36" s="12">
        <f t="shared" si="50"/>
        <v>0</v>
      </c>
      <c r="P36" s="13">
        <f t="shared" si="51"/>
        <v>-7.5692307692307139</v>
      </c>
      <c r="Q36" s="95">
        <f t="shared" si="52"/>
        <v>0.93692307692307741</v>
      </c>
      <c r="R36" s="442"/>
      <c r="S36" s="28">
        <v>0.21875000000000003</v>
      </c>
      <c r="T36" s="28">
        <v>0.2638888888888889</v>
      </c>
      <c r="U36" s="94">
        <f>(S36-T35)*24*60</f>
        <v>29.000000000000018</v>
      </c>
      <c r="V36" s="102">
        <f t="shared" si="53"/>
        <v>64.999999999999972</v>
      </c>
      <c r="W36" s="94"/>
      <c r="X36" s="94"/>
      <c r="Y36" s="443"/>
      <c r="Z36" s="443"/>
      <c r="AA36" s="12">
        <f t="shared" si="2"/>
        <v>-151.38461538461434</v>
      </c>
      <c r="AB36" s="95">
        <f t="shared" ref="AB36:AB67" si="57">M36/J36</f>
        <v>0.93692307692307741</v>
      </c>
      <c r="AC36" s="442"/>
    </row>
    <row r="37" spans="1:29">
      <c r="A37" s="462" t="s">
        <v>44</v>
      </c>
      <c r="B37" s="31" t="s">
        <v>67</v>
      </c>
      <c r="C37" s="441" t="s">
        <v>75</v>
      </c>
      <c r="D37" s="441"/>
      <c r="E37" s="31">
        <v>26.39</v>
      </c>
      <c r="F37" s="103">
        <v>3700</v>
      </c>
      <c r="G37" s="94">
        <f t="shared" si="49"/>
        <v>97643</v>
      </c>
      <c r="H37" s="104">
        <v>2</v>
      </c>
      <c r="I37" s="101">
        <v>19</v>
      </c>
      <c r="J37" s="26">
        <v>2400</v>
      </c>
      <c r="K37" s="10">
        <f t="shared" si="54"/>
        <v>126.31578947368421</v>
      </c>
      <c r="L37" s="101">
        <v>19</v>
      </c>
      <c r="M37" s="11">
        <f t="shared" si="55"/>
        <v>2265.3061224489802</v>
      </c>
      <c r="N37" s="10">
        <f t="shared" si="56"/>
        <v>119.22663802363054</v>
      </c>
      <c r="O37" s="12">
        <f t="shared" si="50"/>
        <v>0</v>
      </c>
      <c r="P37" s="13">
        <f t="shared" si="51"/>
        <v>-7.089151450053663</v>
      </c>
      <c r="Q37" s="95">
        <f t="shared" si="52"/>
        <v>0.94387755102040849</v>
      </c>
      <c r="R37" s="442"/>
      <c r="S37" s="28">
        <v>0.26805555555555555</v>
      </c>
      <c r="T37" s="28">
        <v>0.33611111111111108</v>
      </c>
      <c r="U37" s="94">
        <f t="shared" ref="U37:U44" si="58">(S37-T36)*24*60</f>
        <v>5.9999999999999787</v>
      </c>
      <c r="V37" s="102">
        <f t="shared" si="53"/>
        <v>97.999999999999972</v>
      </c>
      <c r="W37" s="94"/>
      <c r="X37" s="94"/>
      <c r="Y37" s="443"/>
      <c r="Z37" s="443"/>
      <c r="AA37" s="12">
        <f t="shared" si="2"/>
        <v>-134.6938775510198</v>
      </c>
      <c r="AB37" s="95">
        <f t="shared" si="57"/>
        <v>0.94387755102040838</v>
      </c>
      <c r="AC37" s="442"/>
    </row>
    <row r="38" spans="1:29">
      <c r="A38" s="462" t="s">
        <v>44</v>
      </c>
      <c r="B38" s="31" t="s">
        <v>67</v>
      </c>
      <c r="C38" s="441" t="s">
        <v>76</v>
      </c>
      <c r="D38" s="441"/>
      <c r="E38" s="31">
        <v>20.52</v>
      </c>
      <c r="F38" s="103">
        <v>3656</v>
      </c>
      <c r="G38" s="94">
        <f t="shared" si="49"/>
        <v>75021.119999999995</v>
      </c>
      <c r="H38" s="104" t="s">
        <v>103</v>
      </c>
      <c r="I38" s="101">
        <v>18</v>
      </c>
      <c r="J38" s="26">
        <v>2400</v>
      </c>
      <c r="K38" s="10">
        <f t="shared" si="54"/>
        <v>133.33333333333334</v>
      </c>
      <c r="L38" s="101">
        <v>18</v>
      </c>
      <c r="M38" s="11">
        <f t="shared" si="55"/>
        <v>2261.4432989690727</v>
      </c>
      <c r="N38" s="10">
        <f t="shared" si="56"/>
        <v>125.63573883161514</v>
      </c>
      <c r="O38" s="12">
        <f t="shared" si="50"/>
        <v>0</v>
      </c>
      <c r="P38" s="13">
        <f t="shared" si="51"/>
        <v>-7.6975945017181999</v>
      </c>
      <c r="Q38" s="95">
        <f t="shared" si="52"/>
        <v>0.9422680412371135</v>
      </c>
      <c r="R38" s="442"/>
      <c r="S38" s="28">
        <v>0.34166666666666662</v>
      </c>
      <c r="T38" s="28">
        <v>0.40902777777777771</v>
      </c>
      <c r="U38" s="94">
        <f t="shared" si="58"/>
        <v>7.9999999999999716</v>
      </c>
      <c r="V38" s="102">
        <f t="shared" si="53"/>
        <v>96.999999999999972</v>
      </c>
      <c r="W38" s="16"/>
      <c r="X38" s="16"/>
      <c r="Y38" s="443"/>
      <c r="Z38" s="443"/>
      <c r="AA38" s="12">
        <f t="shared" si="2"/>
        <v>-138.55670103092734</v>
      </c>
      <c r="AB38" s="95">
        <f t="shared" si="57"/>
        <v>0.94226804123711361</v>
      </c>
      <c r="AC38" s="442"/>
    </row>
    <row r="39" spans="1:29">
      <c r="A39" s="462" t="s">
        <v>44</v>
      </c>
      <c r="B39" s="31" t="s">
        <v>67</v>
      </c>
      <c r="C39" s="441" t="s">
        <v>77</v>
      </c>
      <c r="D39" s="441"/>
      <c r="E39" s="31">
        <v>26.2</v>
      </c>
      <c r="F39" s="103">
        <v>3100</v>
      </c>
      <c r="G39" s="94">
        <f t="shared" si="49"/>
        <v>81220</v>
      </c>
      <c r="H39" s="104">
        <v>2</v>
      </c>
      <c r="I39" s="101">
        <v>19</v>
      </c>
      <c r="J39" s="26">
        <v>2400</v>
      </c>
      <c r="K39" s="10">
        <f t="shared" si="54"/>
        <v>126.31578947368421</v>
      </c>
      <c r="L39" s="101">
        <v>19</v>
      </c>
      <c r="M39" s="11">
        <f t="shared" si="55"/>
        <v>2268.2926829268285</v>
      </c>
      <c r="N39" s="10">
        <f t="shared" si="56"/>
        <v>119.38382541720151</v>
      </c>
      <c r="O39" s="12">
        <f t="shared" si="50"/>
        <v>0</v>
      </c>
      <c r="P39" s="13">
        <f t="shared" si="51"/>
        <v>-6.9319640564826983</v>
      </c>
      <c r="Q39" s="95">
        <f t="shared" si="52"/>
        <v>0.94512195121951192</v>
      </c>
      <c r="R39" s="442"/>
      <c r="S39" s="28">
        <v>0.41249999999999992</v>
      </c>
      <c r="T39" s="28">
        <v>0.46944444444444439</v>
      </c>
      <c r="U39" s="94">
        <f t="shared" si="58"/>
        <v>4.9999999999999822</v>
      </c>
      <c r="V39" s="102">
        <f t="shared" si="53"/>
        <v>82.000000000000028</v>
      </c>
      <c r="W39" s="16"/>
      <c r="X39" s="16"/>
      <c r="Y39" s="443"/>
      <c r="Z39" s="443"/>
      <c r="AA39" s="12">
        <f t="shared" si="2"/>
        <v>-131.70731707317145</v>
      </c>
      <c r="AB39" s="95">
        <f t="shared" si="57"/>
        <v>0.94512195121951192</v>
      </c>
      <c r="AC39" s="442"/>
    </row>
    <row r="40" spans="1:29">
      <c r="A40" s="462" t="s">
        <v>44</v>
      </c>
      <c r="B40" s="31" t="s">
        <v>67</v>
      </c>
      <c r="C40" s="441" t="s">
        <v>78</v>
      </c>
      <c r="D40" s="441"/>
      <c r="E40" s="31">
        <v>25.98</v>
      </c>
      <c r="F40" s="103">
        <v>2300</v>
      </c>
      <c r="G40" s="94">
        <f t="shared" si="49"/>
        <v>59754</v>
      </c>
      <c r="H40" s="104">
        <v>2</v>
      </c>
      <c r="I40" s="101">
        <v>17</v>
      </c>
      <c r="J40" s="26">
        <v>2400</v>
      </c>
      <c r="K40" s="10">
        <f t="shared" si="54"/>
        <v>141.1764705882353</v>
      </c>
      <c r="L40" s="101">
        <v>17</v>
      </c>
      <c r="M40" s="11">
        <f t="shared" si="55"/>
        <v>2262.2950819672124</v>
      </c>
      <c r="N40" s="10">
        <f t="shared" si="56"/>
        <v>133.07618129218895</v>
      </c>
      <c r="O40" s="12">
        <f t="shared" si="50"/>
        <v>0</v>
      </c>
      <c r="P40" s="13">
        <f t="shared" si="51"/>
        <v>-8.1002892960463555</v>
      </c>
      <c r="Q40" s="95">
        <f t="shared" si="52"/>
        <v>0.94262295081967162</v>
      </c>
      <c r="R40" s="442"/>
      <c r="S40" s="28">
        <v>0.47430555555555548</v>
      </c>
      <c r="T40" s="28">
        <v>0.51666666666666661</v>
      </c>
      <c r="U40" s="94">
        <f t="shared" si="58"/>
        <v>6.9999999999999751</v>
      </c>
      <c r="V40" s="102">
        <f t="shared" si="53"/>
        <v>61.000000000000021</v>
      </c>
      <c r="W40" s="16">
        <f>T40</f>
        <v>0.51666666666666661</v>
      </c>
      <c r="X40" s="16">
        <f>S41</f>
        <v>0.55902777777777768</v>
      </c>
      <c r="Y40" s="443"/>
      <c r="Z40" s="443"/>
      <c r="AA40" s="12">
        <f t="shared" si="2"/>
        <v>-137.70491803278765</v>
      </c>
      <c r="AB40" s="95">
        <f t="shared" si="57"/>
        <v>0.94262295081967185</v>
      </c>
      <c r="AC40" s="442"/>
    </row>
    <row r="41" spans="1:29">
      <c r="A41" s="462" t="s">
        <v>44</v>
      </c>
      <c r="B41" s="31" t="s">
        <v>67</v>
      </c>
      <c r="C41" s="441" t="s">
        <v>73</v>
      </c>
      <c r="D41" s="441"/>
      <c r="E41" s="31">
        <v>26.2</v>
      </c>
      <c r="F41" s="103">
        <v>3132</v>
      </c>
      <c r="G41" s="94">
        <f t="shared" si="49"/>
        <v>82058.399999999994</v>
      </c>
      <c r="H41" s="104" t="s">
        <v>103</v>
      </c>
      <c r="I41" s="101">
        <v>18</v>
      </c>
      <c r="J41" s="26">
        <v>2400</v>
      </c>
      <c r="K41" s="10">
        <f t="shared" si="54"/>
        <v>133.33333333333334</v>
      </c>
      <c r="L41" s="101">
        <v>18</v>
      </c>
      <c r="M41" s="11">
        <f t="shared" si="55"/>
        <v>2264.0963855421678</v>
      </c>
      <c r="N41" s="10">
        <f t="shared" si="56"/>
        <v>125.78313253012044</v>
      </c>
      <c r="O41" s="12">
        <f t="shared" si="50"/>
        <v>0</v>
      </c>
      <c r="P41" s="13">
        <f t="shared" si="51"/>
        <v>-7.5502008032129027</v>
      </c>
      <c r="Q41" s="95">
        <f t="shared" si="52"/>
        <v>0.9433734939759032</v>
      </c>
      <c r="R41" s="442"/>
      <c r="S41" s="28">
        <v>0.55902777777777768</v>
      </c>
      <c r="T41" s="28">
        <v>0.61666666666666659</v>
      </c>
      <c r="U41" s="94">
        <f t="shared" si="58"/>
        <v>60.999999999999943</v>
      </c>
      <c r="V41" s="102">
        <f t="shared" si="53"/>
        <v>83.000000000000028</v>
      </c>
      <c r="W41" s="16"/>
      <c r="X41" s="16"/>
      <c r="Y41" s="447"/>
      <c r="Z41" s="448"/>
      <c r="AA41" s="12">
        <f t="shared" si="2"/>
        <v>-135.90361445783219</v>
      </c>
      <c r="AB41" s="95">
        <f t="shared" si="57"/>
        <v>0.9433734939759032</v>
      </c>
      <c r="AC41" s="442"/>
    </row>
    <row r="42" spans="1:29">
      <c r="A42" s="462" t="s">
        <v>44</v>
      </c>
      <c r="B42" s="31" t="s">
        <v>67</v>
      </c>
      <c r="C42" s="441" t="s">
        <v>75</v>
      </c>
      <c r="D42" s="441"/>
      <c r="E42" s="31">
        <v>26.39</v>
      </c>
      <c r="F42" s="103">
        <v>2722</v>
      </c>
      <c r="G42" s="94">
        <f t="shared" si="49"/>
        <v>71833.58</v>
      </c>
      <c r="H42" s="104" t="s">
        <v>103</v>
      </c>
      <c r="I42" s="101">
        <v>19</v>
      </c>
      <c r="J42" s="26">
        <v>2400</v>
      </c>
      <c r="K42" s="10">
        <f t="shared" si="54"/>
        <v>126.31578947368421</v>
      </c>
      <c r="L42" s="101">
        <v>19</v>
      </c>
      <c r="M42" s="11">
        <f t="shared" si="55"/>
        <v>2268.3333333333317</v>
      </c>
      <c r="N42" s="10">
        <f t="shared" si="56"/>
        <v>119.38596491228061</v>
      </c>
      <c r="O42" s="12">
        <f t="shared" si="50"/>
        <v>0</v>
      </c>
      <c r="P42" s="13">
        <f t="shared" si="51"/>
        <v>-6.929824561403592</v>
      </c>
      <c r="Q42" s="95">
        <f t="shared" si="52"/>
        <v>0.9451388888888882</v>
      </c>
      <c r="R42" s="442"/>
      <c r="S42" s="28">
        <v>0.62083333333333324</v>
      </c>
      <c r="T42" s="28">
        <v>0.67083333333333328</v>
      </c>
      <c r="U42" s="94">
        <f t="shared" si="58"/>
        <v>5.9999999999999787</v>
      </c>
      <c r="V42" s="102">
        <f t="shared" si="53"/>
        <v>72.000000000000057</v>
      </c>
      <c r="W42" s="16"/>
      <c r="X42" s="16"/>
      <c r="Y42" s="447"/>
      <c r="Z42" s="448"/>
      <c r="AA42" s="12">
        <f t="shared" si="2"/>
        <v>-131.66666666666833</v>
      </c>
      <c r="AB42" s="95">
        <f t="shared" si="57"/>
        <v>0.9451388888888882</v>
      </c>
      <c r="AC42" s="442"/>
    </row>
    <row r="43" spans="1:29">
      <c r="A43" s="462" t="s">
        <v>44</v>
      </c>
      <c r="B43" s="31" t="s">
        <v>67</v>
      </c>
      <c r="C43" s="441" t="s">
        <v>77</v>
      </c>
      <c r="D43" s="441"/>
      <c r="E43" s="31">
        <v>26.2</v>
      </c>
      <c r="F43" s="103">
        <v>2176</v>
      </c>
      <c r="G43" s="94">
        <f t="shared" si="49"/>
        <v>57011.199999999997</v>
      </c>
      <c r="H43" s="104" t="s">
        <v>103</v>
      </c>
      <c r="I43" s="101">
        <v>19</v>
      </c>
      <c r="J43" s="26">
        <v>2400</v>
      </c>
      <c r="K43" s="10">
        <f t="shared" si="54"/>
        <v>126.31578947368421</v>
      </c>
      <c r="L43" s="101">
        <v>19</v>
      </c>
      <c r="M43" s="11">
        <f t="shared" si="55"/>
        <v>2251.0344827586223</v>
      </c>
      <c r="N43" s="10">
        <f t="shared" si="56"/>
        <v>118.47549909255906</v>
      </c>
      <c r="O43" s="12">
        <f t="shared" si="50"/>
        <v>0</v>
      </c>
      <c r="P43" s="13">
        <f t="shared" si="51"/>
        <v>-7.8402903811251434</v>
      </c>
      <c r="Q43" s="95">
        <f t="shared" si="52"/>
        <v>0.93793103448275927</v>
      </c>
      <c r="R43" s="442"/>
      <c r="S43" s="28">
        <v>0.67638888888888882</v>
      </c>
      <c r="T43" s="28">
        <v>0.71666666666666656</v>
      </c>
      <c r="U43" s="94">
        <f t="shared" si="58"/>
        <v>7.9999999999999716</v>
      </c>
      <c r="V43" s="102">
        <f t="shared" si="53"/>
        <v>57.999999999999957</v>
      </c>
      <c r="W43" s="16"/>
      <c r="X43" s="16"/>
      <c r="Y43" s="447"/>
      <c r="Z43" s="448"/>
      <c r="AA43" s="12">
        <f t="shared" si="2"/>
        <v>-148.96551724137771</v>
      </c>
      <c r="AB43" s="95">
        <f t="shared" si="57"/>
        <v>0.93793103448275927</v>
      </c>
      <c r="AC43" s="442"/>
    </row>
    <row r="44" spans="1:29">
      <c r="A44" s="462" t="s">
        <v>44</v>
      </c>
      <c r="B44" s="31" t="s">
        <v>67</v>
      </c>
      <c r="C44" s="441" t="s">
        <v>78</v>
      </c>
      <c r="D44" s="441"/>
      <c r="E44" s="31">
        <v>25.98</v>
      </c>
      <c r="F44" s="103">
        <v>1623</v>
      </c>
      <c r="G44" s="94">
        <f t="shared" si="49"/>
        <v>42165.54</v>
      </c>
      <c r="H44" s="104" t="s">
        <v>103</v>
      </c>
      <c r="I44" s="101">
        <v>17</v>
      </c>
      <c r="J44" s="26">
        <v>2400</v>
      </c>
      <c r="K44" s="10">
        <f t="shared" si="54"/>
        <v>141.1764705882353</v>
      </c>
      <c r="L44" s="101">
        <v>17</v>
      </c>
      <c r="M44" s="11">
        <f t="shared" si="55"/>
        <v>2264.6511627906975</v>
      </c>
      <c r="N44" s="10">
        <f t="shared" si="56"/>
        <v>133.21477428180575</v>
      </c>
      <c r="O44" s="12">
        <f t="shared" si="50"/>
        <v>0</v>
      </c>
      <c r="P44" s="13">
        <f t="shared" si="51"/>
        <v>-7.9616963064295589</v>
      </c>
      <c r="Q44" s="95">
        <f t="shared" si="52"/>
        <v>0.94360465116279058</v>
      </c>
      <c r="R44" s="442"/>
      <c r="S44" s="28">
        <v>0.7222222222222221</v>
      </c>
      <c r="T44" s="28">
        <v>0.75208333333333321</v>
      </c>
      <c r="U44" s="94">
        <f t="shared" si="58"/>
        <v>7.9999999999999716</v>
      </c>
      <c r="V44" s="102">
        <f t="shared" si="53"/>
        <v>43.000000000000007</v>
      </c>
      <c r="W44" s="16"/>
      <c r="X44" s="16"/>
      <c r="Y44" s="447"/>
      <c r="Z44" s="448"/>
      <c r="AA44" s="12">
        <f t="shared" si="2"/>
        <v>-135.34883720930247</v>
      </c>
      <c r="AB44" s="95">
        <f t="shared" si="57"/>
        <v>0.94360465116279069</v>
      </c>
      <c r="AC44" s="442"/>
    </row>
    <row r="45" spans="1:29">
      <c r="A45" s="462" t="s">
        <v>44</v>
      </c>
      <c r="B45" s="33" t="s">
        <v>36</v>
      </c>
      <c r="C45" s="446"/>
      <c r="D45" s="446"/>
      <c r="E45" s="93"/>
      <c r="F45" s="33"/>
      <c r="G45" s="10"/>
      <c r="H45" s="103"/>
      <c r="I45" s="19">
        <v>18.399999999999999</v>
      </c>
      <c r="J45" s="26">
        <v>2400</v>
      </c>
      <c r="K45" s="10">
        <f t="shared" si="54"/>
        <v>130.43478260869566</v>
      </c>
      <c r="L45" s="19">
        <v>18.399999999999999</v>
      </c>
      <c r="M45" s="11">
        <f>AVERAGE(M35:M44)</f>
        <v>2261.821887874853</v>
      </c>
      <c r="N45" s="10">
        <f>M45/L45</f>
        <v>122.9251026018942</v>
      </c>
      <c r="O45" s="12">
        <f>L45-I45</f>
        <v>0</v>
      </c>
      <c r="P45" s="13">
        <f t="shared" si="51"/>
        <v>-7.5096800068014602</v>
      </c>
      <c r="Q45" s="95">
        <f t="shared" si="52"/>
        <v>0.94242578661452214</v>
      </c>
      <c r="R45" s="442"/>
      <c r="S45" s="28"/>
      <c r="T45" s="28"/>
      <c r="U45" s="10"/>
      <c r="V45" s="102"/>
      <c r="W45" s="10"/>
      <c r="X45" s="10"/>
      <c r="Y45" s="443"/>
      <c r="Z45" s="443"/>
      <c r="AA45" s="12">
        <f t="shared" si="2"/>
        <v>-138.17811212514698</v>
      </c>
      <c r="AB45" s="95">
        <f t="shared" si="57"/>
        <v>0.94242578661452214</v>
      </c>
      <c r="AC45" s="442"/>
    </row>
    <row r="46" spans="1:29" ht="15.75" customHeight="1">
      <c r="A46" s="453" t="s">
        <v>166</v>
      </c>
      <c r="B46" s="31" t="s">
        <v>79</v>
      </c>
      <c r="C46" s="444" t="s">
        <v>80</v>
      </c>
      <c r="D46" s="445"/>
      <c r="E46" s="31">
        <v>21.13</v>
      </c>
      <c r="F46" s="103">
        <v>5174</v>
      </c>
      <c r="G46" s="94">
        <f t="shared" ref="G46:G52" si="59">E46*F46</f>
        <v>109326.62</v>
      </c>
      <c r="H46" s="104" t="s">
        <v>103</v>
      </c>
      <c r="I46" s="101">
        <v>10</v>
      </c>
      <c r="J46" s="26">
        <v>3000</v>
      </c>
      <c r="K46" s="10">
        <f t="shared" si="54"/>
        <v>300</v>
      </c>
      <c r="L46" s="101">
        <v>10</v>
      </c>
      <c r="M46" s="11">
        <f t="shared" ref="M46:M47" si="60">F46/V46*60</f>
        <v>2822.1818181818189</v>
      </c>
      <c r="N46" s="11">
        <f t="shared" ref="N46:N53" si="61">M46/L46</f>
        <v>282.2181818181819</v>
      </c>
      <c r="O46" s="12">
        <f t="shared" ref="O46:O53" si="62">L46-I46</f>
        <v>0</v>
      </c>
      <c r="P46" s="13">
        <f t="shared" si="51"/>
        <v>-17.781818181818096</v>
      </c>
      <c r="Q46" s="95">
        <f t="shared" si="52"/>
        <v>0.94072727272727297</v>
      </c>
      <c r="R46" s="456">
        <f>Q53</f>
        <v>0.94603479906255261</v>
      </c>
      <c r="S46" s="28">
        <v>8.3333333333333329E-2</v>
      </c>
      <c r="T46" s="28">
        <v>0.15972222222222221</v>
      </c>
      <c r="U46" s="18"/>
      <c r="V46" s="102">
        <f t="shared" ref="V46:V52" si="63">(T46-S46)*24*60</f>
        <v>109.99999999999999</v>
      </c>
      <c r="W46" s="16">
        <f>T46</f>
        <v>0.15972222222222221</v>
      </c>
      <c r="X46" s="16">
        <f>S47</f>
        <v>0.17847222222222223</v>
      </c>
      <c r="Y46" s="447"/>
      <c r="Z46" s="448"/>
      <c r="AA46" s="12">
        <f t="shared" si="2"/>
        <v>-177.81818181818107</v>
      </c>
      <c r="AB46" s="95">
        <f t="shared" si="57"/>
        <v>0.94072727272727297</v>
      </c>
      <c r="AC46" s="456">
        <f>AB53</f>
        <v>0.94603479906255261</v>
      </c>
    </row>
    <row r="47" spans="1:29" ht="15.75" customHeight="1">
      <c r="A47" s="454" t="s">
        <v>166</v>
      </c>
      <c r="B47" s="31" t="s">
        <v>79</v>
      </c>
      <c r="C47" s="444" t="s">
        <v>81</v>
      </c>
      <c r="D47" s="445"/>
      <c r="E47" s="31">
        <v>27.17</v>
      </c>
      <c r="F47" s="103">
        <v>6492</v>
      </c>
      <c r="G47" s="94">
        <f t="shared" si="59"/>
        <v>176387.64</v>
      </c>
      <c r="H47" s="104" t="s">
        <v>103</v>
      </c>
      <c r="I47" s="101">
        <v>10</v>
      </c>
      <c r="J47" s="26">
        <v>3000</v>
      </c>
      <c r="K47" s="10">
        <f t="shared" si="54"/>
        <v>300</v>
      </c>
      <c r="L47" s="101">
        <v>10</v>
      </c>
      <c r="M47" s="11">
        <f t="shared" si="60"/>
        <v>2822.6086956521731</v>
      </c>
      <c r="N47" s="11">
        <f t="shared" si="61"/>
        <v>282.26086956521732</v>
      </c>
      <c r="O47" s="12">
        <f t="shared" si="62"/>
        <v>0</v>
      </c>
      <c r="P47" s="13">
        <f t="shared" si="51"/>
        <v>-17.73913043478268</v>
      </c>
      <c r="Q47" s="95">
        <f t="shared" si="52"/>
        <v>0.94086956521739107</v>
      </c>
      <c r="R47" s="457"/>
      <c r="S47" s="28">
        <v>0.17847222222222223</v>
      </c>
      <c r="T47" s="28">
        <v>0.27430555555555558</v>
      </c>
      <c r="U47" s="94">
        <f>(S47-T46)*24*60</f>
        <v>27.000000000000025</v>
      </c>
      <c r="V47" s="102">
        <f t="shared" si="63"/>
        <v>138.00000000000006</v>
      </c>
      <c r="W47" s="16"/>
      <c r="X47" s="16"/>
      <c r="Y47" s="447"/>
      <c r="Z47" s="448"/>
      <c r="AA47" s="12">
        <f t="shared" si="2"/>
        <v>-177.39130434782692</v>
      </c>
      <c r="AB47" s="95">
        <f t="shared" si="57"/>
        <v>0.94086956521739107</v>
      </c>
      <c r="AC47" s="457"/>
    </row>
    <row r="48" spans="1:29" ht="15.75" customHeight="1">
      <c r="A48" s="454" t="s">
        <v>166</v>
      </c>
      <c r="B48" s="31" t="s">
        <v>79</v>
      </c>
      <c r="C48" s="444" t="s">
        <v>82</v>
      </c>
      <c r="D48" s="445"/>
      <c r="E48" s="31">
        <v>35.119999999999997</v>
      </c>
      <c r="F48" s="103">
        <v>4769</v>
      </c>
      <c r="G48" s="94">
        <f t="shared" si="59"/>
        <v>167487.28</v>
      </c>
      <c r="H48" s="104" t="s">
        <v>103</v>
      </c>
      <c r="I48" s="101">
        <v>10</v>
      </c>
      <c r="J48" s="26">
        <v>3000</v>
      </c>
      <c r="K48" s="10">
        <f t="shared" si="54"/>
        <v>300</v>
      </c>
      <c r="L48" s="101">
        <v>10</v>
      </c>
      <c r="M48" s="11">
        <f>F48/V48*60</f>
        <v>2833.0693069306944</v>
      </c>
      <c r="N48" s="11">
        <f t="shared" si="61"/>
        <v>283.30693069306943</v>
      </c>
      <c r="O48" s="12">
        <f t="shared" si="62"/>
        <v>0</v>
      </c>
      <c r="P48" s="13">
        <f t="shared" si="51"/>
        <v>-16.693069306930568</v>
      </c>
      <c r="Q48" s="95">
        <f t="shared" si="52"/>
        <v>0.94435643564356475</v>
      </c>
      <c r="R48" s="457"/>
      <c r="S48" s="28">
        <v>0.27777777777777779</v>
      </c>
      <c r="T48" s="28">
        <v>0.34791666666666665</v>
      </c>
      <c r="U48" s="94">
        <f t="shared" ref="U48:U52" si="64">(S48-T47)*24*60</f>
        <v>4.9999999999999822</v>
      </c>
      <c r="V48" s="102">
        <f t="shared" si="63"/>
        <v>100.99999999999996</v>
      </c>
      <c r="W48" s="16"/>
      <c r="X48" s="16"/>
      <c r="Y48" s="447"/>
      <c r="Z48" s="448"/>
      <c r="AA48" s="12">
        <f t="shared" si="2"/>
        <v>-166.93069306930556</v>
      </c>
      <c r="AB48" s="95">
        <f t="shared" si="57"/>
        <v>0.94435643564356486</v>
      </c>
      <c r="AC48" s="457"/>
    </row>
    <row r="49" spans="1:29" ht="15.75" customHeight="1">
      <c r="A49" s="454" t="s">
        <v>166</v>
      </c>
      <c r="B49" s="31" t="s">
        <v>79</v>
      </c>
      <c r="C49" s="444" t="s">
        <v>83</v>
      </c>
      <c r="D49" s="445"/>
      <c r="E49" s="31">
        <v>40.18</v>
      </c>
      <c r="F49" s="103">
        <v>1845</v>
      </c>
      <c r="G49" s="94">
        <f t="shared" si="59"/>
        <v>74132.100000000006</v>
      </c>
      <c r="H49" s="104" t="s">
        <v>103</v>
      </c>
      <c r="I49" s="101">
        <v>10</v>
      </c>
      <c r="J49" s="26">
        <v>3000</v>
      </c>
      <c r="K49" s="10">
        <f t="shared" si="54"/>
        <v>300</v>
      </c>
      <c r="L49" s="101">
        <v>10</v>
      </c>
      <c r="M49" s="11">
        <f t="shared" ref="M49:M52" si="65">F49/V49*60</f>
        <v>2838.4615384615372</v>
      </c>
      <c r="N49" s="11">
        <f t="shared" si="61"/>
        <v>283.8461538461537</v>
      </c>
      <c r="O49" s="12">
        <f t="shared" si="62"/>
        <v>0</v>
      </c>
      <c r="P49" s="13">
        <f t="shared" si="51"/>
        <v>-16.153846153846303</v>
      </c>
      <c r="Q49" s="95">
        <f t="shared" si="52"/>
        <v>0.94615384615384568</v>
      </c>
      <c r="R49" s="457"/>
      <c r="S49" s="28">
        <v>0.3520833333333333</v>
      </c>
      <c r="T49" s="28">
        <v>0.37916666666666665</v>
      </c>
      <c r="U49" s="94">
        <f t="shared" si="64"/>
        <v>5.9999999999999787</v>
      </c>
      <c r="V49" s="102">
        <f t="shared" si="63"/>
        <v>39.000000000000021</v>
      </c>
      <c r="W49" s="16"/>
      <c r="X49" s="16"/>
      <c r="Y49" s="447"/>
      <c r="Z49" s="448"/>
      <c r="AA49" s="12">
        <f t="shared" si="2"/>
        <v>-161.5384615384628</v>
      </c>
      <c r="AB49" s="95">
        <f t="shared" si="57"/>
        <v>0.94615384615384568</v>
      </c>
      <c r="AC49" s="457"/>
    </row>
    <row r="50" spans="1:29" ht="15.75" customHeight="1">
      <c r="A50" s="454" t="s">
        <v>166</v>
      </c>
      <c r="B50" s="31" t="s">
        <v>79</v>
      </c>
      <c r="C50" s="444" t="s">
        <v>84</v>
      </c>
      <c r="D50" s="445"/>
      <c r="E50" s="31">
        <v>28.5</v>
      </c>
      <c r="F50" s="103">
        <v>1014</v>
      </c>
      <c r="G50" s="94">
        <f t="shared" si="59"/>
        <v>28899</v>
      </c>
      <c r="H50" s="104" t="s">
        <v>103</v>
      </c>
      <c r="I50" s="101">
        <v>10</v>
      </c>
      <c r="J50" s="26">
        <v>3000</v>
      </c>
      <c r="K50" s="10">
        <f t="shared" si="54"/>
        <v>300</v>
      </c>
      <c r="L50" s="101">
        <v>10</v>
      </c>
      <c r="M50" s="11">
        <f t="shared" si="65"/>
        <v>2897.1428571428564</v>
      </c>
      <c r="N50" s="11">
        <f t="shared" si="61"/>
        <v>289.71428571428567</v>
      </c>
      <c r="O50" s="12">
        <f t="shared" si="62"/>
        <v>0</v>
      </c>
      <c r="P50" s="13">
        <f t="shared" si="51"/>
        <v>-10.285714285714334</v>
      </c>
      <c r="Q50" s="95">
        <f>N50/K50</f>
        <v>0.96571428571428553</v>
      </c>
      <c r="R50" s="457"/>
      <c r="S50" s="28">
        <v>0.38263888888888886</v>
      </c>
      <c r="T50" s="28">
        <v>0.3972222222222222</v>
      </c>
      <c r="U50" s="94">
        <f t="shared" si="64"/>
        <v>4.9999999999999822</v>
      </c>
      <c r="V50" s="102">
        <f t="shared" si="63"/>
        <v>21.000000000000007</v>
      </c>
      <c r="W50" s="16"/>
      <c r="X50" s="16"/>
      <c r="Y50" s="447"/>
      <c r="Z50" s="448"/>
      <c r="AA50" s="12">
        <f t="shared" si="2"/>
        <v>-102.85714285714357</v>
      </c>
      <c r="AB50" s="95">
        <f t="shared" si="57"/>
        <v>0.96571428571428553</v>
      </c>
      <c r="AC50" s="457"/>
    </row>
    <row r="51" spans="1:29" ht="15.75" customHeight="1">
      <c r="A51" s="454" t="s">
        <v>166</v>
      </c>
      <c r="B51" s="31" t="s">
        <v>79</v>
      </c>
      <c r="C51" s="444" t="s">
        <v>85</v>
      </c>
      <c r="D51" s="445"/>
      <c r="E51" s="31">
        <v>35.869999999999997</v>
      </c>
      <c r="F51" s="103">
        <v>3111</v>
      </c>
      <c r="G51" s="94">
        <f t="shared" si="59"/>
        <v>111591.56999999999</v>
      </c>
      <c r="H51" s="104" t="s">
        <v>103</v>
      </c>
      <c r="I51" s="101">
        <v>10</v>
      </c>
      <c r="J51" s="26">
        <v>3000</v>
      </c>
      <c r="K51" s="10">
        <f t="shared" si="54"/>
        <v>300</v>
      </c>
      <c r="L51" s="101">
        <v>10</v>
      </c>
      <c r="M51" s="11">
        <f t="shared" si="65"/>
        <v>2828.181818181818</v>
      </c>
      <c r="N51" s="11">
        <f t="shared" si="61"/>
        <v>282.81818181818181</v>
      </c>
      <c r="O51" s="12">
        <f t="shared" si="62"/>
        <v>0</v>
      </c>
      <c r="P51" s="13">
        <f t="shared" si="51"/>
        <v>-17.181818181818187</v>
      </c>
      <c r="Q51" s="95">
        <f t="shared" ref="Q51:Q53" si="66">N51/K51</f>
        <v>0.94272727272727275</v>
      </c>
      <c r="R51" s="457"/>
      <c r="S51" s="28">
        <v>0.40208333333333329</v>
      </c>
      <c r="T51" s="28">
        <v>0.44791666666666663</v>
      </c>
      <c r="U51" s="94">
        <f t="shared" si="64"/>
        <v>6.9999999999999751</v>
      </c>
      <c r="V51" s="102">
        <f t="shared" si="63"/>
        <v>66</v>
      </c>
      <c r="W51" s="16"/>
      <c r="X51" s="16"/>
      <c r="Y51" s="447"/>
      <c r="Z51" s="448"/>
      <c r="AA51" s="12">
        <f t="shared" si="2"/>
        <v>-171.81818181818198</v>
      </c>
      <c r="AB51" s="95">
        <f t="shared" si="57"/>
        <v>0.94272727272727264</v>
      </c>
      <c r="AC51" s="457"/>
    </row>
    <row r="52" spans="1:29" ht="15.75" customHeight="1">
      <c r="A52" s="454" t="s">
        <v>166</v>
      </c>
      <c r="B52" s="31" t="s">
        <v>79</v>
      </c>
      <c r="C52" s="444" t="s">
        <v>86</v>
      </c>
      <c r="D52" s="445"/>
      <c r="E52" s="31">
        <v>36.14</v>
      </c>
      <c r="F52" s="103">
        <v>2778</v>
      </c>
      <c r="G52" s="94">
        <f t="shared" si="59"/>
        <v>100396.92</v>
      </c>
      <c r="H52" s="104" t="s">
        <v>103</v>
      </c>
      <c r="I52" s="101">
        <v>10</v>
      </c>
      <c r="J52" s="26">
        <v>3000</v>
      </c>
      <c r="K52" s="10">
        <f t="shared" si="54"/>
        <v>300</v>
      </c>
      <c r="L52" s="101">
        <v>10</v>
      </c>
      <c r="M52" s="11">
        <f t="shared" si="65"/>
        <v>2825.0847457627106</v>
      </c>
      <c r="N52" s="11">
        <f t="shared" si="61"/>
        <v>282.50847457627106</v>
      </c>
      <c r="O52" s="12">
        <f t="shared" si="62"/>
        <v>0</v>
      </c>
      <c r="P52" s="13">
        <f t="shared" si="51"/>
        <v>-17.491525423728945</v>
      </c>
      <c r="Q52" s="95">
        <f t="shared" si="66"/>
        <v>0.94169491525423688</v>
      </c>
      <c r="R52" s="457"/>
      <c r="S52" s="28">
        <v>0.45277777777777772</v>
      </c>
      <c r="T52" s="28">
        <v>0.49374999999999997</v>
      </c>
      <c r="U52" s="94">
        <f t="shared" si="64"/>
        <v>6.9999999999999751</v>
      </c>
      <c r="V52" s="102">
        <f t="shared" si="63"/>
        <v>59.000000000000028</v>
      </c>
      <c r="W52" s="16"/>
      <c r="X52" s="16"/>
      <c r="Y52" s="447"/>
      <c r="Z52" s="448"/>
      <c r="AA52" s="12">
        <f t="shared" si="2"/>
        <v>-174.91525423728945</v>
      </c>
      <c r="AB52" s="95">
        <f t="shared" si="57"/>
        <v>0.94169491525423688</v>
      </c>
      <c r="AC52" s="457"/>
    </row>
    <row r="53" spans="1:29" ht="15.75" customHeight="1">
      <c r="A53" s="455" t="s">
        <v>166</v>
      </c>
      <c r="B53" s="31" t="s">
        <v>36</v>
      </c>
      <c r="C53" s="459"/>
      <c r="D53" s="460"/>
      <c r="E53" s="100"/>
      <c r="F53" s="103"/>
      <c r="G53" s="94"/>
      <c r="H53" s="103"/>
      <c r="I53" s="19">
        <v>10</v>
      </c>
      <c r="J53" s="26">
        <v>3000</v>
      </c>
      <c r="K53" s="10">
        <f>J53/I53</f>
        <v>300</v>
      </c>
      <c r="L53" s="19">
        <v>10</v>
      </c>
      <c r="M53" s="11">
        <f>AVERAGE(M46:M52)</f>
        <v>2838.1043971876579</v>
      </c>
      <c r="N53" s="10">
        <f t="shared" si="61"/>
        <v>283.81043971876579</v>
      </c>
      <c r="O53" s="12">
        <f t="shared" si="62"/>
        <v>0</v>
      </c>
      <c r="P53" s="13">
        <f t="shared" si="51"/>
        <v>-16.189560281234208</v>
      </c>
      <c r="Q53" s="95">
        <f t="shared" si="66"/>
        <v>0.94603479906255261</v>
      </c>
      <c r="R53" s="458"/>
      <c r="S53" s="28"/>
      <c r="T53" s="28"/>
      <c r="U53" s="94"/>
      <c r="V53" s="102"/>
      <c r="W53" s="16"/>
      <c r="X53" s="16"/>
      <c r="Y53" s="447"/>
      <c r="Z53" s="448"/>
      <c r="AA53" s="12">
        <f t="shared" si="2"/>
        <v>-161.89560281234208</v>
      </c>
      <c r="AB53" s="95">
        <f t="shared" si="57"/>
        <v>0.94603479906255261</v>
      </c>
      <c r="AC53" s="458"/>
    </row>
    <row r="54" spans="1:29" ht="15.75" customHeight="1">
      <c r="A54" s="451" t="s">
        <v>167</v>
      </c>
      <c r="B54" s="31" t="s">
        <v>53</v>
      </c>
      <c r="C54" s="441" t="s">
        <v>87</v>
      </c>
      <c r="D54" s="441"/>
      <c r="E54" s="31">
        <v>46</v>
      </c>
      <c r="F54" s="35">
        <v>3210</v>
      </c>
      <c r="G54" s="94">
        <f t="shared" ref="G54:G59" si="67">E54*F54</f>
        <v>147660</v>
      </c>
      <c r="H54" s="104" t="s">
        <v>103</v>
      </c>
      <c r="I54" s="101">
        <v>17</v>
      </c>
      <c r="J54" s="26">
        <v>2000</v>
      </c>
      <c r="K54" s="10">
        <f t="shared" ref="K54:K59" si="68">J54/I54</f>
        <v>117.64705882352941</v>
      </c>
      <c r="L54" s="101">
        <v>17</v>
      </c>
      <c r="M54" s="11">
        <f t="shared" ref="M54:M59" si="69">F54/V54*60</f>
        <v>1888.2352941176478</v>
      </c>
      <c r="N54" s="11">
        <f>M54/L54</f>
        <v>111.07266435986163</v>
      </c>
      <c r="O54" s="12">
        <f>L54-I54</f>
        <v>0</v>
      </c>
      <c r="P54" s="13">
        <f>N54-K54</f>
        <v>-6.5743944636677725</v>
      </c>
      <c r="Q54" s="95">
        <f>N54/K54</f>
        <v>0.94411764705882395</v>
      </c>
      <c r="R54" s="442">
        <f>Q60</f>
        <v>0.94247145552195122</v>
      </c>
      <c r="S54" s="28">
        <v>0.25</v>
      </c>
      <c r="T54" s="28">
        <v>0.3208333333333333</v>
      </c>
      <c r="U54" s="18"/>
      <c r="V54" s="102">
        <f t="shared" ref="V54:V59" si="70">(T54-S54)*24*60</f>
        <v>101.99999999999996</v>
      </c>
      <c r="W54" s="18"/>
      <c r="X54" s="18"/>
      <c r="Y54" s="443"/>
      <c r="Z54" s="443"/>
      <c r="AA54" s="12">
        <f t="shared" si="2"/>
        <v>-111.76470588235225</v>
      </c>
      <c r="AB54" s="95">
        <f t="shared" si="57"/>
        <v>0.94411764705882384</v>
      </c>
      <c r="AC54" s="442">
        <f>AB60</f>
        <v>0.94247145552195133</v>
      </c>
    </row>
    <row r="55" spans="1:29" ht="15.75" customHeight="1">
      <c r="A55" s="451" t="s">
        <v>167</v>
      </c>
      <c r="B55" s="31" t="s">
        <v>53</v>
      </c>
      <c r="C55" s="441" t="s">
        <v>88</v>
      </c>
      <c r="D55" s="441"/>
      <c r="E55" s="31">
        <v>46</v>
      </c>
      <c r="F55" s="35">
        <v>3246</v>
      </c>
      <c r="G55" s="94">
        <f t="shared" si="67"/>
        <v>149316</v>
      </c>
      <c r="H55" s="104" t="s">
        <v>103</v>
      </c>
      <c r="I55" s="101">
        <v>18</v>
      </c>
      <c r="J55" s="26">
        <v>2000</v>
      </c>
      <c r="K55" s="10">
        <f t="shared" si="68"/>
        <v>111.11111111111111</v>
      </c>
      <c r="L55" s="101">
        <v>18</v>
      </c>
      <c r="M55" s="11">
        <f t="shared" si="69"/>
        <v>1890.8737864077677</v>
      </c>
      <c r="N55" s="11">
        <f t="shared" ref="N55:N59" si="71">M55/L55</f>
        <v>105.04854368932043</v>
      </c>
      <c r="O55" s="12">
        <f t="shared" ref="O55:O59" si="72">L55-I55</f>
        <v>0</v>
      </c>
      <c r="P55" s="13">
        <f t="shared" ref="P55:P59" si="73">N55-K55</f>
        <v>-6.0625674217906891</v>
      </c>
      <c r="Q55" s="95">
        <f t="shared" ref="Q55:Q59" si="74">N55/K55</f>
        <v>0.9454368932038838</v>
      </c>
      <c r="R55" s="442"/>
      <c r="S55" s="28">
        <v>0.32638888888888884</v>
      </c>
      <c r="T55" s="28">
        <v>0.39791666666666659</v>
      </c>
      <c r="U55" s="94">
        <f>IF(S55=TIME(17,0,0),"",(S55-T54)*24*60)</f>
        <v>7.9999999999999716</v>
      </c>
      <c r="V55" s="102">
        <f t="shared" si="70"/>
        <v>102.99999999999996</v>
      </c>
      <c r="W55" s="16"/>
      <c r="X55" s="16"/>
      <c r="Y55" s="443"/>
      <c r="Z55" s="443"/>
      <c r="AA55" s="12">
        <f t="shared" si="2"/>
        <v>-109.12621359223226</v>
      </c>
      <c r="AB55" s="95">
        <f t="shared" si="57"/>
        <v>0.94543689320388391</v>
      </c>
      <c r="AC55" s="442"/>
    </row>
    <row r="56" spans="1:29" ht="15.75" customHeight="1">
      <c r="A56" s="451" t="s">
        <v>167</v>
      </c>
      <c r="B56" s="31" t="s">
        <v>58</v>
      </c>
      <c r="C56" s="444" t="s">
        <v>168</v>
      </c>
      <c r="D56" s="445"/>
      <c r="E56" s="31">
        <v>51.62</v>
      </c>
      <c r="F56" s="35">
        <v>5233</v>
      </c>
      <c r="G56" s="94">
        <f t="shared" si="67"/>
        <v>270127.45999999996</v>
      </c>
      <c r="H56" s="104" t="s">
        <v>103</v>
      </c>
      <c r="I56" s="101">
        <v>16</v>
      </c>
      <c r="J56" s="26">
        <v>2000</v>
      </c>
      <c r="K56" s="10">
        <f t="shared" si="68"/>
        <v>125</v>
      </c>
      <c r="L56" s="101">
        <v>16</v>
      </c>
      <c r="M56" s="11">
        <f t="shared" si="69"/>
        <v>1880.1197604790414</v>
      </c>
      <c r="N56" s="11">
        <f t="shared" si="71"/>
        <v>117.50748502994009</v>
      </c>
      <c r="O56" s="12">
        <f t="shared" si="72"/>
        <v>0</v>
      </c>
      <c r="P56" s="13">
        <f t="shared" si="73"/>
        <v>-7.492514970059915</v>
      </c>
      <c r="Q56" s="95">
        <f t="shared" si="74"/>
        <v>0.9400598802395207</v>
      </c>
      <c r="R56" s="442"/>
      <c r="S56" s="28">
        <v>0.40347222222222212</v>
      </c>
      <c r="T56" s="28">
        <v>0.51944444444444438</v>
      </c>
      <c r="U56" s="94">
        <f t="shared" ref="U56:U59" si="75">IF(S56=TIME(17,0,0),"",(S56-T55)*24*60)</f>
        <v>7.9999999999999716</v>
      </c>
      <c r="V56" s="102">
        <f t="shared" si="70"/>
        <v>167.00000000000006</v>
      </c>
      <c r="W56" s="16"/>
      <c r="X56" s="16"/>
      <c r="Y56" s="98"/>
      <c r="Z56" s="99"/>
      <c r="AA56" s="12">
        <f t="shared" si="2"/>
        <v>-119.88023952095864</v>
      </c>
      <c r="AB56" s="95">
        <f t="shared" si="57"/>
        <v>0.9400598802395207</v>
      </c>
      <c r="AC56" s="442"/>
    </row>
    <row r="57" spans="1:29" ht="15.75" customHeight="1">
      <c r="A57" s="451" t="s">
        <v>167</v>
      </c>
      <c r="B57" s="31" t="s">
        <v>58</v>
      </c>
      <c r="C57" s="96" t="s">
        <v>89</v>
      </c>
      <c r="D57" s="97"/>
      <c r="E57" s="31">
        <v>55.56</v>
      </c>
      <c r="F57" s="35">
        <v>2444</v>
      </c>
      <c r="G57" s="94">
        <f t="shared" si="67"/>
        <v>135788.64000000001</v>
      </c>
      <c r="H57" s="104" t="s">
        <v>103</v>
      </c>
      <c r="I57" s="101">
        <v>17</v>
      </c>
      <c r="J57" s="26">
        <v>2000</v>
      </c>
      <c r="K57" s="10">
        <f t="shared" si="68"/>
        <v>117.64705882352941</v>
      </c>
      <c r="L57" s="101">
        <v>17</v>
      </c>
      <c r="M57" s="11">
        <f t="shared" si="69"/>
        <v>1879.9999999999991</v>
      </c>
      <c r="N57" s="11">
        <f t="shared" si="71"/>
        <v>110.5882352941176</v>
      </c>
      <c r="O57" s="12">
        <f t="shared" si="72"/>
        <v>0</v>
      </c>
      <c r="P57" s="13">
        <f t="shared" si="73"/>
        <v>-7.0588235294118107</v>
      </c>
      <c r="Q57" s="95">
        <f t="shared" si="74"/>
        <v>0.93999999999999961</v>
      </c>
      <c r="R57" s="442"/>
      <c r="S57" s="28">
        <v>0.70833333333333337</v>
      </c>
      <c r="T57" s="28">
        <v>0.76250000000000007</v>
      </c>
      <c r="U57" s="94" t="str">
        <f t="shared" si="75"/>
        <v/>
      </c>
      <c r="V57" s="102">
        <f t="shared" si="70"/>
        <v>78.000000000000043</v>
      </c>
      <c r="W57" s="16"/>
      <c r="X57" s="16"/>
      <c r="Y57" s="98"/>
      <c r="Z57" s="99"/>
      <c r="AA57" s="12">
        <f t="shared" si="2"/>
        <v>-120.00000000000091</v>
      </c>
      <c r="AB57" s="95">
        <f t="shared" si="57"/>
        <v>0.9399999999999995</v>
      </c>
      <c r="AC57" s="442"/>
    </row>
    <row r="58" spans="1:29" ht="15.75" customHeight="1">
      <c r="A58" s="451" t="s">
        <v>167</v>
      </c>
      <c r="B58" s="31" t="s">
        <v>58</v>
      </c>
      <c r="C58" s="96" t="s">
        <v>90</v>
      </c>
      <c r="D58" s="97"/>
      <c r="E58" s="31">
        <v>55.32</v>
      </c>
      <c r="F58" s="35">
        <v>1846</v>
      </c>
      <c r="G58" s="94">
        <f t="shared" si="67"/>
        <v>102120.72</v>
      </c>
      <c r="H58" s="104" t="s">
        <v>103</v>
      </c>
      <c r="I58" s="101">
        <v>15</v>
      </c>
      <c r="J58" s="26">
        <v>2000</v>
      </c>
      <c r="K58" s="10">
        <f t="shared" si="68"/>
        <v>133.33333333333334</v>
      </c>
      <c r="L58" s="101">
        <v>15</v>
      </c>
      <c r="M58" s="11">
        <f t="shared" si="69"/>
        <v>1877.2881355932218</v>
      </c>
      <c r="N58" s="11">
        <f t="shared" si="71"/>
        <v>125.15254237288146</v>
      </c>
      <c r="O58" s="12">
        <f t="shared" si="72"/>
        <v>0</v>
      </c>
      <c r="P58" s="13">
        <f t="shared" si="73"/>
        <v>-8.1807909604518869</v>
      </c>
      <c r="Q58" s="95">
        <f t="shared" si="74"/>
        <v>0.9386440677966108</v>
      </c>
      <c r="R58" s="442"/>
      <c r="S58" s="28">
        <v>0.76666666666666672</v>
      </c>
      <c r="T58" s="28">
        <v>0.80763888888888891</v>
      </c>
      <c r="U58" s="94">
        <f t="shared" si="75"/>
        <v>5.9999999999999787</v>
      </c>
      <c r="V58" s="102">
        <f t="shared" si="70"/>
        <v>58.99999999999995</v>
      </c>
      <c r="W58" s="16"/>
      <c r="X58" s="16"/>
      <c r="Y58" s="98"/>
      <c r="Z58" s="99"/>
      <c r="AA58" s="12">
        <f t="shared" si="2"/>
        <v>-122.7118644067782</v>
      </c>
      <c r="AB58" s="95">
        <f t="shared" si="57"/>
        <v>0.93864406779661091</v>
      </c>
      <c r="AC58" s="442"/>
    </row>
    <row r="59" spans="1:29" ht="15.75" customHeight="1">
      <c r="A59" s="451" t="s">
        <v>167</v>
      </c>
      <c r="B59" s="31" t="s">
        <v>58</v>
      </c>
      <c r="C59" s="444" t="s">
        <v>91</v>
      </c>
      <c r="D59" s="445"/>
      <c r="E59" s="31">
        <v>57.73</v>
      </c>
      <c r="F59" s="35">
        <v>1493</v>
      </c>
      <c r="G59" s="94">
        <f t="shared" si="67"/>
        <v>86190.89</v>
      </c>
      <c r="H59" s="104" t="s">
        <v>103</v>
      </c>
      <c r="I59" s="101">
        <v>16</v>
      </c>
      <c r="J59" s="26">
        <v>1500</v>
      </c>
      <c r="K59" s="10">
        <f t="shared" si="68"/>
        <v>93.75</v>
      </c>
      <c r="L59" s="101">
        <v>16</v>
      </c>
      <c r="M59" s="11">
        <f t="shared" si="69"/>
        <v>1421.9047619047633</v>
      </c>
      <c r="N59" s="11">
        <f t="shared" si="71"/>
        <v>88.869047619047706</v>
      </c>
      <c r="O59" s="12">
        <f t="shared" si="72"/>
        <v>0</v>
      </c>
      <c r="P59" s="13">
        <f t="shared" si="73"/>
        <v>-4.8809523809522943</v>
      </c>
      <c r="Q59" s="95">
        <f t="shared" si="74"/>
        <v>0.94793650793650885</v>
      </c>
      <c r="R59" s="442"/>
      <c r="S59" s="28">
        <v>0.8125</v>
      </c>
      <c r="T59" s="28">
        <v>0.85624999999999996</v>
      </c>
      <c r="U59" s="94">
        <f t="shared" si="75"/>
        <v>6.9999999999999751</v>
      </c>
      <c r="V59" s="102">
        <f t="shared" si="70"/>
        <v>62.999999999999936</v>
      </c>
      <c r="W59" s="16"/>
      <c r="X59" s="16"/>
      <c r="Y59" s="447"/>
      <c r="Z59" s="448"/>
      <c r="AA59" s="12">
        <f t="shared" si="2"/>
        <v>-78.095238095236709</v>
      </c>
      <c r="AB59" s="95">
        <f t="shared" si="57"/>
        <v>0.94793650793650885</v>
      </c>
      <c r="AC59" s="442"/>
    </row>
    <row r="60" spans="1:29">
      <c r="A60" s="452" t="s">
        <v>167</v>
      </c>
      <c r="B60" s="31" t="s">
        <v>36</v>
      </c>
      <c r="C60" s="446"/>
      <c r="D60" s="446"/>
      <c r="E60" s="93"/>
      <c r="F60" s="33"/>
      <c r="G60" s="10"/>
      <c r="H60" s="103"/>
      <c r="I60" s="19">
        <v>16.5</v>
      </c>
      <c r="J60" s="26">
        <v>1916.6666666666667</v>
      </c>
      <c r="K60" s="10">
        <f>J60/I60</f>
        <v>116.16161616161617</v>
      </c>
      <c r="L60" s="19">
        <v>16.5</v>
      </c>
      <c r="M60" s="11">
        <f>AVERAGE(M54:M59)</f>
        <v>1806.4036230837401</v>
      </c>
      <c r="N60" s="10">
        <f>M60/L60</f>
        <v>109.4790074596206</v>
      </c>
      <c r="O60" s="12">
        <f>L60-I60</f>
        <v>0</v>
      </c>
      <c r="P60" s="13">
        <f>N60-K60</f>
        <v>-6.6826087019955622</v>
      </c>
      <c r="Q60" s="95">
        <f>N60/K60</f>
        <v>0.94247145552195122</v>
      </c>
      <c r="R60" s="442"/>
      <c r="S60" s="29"/>
      <c r="T60" s="28"/>
      <c r="U60" s="10"/>
      <c r="V60" s="102"/>
      <c r="W60" s="10"/>
      <c r="X60" s="10"/>
      <c r="Y60" s="443"/>
      <c r="Z60" s="443"/>
      <c r="AA60" s="12">
        <f t="shared" si="2"/>
        <v>-110.26304358292668</v>
      </c>
      <c r="AB60" s="95">
        <f t="shared" si="57"/>
        <v>0.94247145552195133</v>
      </c>
      <c r="AC60" s="442"/>
    </row>
    <row r="61" spans="1:29" ht="15.75" customHeight="1">
      <c r="A61" s="449" t="s">
        <v>49</v>
      </c>
      <c r="B61" s="103" t="s">
        <v>92</v>
      </c>
      <c r="C61" s="441" t="s">
        <v>93</v>
      </c>
      <c r="D61" s="441"/>
      <c r="E61" s="31">
        <v>84.51</v>
      </c>
      <c r="F61" s="35">
        <v>2437</v>
      </c>
      <c r="G61" s="94">
        <f t="shared" ref="G61:G66" si="76">E61*F61</f>
        <v>205950.87000000002</v>
      </c>
      <c r="H61" s="104" t="s">
        <v>103</v>
      </c>
      <c r="I61" s="101">
        <v>17</v>
      </c>
      <c r="J61" s="26">
        <v>2400</v>
      </c>
      <c r="K61" s="10">
        <f t="shared" ref="K61:K66" si="77">J61/I61</f>
        <v>141.1764705882353</v>
      </c>
      <c r="L61" s="19">
        <v>17</v>
      </c>
      <c r="M61" s="11">
        <f t="shared" ref="M61:M66" si="78">F61/V61*60</f>
        <v>2249.538461538461</v>
      </c>
      <c r="N61" s="10">
        <f>M61/L61</f>
        <v>132.32579185520359</v>
      </c>
      <c r="O61" s="12">
        <f t="shared" ref="O61:O66" si="79">L61-I61</f>
        <v>0</v>
      </c>
      <c r="P61" s="13">
        <f t="shared" ref="P61:P66" si="80">N61-K61</f>
        <v>-8.8506787330317138</v>
      </c>
      <c r="Q61" s="95">
        <f>N61/K61</f>
        <v>0.93730769230769206</v>
      </c>
      <c r="R61" s="442">
        <f>Q67</f>
        <v>0.94121792457034348</v>
      </c>
      <c r="S61" s="28">
        <v>0.125</v>
      </c>
      <c r="T61" s="28">
        <v>0.1701388888888889</v>
      </c>
      <c r="U61" s="94"/>
      <c r="V61" s="102">
        <f t="shared" ref="V61:V66" si="81">(T61-S61)*24*60</f>
        <v>65.000000000000014</v>
      </c>
      <c r="W61" s="18"/>
      <c r="X61" s="18"/>
      <c r="Y61" s="443"/>
      <c r="Z61" s="443"/>
      <c r="AA61" s="12">
        <f t="shared" si="2"/>
        <v>-150.46153846153902</v>
      </c>
      <c r="AB61" s="95">
        <f t="shared" si="57"/>
        <v>0.93730769230769206</v>
      </c>
      <c r="AC61" s="442">
        <f>AB67</f>
        <v>0.94121792457034348</v>
      </c>
    </row>
    <row r="62" spans="1:29" ht="15.75" customHeight="1">
      <c r="A62" s="449" t="s">
        <v>49</v>
      </c>
      <c r="B62" s="103" t="s">
        <v>79</v>
      </c>
      <c r="C62" s="441" t="s">
        <v>94</v>
      </c>
      <c r="D62" s="441"/>
      <c r="E62" s="31">
        <v>26.78</v>
      </c>
      <c r="F62" s="35">
        <v>2682</v>
      </c>
      <c r="G62" s="94">
        <f t="shared" si="76"/>
        <v>71823.960000000006</v>
      </c>
      <c r="H62" s="104" t="s">
        <v>103</v>
      </c>
      <c r="I62" s="101">
        <v>10</v>
      </c>
      <c r="J62" s="26">
        <v>3000</v>
      </c>
      <c r="K62" s="10">
        <f t="shared" si="77"/>
        <v>300</v>
      </c>
      <c r="L62" s="19">
        <v>10</v>
      </c>
      <c r="M62" s="11">
        <f t="shared" si="78"/>
        <v>2823.1578947368421</v>
      </c>
      <c r="N62" s="10">
        <f t="shared" ref="N62:N66" si="82">M62/L62</f>
        <v>282.31578947368422</v>
      </c>
      <c r="O62" s="12">
        <f t="shared" si="79"/>
        <v>0</v>
      </c>
      <c r="P62" s="13">
        <f t="shared" si="80"/>
        <v>-17.68421052631578</v>
      </c>
      <c r="Q62" s="95">
        <f t="shared" ref="Q62:Q66" si="83">N62/K62</f>
        <v>0.94105263157894736</v>
      </c>
      <c r="R62" s="442"/>
      <c r="S62" s="28">
        <v>0.1736111111111111</v>
      </c>
      <c r="T62" s="28">
        <v>0.21319444444444444</v>
      </c>
      <c r="U62" s="94">
        <f>(S62-T61)*24*60</f>
        <v>4.9999999999999822</v>
      </c>
      <c r="V62" s="102">
        <f t="shared" si="81"/>
        <v>57</v>
      </c>
      <c r="W62" s="94"/>
      <c r="X62" s="94"/>
      <c r="Y62" s="443"/>
      <c r="Z62" s="443"/>
      <c r="AA62" s="12">
        <f t="shared" si="2"/>
        <v>-176.84210526315792</v>
      </c>
      <c r="AB62" s="95">
        <f t="shared" si="57"/>
        <v>0.94105263157894736</v>
      </c>
      <c r="AC62" s="442"/>
    </row>
    <row r="63" spans="1:29" ht="15.75" customHeight="1">
      <c r="A63" s="449" t="s">
        <v>49</v>
      </c>
      <c r="B63" s="103" t="s">
        <v>79</v>
      </c>
      <c r="C63" s="441" t="s">
        <v>95</v>
      </c>
      <c r="D63" s="441"/>
      <c r="E63" s="31">
        <v>35.369999999999997</v>
      </c>
      <c r="F63" s="35">
        <v>1689</v>
      </c>
      <c r="G63" s="94">
        <f t="shared" si="76"/>
        <v>59739.929999999993</v>
      </c>
      <c r="H63" s="104" t="s">
        <v>103</v>
      </c>
      <c r="I63" s="101">
        <v>10</v>
      </c>
      <c r="J63" s="26">
        <v>3000</v>
      </c>
      <c r="K63" s="10">
        <f t="shared" si="77"/>
        <v>300</v>
      </c>
      <c r="L63" s="19">
        <v>10</v>
      </c>
      <c r="M63" s="11">
        <f t="shared" si="78"/>
        <v>2815.0000000000009</v>
      </c>
      <c r="N63" s="10">
        <f t="shared" si="82"/>
        <v>281.50000000000011</v>
      </c>
      <c r="O63" s="12">
        <f t="shared" si="79"/>
        <v>0</v>
      </c>
      <c r="P63" s="13">
        <f t="shared" si="80"/>
        <v>-18.499999999999886</v>
      </c>
      <c r="Q63" s="95">
        <f t="shared" si="83"/>
        <v>0.93833333333333369</v>
      </c>
      <c r="R63" s="442"/>
      <c r="S63" s="28">
        <v>0.21666666666666665</v>
      </c>
      <c r="T63" s="28">
        <v>0.24166666666666664</v>
      </c>
      <c r="U63" s="94">
        <f t="shared" ref="U63:U66" si="84">(S63-T62)*24*60</f>
        <v>4.9999999999999822</v>
      </c>
      <c r="V63" s="102">
        <f t="shared" si="81"/>
        <v>35.999999999999993</v>
      </c>
      <c r="W63" s="94"/>
      <c r="X63" s="94"/>
      <c r="Y63" s="443"/>
      <c r="Z63" s="443"/>
      <c r="AA63" s="12">
        <f t="shared" si="2"/>
        <v>-184.99999999999909</v>
      </c>
      <c r="AB63" s="95">
        <f t="shared" si="57"/>
        <v>0.93833333333333369</v>
      </c>
      <c r="AC63" s="442"/>
    </row>
    <row r="64" spans="1:29" ht="15.75" customHeight="1">
      <c r="A64" s="449" t="s">
        <v>49</v>
      </c>
      <c r="B64" s="103" t="s">
        <v>53</v>
      </c>
      <c r="C64" s="441" t="s">
        <v>96</v>
      </c>
      <c r="D64" s="441"/>
      <c r="E64" s="31">
        <v>26.97</v>
      </c>
      <c r="F64" s="35">
        <v>3376</v>
      </c>
      <c r="G64" s="94">
        <f t="shared" si="76"/>
        <v>91050.72</v>
      </c>
      <c r="H64" s="104" t="s">
        <v>103</v>
      </c>
      <c r="I64" s="101">
        <v>8</v>
      </c>
      <c r="J64" s="26">
        <v>1500</v>
      </c>
      <c r="K64" s="10">
        <f t="shared" si="77"/>
        <v>187.5</v>
      </c>
      <c r="L64" s="19">
        <v>8</v>
      </c>
      <c r="M64" s="11">
        <f t="shared" si="78"/>
        <v>1406.6666666666663</v>
      </c>
      <c r="N64" s="10">
        <f t="shared" si="82"/>
        <v>175.83333333333329</v>
      </c>
      <c r="O64" s="12">
        <f t="shared" si="79"/>
        <v>0</v>
      </c>
      <c r="P64" s="13">
        <f t="shared" si="80"/>
        <v>-11.666666666666714</v>
      </c>
      <c r="Q64" s="95">
        <f t="shared" si="83"/>
        <v>0.93777777777777749</v>
      </c>
      <c r="R64" s="442"/>
      <c r="S64" s="28">
        <v>0.24583333333333332</v>
      </c>
      <c r="T64" s="28">
        <v>0.34583333333333333</v>
      </c>
      <c r="U64" s="94">
        <f t="shared" si="84"/>
        <v>6.0000000000000187</v>
      </c>
      <c r="V64" s="102">
        <f t="shared" si="81"/>
        <v>144.00000000000003</v>
      </c>
      <c r="W64" s="94"/>
      <c r="X64" s="94"/>
      <c r="Y64" s="443"/>
      <c r="Z64" s="443"/>
      <c r="AA64" s="12">
        <f t="shared" si="2"/>
        <v>-93.333333333333712</v>
      </c>
      <c r="AB64" s="95">
        <f t="shared" si="57"/>
        <v>0.93777777777777749</v>
      </c>
      <c r="AC64" s="442"/>
    </row>
    <row r="65" spans="1:29">
      <c r="A65" s="450" t="s">
        <v>49</v>
      </c>
      <c r="B65" s="103" t="s">
        <v>79</v>
      </c>
      <c r="C65" s="441" t="s">
        <v>97</v>
      </c>
      <c r="D65" s="441"/>
      <c r="E65" s="31">
        <v>35.119999999999997</v>
      </c>
      <c r="F65" s="35">
        <v>1361</v>
      </c>
      <c r="G65" s="94">
        <f t="shared" si="76"/>
        <v>47798.32</v>
      </c>
      <c r="H65" s="104" t="s">
        <v>103</v>
      </c>
      <c r="I65" s="101">
        <v>13</v>
      </c>
      <c r="J65" s="26">
        <v>2000</v>
      </c>
      <c r="K65" s="10">
        <f t="shared" si="77"/>
        <v>153.84615384615384</v>
      </c>
      <c r="L65" s="19">
        <v>13</v>
      </c>
      <c r="M65" s="11">
        <f t="shared" si="78"/>
        <v>1899.0697674418602</v>
      </c>
      <c r="N65" s="10">
        <f t="shared" si="82"/>
        <v>146.08228980322002</v>
      </c>
      <c r="O65" s="12">
        <f t="shared" si="79"/>
        <v>0</v>
      </c>
      <c r="P65" s="13">
        <f t="shared" si="80"/>
        <v>-7.7638640429338182</v>
      </c>
      <c r="Q65" s="95">
        <f t="shared" si="83"/>
        <v>0.9495348837209302</v>
      </c>
      <c r="R65" s="442"/>
      <c r="S65" s="28">
        <v>0.35</v>
      </c>
      <c r="T65" s="28">
        <v>0.37986111111111109</v>
      </c>
      <c r="U65" s="94">
        <f t="shared" si="84"/>
        <v>5.9999999999999787</v>
      </c>
      <c r="V65" s="102">
        <f t="shared" si="81"/>
        <v>43.000000000000007</v>
      </c>
      <c r="W65" s="16"/>
      <c r="X65" s="16"/>
      <c r="Y65" s="443"/>
      <c r="Z65" s="443"/>
      <c r="AA65" s="12">
        <f t="shared" si="2"/>
        <v>-100.93023255813978</v>
      </c>
      <c r="AB65" s="95">
        <f t="shared" si="57"/>
        <v>0.94953488372093009</v>
      </c>
      <c r="AC65" s="442"/>
    </row>
    <row r="66" spans="1:29" ht="15" customHeight="1">
      <c r="A66" s="450" t="s">
        <v>49</v>
      </c>
      <c r="B66" s="103" t="s">
        <v>79</v>
      </c>
      <c r="C66" s="444" t="s">
        <v>98</v>
      </c>
      <c r="D66" s="445"/>
      <c r="E66" s="31">
        <v>35.869999999999997</v>
      </c>
      <c r="F66" s="35">
        <v>2642</v>
      </c>
      <c r="G66" s="94">
        <f t="shared" si="76"/>
        <v>94768.54</v>
      </c>
      <c r="H66" s="104" t="s">
        <v>103</v>
      </c>
      <c r="I66" s="101">
        <v>10</v>
      </c>
      <c r="J66" s="26">
        <v>3000</v>
      </c>
      <c r="K66" s="10">
        <f t="shared" si="77"/>
        <v>300</v>
      </c>
      <c r="L66" s="19">
        <v>10</v>
      </c>
      <c r="M66" s="11">
        <f t="shared" si="78"/>
        <v>2830.7142857142881</v>
      </c>
      <c r="N66" s="10">
        <f t="shared" si="82"/>
        <v>283.07142857142878</v>
      </c>
      <c r="O66" s="12">
        <f t="shared" si="79"/>
        <v>0</v>
      </c>
      <c r="P66" s="13">
        <f t="shared" si="80"/>
        <v>-16.928571428571217</v>
      </c>
      <c r="Q66" s="95">
        <f t="shared" si="83"/>
        <v>0.94357142857142928</v>
      </c>
      <c r="R66" s="442"/>
      <c r="S66" s="28">
        <v>0.38402777777777775</v>
      </c>
      <c r="T66" s="28">
        <v>0.42291666666666661</v>
      </c>
      <c r="U66" s="94">
        <f t="shared" si="84"/>
        <v>5.9999999999999787</v>
      </c>
      <c r="V66" s="102">
        <f t="shared" si="81"/>
        <v>55.999999999999957</v>
      </c>
      <c r="W66" s="94"/>
      <c r="X66" s="94"/>
      <c r="Y66" s="447"/>
      <c r="Z66" s="448"/>
      <c r="AA66" s="12">
        <f t="shared" si="2"/>
        <v>-169.28571428571195</v>
      </c>
      <c r="AB66" s="95">
        <f t="shared" si="57"/>
        <v>0.94357142857142939</v>
      </c>
      <c r="AC66" s="442"/>
    </row>
    <row r="67" spans="1:29">
      <c r="A67" s="450" t="s">
        <v>49</v>
      </c>
      <c r="B67" s="31" t="s">
        <v>36</v>
      </c>
      <c r="C67" s="446"/>
      <c r="D67" s="446"/>
      <c r="E67" s="93"/>
      <c r="F67" s="33"/>
      <c r="G67" s="10"/>
      <c r="H67" s="103"/>
      <c r="I67" s="19">
        <v>11.333333333333334</v>
      </c>
      <c r="J67" s="26">
        <v>2483.3333333333335</v>
      </c>
      <c r="K67" s="10">
        <f>J67/I67</f>
        <v>219.11764705882354</v>
      </c>
      <c r="L67" s="19">
        <v>11.333333333333334</v>
      </c>
      <c r="M67" s="11">
        <f>AVERAGE(M61:M66)</f>
        <v>2337.3578460163531</v>
      </c>
      <c r="N67" s="10">
        <f>M67/L67</f>
        <v>206.23745700144292</v>
      </c>
      <c r="O67" s="12">
        <f>L67-I67</f>
        <v>0</v>
      </c>
      <c r="P67" s="13">
        <f>N67-K67</f>
        <v>-12.880190057380617</v>
      </c>
      <c r="Q67" s="95">
        <f>N67/K67</f>
        <v>0.94121792457034348</v>
      </c>
      <c r="R67" s="442"/>
      <c r="S67" s="28"/>
      <c r="T67" s="28"/>
      <c r="U67" s="10"/>
      <c r="V67" s="102"/>
      <c r="W67" s="10"/>
      <c r="X67" s="10"/>
      <c r="Y67" s="443"/>
      <c r="Z67" s="443"/>
      <c r="AA67" s="12">
        <f t="shared" si="2"/>
        <v>-145.97548731698043</v>
      </c>
      <c r="AB67" s="95">
        <f t="shared" si="57"/>
        <v>0.94121792457034348</v>
      </c>
      <c r="AC67" s="442"/>
    </row>
    <row r="68" spans="1:29" ht="15.75" customHeight="1">
      <c r="A68" s="439" t="s">
        <v>169</v>
      </c>
      <c r="B68" s="103" t="s">
        <v>67</v>
      </c>
      <c r="C68" s="441" t="s">
        <v>99</v>
      </c>
      <c r="D68" s="441"/>
      <c r="E68" s="31">
        <v>20.2</v>
      </c>
      <c r="F68" s="103">
        <v>3156</v>
      </c>
      <c r="G68" s="94">
        <f t="shared" ref="G68:G73" si="85">E68*F68</f>
        <v>63751.199999999997</v>
      </c>
      <c r="H68" s="104" t="s">
        <v>103</v>
      </c>
      <c r="I68" s="101">
        <v>19</v>
      </c>
      <c r="J68" s="26">
        <v>2400</v>
      </c>
      <c r="K68" s="10">
        <f t="shared" ref="K68:K70" si="86">J68/I68</f>
        <v>126.31578947368421</v>
      </c>
      <c r="L68" s="19">
        <v>19</v>
      </c>
      <c r="M68" s="11">
        <f>F68/V68*60</f>
        <v>2254.2857142857142</v>
      </c>
      <c r="N68" s="10">
        <f t="shared" ref="N68:N73" si="87">M68/L68</f>
        <v>118.64661654135338</v>
      </c>
      <c r="O68" s="12">
        <f t="shared" ref="O68:O73" si="88">L68-I68</f>
        <v>0</v>
      </c>
      <c r="P68" s="13">
        <f t="shared" ref="P68:P73" si="89">N68-K68</f>
        <v>-7.6691729323308238</v>
      </c>
      <c r="Q68" s="95">
        <f>N68/K68</f>
        <v>0.93928571428571428</v>
      </c>
      <c r="R68" s="442">
        <f>Q74</f>
        <v>0.93962405271381511</v>
      </c>
      <c r="S68" s="28">
        <v>8.3333333333333329E-2</v>
      </c>
      <c r="T68" s="28">
        <v>0.14166666666666666</v>
      </c>
      <c r="U68" s="18"/>
      <c r="V68" s="102">
        <f t="shared" ref="V68:V73" si="90">(T68-S68)*24*60</f>
        <v>84</v>
      </c>
      <c r="W68" s="16">
        <f>T68</f>
        <v>0.14166666666666666</v>
      </c>
      <c r="X68" s="16">
        <f>S69</f>
        <v>0.15972222222222221</v>
      </c>
      <c r="Y68" s="443"/>
      <c r="Z68" s="443"/>
      <c r="AA68" s="12">
        <f t="shared" si="2"/>
        <v>-145.71428571428578</v>
      </c>
      <c r="AB68" s="95">
        <f>M68/J68</f>
        <v>0.93928571428571428</v>
      </c>
      <c r="AC68" s="442">
        <f>AB74</f>
        <v>0.93962405271381522</v>
      </c>
    </row>
    <row r="69" spans="1:29" ht="15.75" customHeight="1">
      <c r="A69" s="439" t="s">
        <v>169</v>
      </c>
      <c r="B69" s="103" t="s">
        <v>67</v>
      </c>
      <c r="C69" s="441" t="s">
        <v>100</v>
      </c>
      <c r="D69" s="441"/>
      <c r="E69" s="31">
        <v>19.02</v>
      </c>
      <c r="F69" s="103">
        <v>6500</v>
      </c>
      <c r="G69" s="94">
        <f t="shared" si="85"/>
        <v>123630</v>
      </c>
      <c r="H69" s="104">
        <v>2</v>
      </c>
      <c r="I69" s="101">
        <v>15</v>
      </c>
      <c r="J69" s="26">
        <v>2400</v>
      </c>
      <c r="K69" s="10">
        <f t="shared" si="86"/>
        <v>160</v>
      </c>
      <c r="L69" s="19">
        <v>15</v>
      </c>
      <c r="M69" s="11">
        <f t="shared" ref="M69:M73" si="91">F69/V69*60</f>
        <v>2254.3352601156066</v>
      </c>
      <c r="N69" s="10">
        <f t="shared" si="87"/>
        <v>150.28901734104045</v>
      </c>
      <c r="O69" s="12">
        <f t="shared" si="88"/>
        <v>0</v>
      </c>
      <c r="P69" s="13">
        <f t="shared" si="89"/>
        <v>-9.7109826589595514</v>
      </c>
      <c r="Q69" s="95">
        <f t="shared" ref="Q69:Q74" si="92">N69/K69</f>
        <v>0.93930635838150278</v>
      </c>
      <c r="R69" s="442"/>
      <c r="S69" s="28">
        <v>0.15972222222222221</v>
      </c>
      <c r="T69" s="28">
        <v>0.27986111111111112</v>
      </c>
      <c r="U69" s="94">
        <f>(S69-T68)*24*60</f>
        <v>25.999999999999986</v>
      </c>
      <c r="V69" s="102">
        <f t="shared" si="90"/>
        <v>173.00000000000003</v>
      </c>
      <c r="W69" s="16"/>
      <c r="X69" s="16"/>
      <c r="Y69" s="443"/>
      <c r="Z69" s="443"/>
      <c r="AA69" s="12">
        <f t="shared" ref="AA69:AA74" si="93">M69-J69</f>
        <v>-145.66473988439338</v>
      </c>
      <c r="AB69" s="95">
        <f t="shared" ref="AB69:AB74" si="94">M69/J69</f>
        <v>0.93930635838150278</v>
      </c>
      <c r="AC69" s="442"/>
    </row>
    <row r="70" spans="1:29" ht="15.75" customHeight="1">
      <c r="A70" s="439" t="s">
        <v>169</v>
      </c>
      <c r="B70" s="103" t="s">
        <v>67</v>
      </c>
      <c r="C70" s="441" t="s">
        <v>101</v>
      </c>
      <c r="D70" s="441"/>
      <c r="E70" s="31">
        <v>25</v>
      </c>
      <c r="F70" s="103">
        <v>4611</v>
      </c>
      <c r="G70" s="94">
        <f t="shared" si="85"/>
        <v>115275</v>
      </c>
      <c r="H70" s="104" t="s">
        <v>103</v>
      </c>
      <c r="I70" s="101">
        <v>15</v>
      </c>
      <c r="J70" s="26">
        <v>2400</v>
      </c>
      <c r="K70" s="10">
        <f t="shared" si="86"/>
        <v>160</v>
      </c>
      <c r="L70" s="19">
        <v>15</v>
      </c>
      <c r="M70" s="11">
        <f t="shared" si="91"/>
        <v>2249.2682926829275</v>
      </c>
      <c r="N70" s="10">
        <f t="shared" si="87"/>
        <v>149.95121951219517</v>
      </c>
      <c r="O70" s="12">
        <f t="shared" si="88"/>
        <v>0</v>
      </c>
      <c r="P70" s="13">
        <f t="shared" si="89"/>
        <v>-10.048780487804834</v>
      </c>
      <c r="Q70" s="95">
        <f t="shared" si="92"/>
        <v>0.93719512195121979</v>
      </c>
      <c r="R70" s="442"/>
      <c r="S70" s="28">
        <v>0.28333333333333333</v>
      </c>
      <c r="T70" s="28">
        <v>0.36874999999999997</v>
      </c>
      <c r="U70" s="94">
        <f t="shared" ref="U70:U73" si="95">(S70-T69)*24*60</f>
        <v>4.9999999999999822</v>
      </c>
      <c r="V70" s="102">
        <f t="shared" si="90"/>
        <v>122.99999999999996</v>
      </c>
      <c r="W70" s="16"/>
      <c r="X70" s="16"/>
      <c r="Y70" s="443"/>
      <c r="Z70" s="443"/>
      <c r="AA70" s="12">
        <f t="shared" si="93"/>
        <v>-150.73170731707251</v>
      </c>
      <c r="AB70" s="95">
        <f t="shared" si="94"/>
        <v>0.93719512195121979</v>
      </c>
      <c r="AC70" s="442"/>
    </row>
    <row r="71" spans="1:29" ht="15.75" customHeight="1">
      <c r="A71" s="439" t="s">
        <v>169</v>
      </c>
      <c r="B71" s="103" t="s">
        <v>67</v>
      </c>
      <c r="C71" s="441" t="s">
        <v>102</v>
      </c>
      <c r="D71" s="441"/>
      <c r="E71" s="31">
        <v>20.52</v>
      </c>
      <c r="F71" s="103">
        <v>5011</v>
      </c>
      <c r="G71" s="94">
        <f t="shared" si="85"/>
        <v>102825.72</v>
      </c>
      <c r="H71" s="104" t="s">
        <v>103</v>
      </c>
      <c r="I71" s="101">
        <v>18</v>
      </c>
      <c r="J71" s="26">
        <v>2400</v>
      </c>
      <c r="K71" s="10">
        <f>J71/I71</f>
        <v>133.33333333333334</v>
      </c>
      <c r="L71" s="19">
        <v>18</v>
      </c>
      <c r="M71" s="11">
        <f t="shared" si="91"/>
        <v>2260.6015037593984</v>
      </c>
      <c r="N71" s="10">
        <f t="shared" si="87"/>
        <v>125.58897243107769</v>
      </c>
      <c r="O71" s="12">
        <f t="shared" si="88"/>
        <v>0</v>
      </c>
      <c r="P71" s="13">
        <f t="shared" si="89"/>
        <v>-7.7443609022556501</v>
      </c>
      <c r="Q71" s="95">
        <f t="shared" si="92"/>
        <v>0.9419172932330826</v>
      </c>
      <c r="R71" s="442"/>
      <c r="S71" s="28">
        <v>0.3743055555555555</v>
      </c>
      <c r="T71" s="28">
        <v>0.46666666666666662</v>
      </c>
      <c r="U71" s="94">
        <f t="shared" si="95"/>
        <v>7.9999999999999716</v>
      </c>
      <c r="V71" s="102">
        <f t="shared" si="90"/>
        <v>133</v>
      </c>
      <c r="W71" s="16"/>
      <c r="X71" s="16"/>
      <c r="Y71" s="443"/>
      <c r="Z71" s="443"/>
      <c r="AA71" s="12">
        <f t="shared" si="93"/>
        <v>-139.39849624060162</v>
      </c>
      <c r="AB71" s="95">
        <f t="shared" si="94"/>
        <v>0.94191729323308271</v>
      </c>
      <c r="AC71" s="442"/>
    </row>
    <row r="72" spans="1:29" ht="15.75" customHeight="1">
      <c r="A72" s="439" t="s">
        <v>169</v>
      </c>
      <c r="B72" s="103" t="s">
        <v>67</v>
      </c>
      <c r="C72" s="441" t="s">
        <v>71</v>
      </c>
      <c r="D72" s="441"/>
      <c r="E72" s="31">
        <v>22.35</v>
      </c>
      <c r="F72" s="103">
        <v>1918</v>
      </c>
      <c r="G72" s="94">
        <f t="shared" si="85"/>
        <v>42867.3</v>
      </c>
      <c r="H72" s="104" t="s">
        <v>103</v>
      </c>
      <c r="I72" s="101">
        <v>16</v>
      </c>
      <c r="J72" s="26">
        <v>2400</v>
      </c>
      <c r="K72" s="10">
        <f t="shared" ref="K72:K74" si="96">J72/I72</f>
        <v>150</v>
      </c>
      <c r="L72" s="19">
        <v>16</v>
      </c>
      <c r="M72" s="11">
        <f t="shared" si="91"/>
        <v>2256.4705882352919</v>
      </c>
      <c r="N72" s="10">
        <f t="shared" si="87"/>
        <v>141.02941176470574</v>
      </c>
      <c r="O72" s="12">
        <f t="shared" si="88"/>
        <v>0</v>
      </c>
      <c r="P72" s="13">
        <f t="shared" si="89"/>
        <v>-8.9705882352942581</v>
      </c>
      <c r="Q72" s="95">
        <f t="shared" si="92"/>
        <v>0.94019607843137165</v>
      </c>
      <c r="R72" s="442"/>
      <c r="S72" s="28">
        <v>0.47152777777777771</v>
      </c>
      <c r="T72" s="28">
        <v>0.50694444444444442</v>
      </c>
      <c r="U72" s="94">
        <f t="shared" si="95"/>
        <v>6.9999999999999751</v>
      </c>
      <c r="V72" s="102">
        <f t="shared" si="90"/>
        <v>51.000000000000057</v>
      </c>
      <c r="W72" s="16">
        <f>T72</f>
        <v>0.50694444444444442</v>
      </c>
      <c r="X72" s="16">
        <f>S73</f>
        <v>0.54861111111111105</v>
      </c>
      <c r="Y72" s="443"/>
      <c r="Z72" s="443"/>
      <c r="AA72" s="12">
        <f t="shared" si="93"/>
        <v>-143.52941176470813</v>
      </c>
      <c r="AB72" s="95">
        <f t="shared" si="94"/>
        <v>0.94019607843137165</v>
      </c>
      <c r="AC72" s="442"/>
    </row>
    <row r="73" spans="1:29" ht="15.75" customHeight="1">
      <c r="A73" s="439" t="s">
        <v>235</v>
      </c>
      <c r="B73" s="103" t="s">
        <v>67</v>
      </c>
      <c r="C73" s="441" t="s">
        <v>100</v>
      </c>
      <c r="D73" s="441"/>
      <c r="E73" s="31">
        <v>19.02</v>
      </c>
      <c r="F73" s="103">
        <v>4812</v>
      </c>
      <c r="G73" s="94">
        <f t="shared" si="85"/>
        <v>91524.239999999991</v>
      </c>
      <c r="H73" s="104" t="s">
        <v>103</v>
      </c>
      <c r="I73" s="101">
        <v>15</v>
      </c>
      <c r="J73" s="26">
        <v>2400</v>
      </c>
      <c r="K73" s="10">
        <f t="shared" si="96"/>
        <v>160</v>
      </c>
      <c r="L73" s="19">
        <v>15</v>
      </c>
      <c r="M73" s="11">
        <f t="shared" si="91"/>
        <v>2255.6249999999995</v>
      </c>
      <c r="N73" s="10">
        <f t="shared" si="87"/>
        <v>150.37499999999997</v>
      </c>
      <c r="O73" s="12">
        <f t="shared" si="88"/>
        <v>0</v>
      </c>
      <c r="P73" s="13">
        <f t="shared" si="89"/>
        <v>-9.6250000000000284</v>
      </c>
      <c r="Q73" s="95">
        <f t="shared" si="92"/>
        <v>0.93984374999999987</v>
      </c>
      <c r="R73" s="442"/>
      <c r="S73" s="28">
        <v>0.54861111111111105</v>
      </c>
      <c r="T73" s="28">
        <v>0.63749999999999996</v>
      </c>
      <c r="U73" s="94">
        <f t="shared" si="95"/>
        <v>59.999999999999943</v>
      </c>
      <c r="V73" s="102">
        <f t="shared" si="90"/>
        <v>128.00000000000003</v>
      </c>
      <c r="W73" s="16"/>
      <c r="X73" s="16"/>
      <c r="Y73" s="443"/>
      <c r="Z73" s="443"/>
      <c r="AA73" s="12">
        <f t="shared" si="93"/>
        <v>-144.37500000000045</v>
      </c>
      <c r="AB73" s="95">
        <f t="shared" si="94"/>
        <v>0.93984374999999976</v>
      </c>
      <c r="AC73" s="442"/>
    </row>
    <row r="74" spans="1:29" ht="16.5" customHeight="1">
      <c r="A74" s="440" t="s">
        <v>235</v>
      </c>
      <c r="B74" s="31" t="s">
        <v>236</v>
      </c>
      <c r="C74" s="446"/>
      <c r="D74" s="446"/>
      <c r="E74" s="93"/>
      <c r="F74" s="33"/>
      <c r="G74" s="10"/>
      <c r="H74" s="103"/>
      <c r="I74" s="19">
        <v>16.333333333333332</v>
      </c>
      <c r="J74" s="26">
        <v>2400</v>
      </c>
      <c r="K74" s="10">
        <f t="shared" si="96"/>
        <v>146.9387755102041</v>
      </c>
      <c r="L74" s="19">
        <v>16.333333333333332</v>
      </c>
      <c r="M74" s="11">
        <f>AVERAGE(M68:M73)</f>
        <v>2255.0977265131564</v>
      </c>
      <c r="N74" s="10">
        <f>M74/L74</f>
        <v>138.06720774570346</v>
      </c>
      <c r="O74" s="12">
        <f>L74-I74</f>
        <v>0</v>
      </c>
      <c r="P74" s="13">
        <f>N74-K74</f>
        <v>-8.8715677645006394</v>
      </c>
      <c r="Q74" s="95">
        <f t="shared" si="92"/>
        <v>0.93962405271381511</v>
      </c>
      <c r="R74" s="442"/>
      <c r="S74" s="28"/>
      <c r="T74" s="28"/>
      <c r="U74" s="10"/>
      <c r="V74" s="102"/>
      <c r="W74" s="10"/>
      <c r="X74" s="10"/>
      <c r="Y74" s="443"/>
      <c r="Z74" s="443"/>
      <c r="AA74" s="12">
        <f t="shared" si="93"/>
        <v>-144.90227348684357</v>
      </c>
      <c r="AB74" s="95">
        <f t="shared" si="94"/>
        <v>0.93962405271381522</v>
      </c>
      <c r="AC74" s="442"/>
    </row>
    <row r="75" spans="1:29">
      <c r="D75" s="22"/>
      <c r="E75" s="22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3"/>
    <mergeCell ref="C9:D9"/>
    <mergeCell ref="R9:R13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4:AC18"/>
    <mergeCell ref="C15:D15"/>
    <mergeCell ref="Y15:Z15"/>
    <mergeCell ref="C16:D16"/>
    <mergeCell ref="Y16:Z16"/>
    <mergeCell ref="C17:D17"/>
    <mergeCell ref="AC9:AC13"/>
    <mergeCell ref="C10:D10"/>
    <mergeCell ref="Y10:Z10"/>
    <mergeCell ref="C11:D11"/>
    <mergeCell ref="Y11:Z11"/>
    <mergeCell ref="C12:D12"/>
    <mergeCell ref="Y12:Z12"/>
    <mergeCell ref="C13:D13"/>
    <mergeCell ref="Y13:Z13"/>
    <mergeCell ref="Y17:Z17"/>
    <mergeCell ref="C18:D18"/>
    <mergeCell ref="Y18:Z18"/>
    <mergeCell ref="A19:A25"/>
    <mergeCell ref="C19:D19"/>
    <mergeCell ref="R19:R25"/>
    <mergeCell ref="Y19:Z19"/>
    <mergeCell ref="Y24:Z24"/>
    <mergeCell ref="C25:D25"/>
    <mergeCell ref="Y25:Z25"/>
    <mergeCell ref="A14:A18"/>
    <mergeCell ref="C14:D14"/>
    <mergeCell ref="R14:R18"/>
    <mergeCell ref="Y14:Z14"/>
    <mergeCell ref="AC26:AC34"/>
    <mergeCell ref="C27:D27"/>
    <mergeCell ref="Y27:Z27"/>
    <mergeCell ref="C28:D28"/>
    <mergeCell ref="Y28:Z28"/>
    <mergeCell ref="C29:D29"/>
    <mergeCell ref="AC19:AC25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Y29:Z29"/>
    <mergeCell ref="C30:D30"/>
    <mergeCell ref="Y30:Z30"/>
    <mergeCell ref="C31:D31"/>
    <mergeCell ref="Y31:Z31"/>
    <mergeCell ref="C32:D32"/>
    <mergeCell ref="Y32:Z32"/>
    <mergeCell ref="A26:A34"/>
    <mergeCell ref="C26:D26"/>
    <mergeCell ref="R26:R34"/>
    <mergeCell ref="Y26:Z26"/>
    <mergeCell ref="C33:D33"/>
    <mergeCell ref="Y33:Z33"/>
    <mergeCell ref="C34:D34"/>
    <mergeCell ref="Y34:Z34"/>
    <mergeCell ref="A35:A45"/>
    <mergeCell ref="C35:D35"/>
    <mergeCell ref="R35:R45"/>
    <mergeCell ref="Y35:Z35"/>
    <mergeCell ref="Y40:Z40"/>
    <mergeCell ref="C41:D41"/>
    <mergeCell ref="Y41:Z41"/>
    <mergeCell ref="C42:D42"/>
    <mergeCell ref="Y42:Z42"/>
    <mergeCell ref="C43:D43"/>
    <mergeCell ref="Y43:Z43"/>
    <mergeCell ref="C44:D44"/>
    <mergeCell ref="Y44:Z44"/>
    <mergeCell ref="AC35:AC45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C45:D45"/>
    <mergeCell ref="Y45:Z45"/>
    <mergeCell ref="A46:A53"/>
    <mergeCell ref="C46:D46"/>
    <mergeCell ref="R46:R53"/>
    <mergeCell ref="Y46:Z46"/>
    <mergeCell ref="Y51:Z51"/>
    <mergeCell ref="C52:D52"/>
    <mergeCell ref="Y52:Z52"/>
    <mergeCell ref="C53:D53"/>
    <mergeCell ref="Y53:Z53"/>
    <mergeCell ref="A54:A60"/>
    <mergeCell ref="C54:D54"/>
    <mergeCell ref="R54:R60"/>
    <mergeCell ref="Y54:Z54"/>
    <mergeCell ref="AC54:AC60"/>
    <mergeCell ref="C55:D55"/>
    <mergeCell ref="Y55:Z55"/>
    <mergeCell ref="C56:D56"/>
    <mergeCell ref="C59:D59"/>
    <mergeCell ref="Y59:Z59"/>
    <mergeCell ref="C60:D60"/>
    <mergeCell ref="Y60:Z60"/>
    <mergeCell ref="AC46:AC53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A61:A67"/>
    <mergeCell ref="C61:D61"/>
    <mergeCell ref="R61:R67"/>
    <mergeCell ref="Y61:Z61"/>
    <mergeCell ref="Y66:Z66"/>
    <mergeCell ref="C67:D67"/>
    <mergeCell ref="Y67:Z67"/>
    <mergeCell ref="AC68:AC74"/>
    <mergeCell ref="C69:D69"/>
    <mergeCell ref="Y69:Z69"/>
    <mergeCell ref="C70:D70"/>
    <mergeCell ref="Y70:Z70"/>
    <mergeCell ref="C71:D71"/>
    <mergeCell ref="AC61:AC67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71:Z71"/>
    <mergeCell ref="C72:D72"/>
    <mergeCell ref="Y72:Z72"/>
    <mergeCell ref="C73:D73"/>
    <mergeCell ref="Y73:Z73"/>
    <mergeCell ref="C74:D74"/>
    <mergeCell ref="Y74:Z74"/>
    <mergeCell ref="A68:A74"/>
    <mergeCell ref="C68:D68"/>
    <mergeCell ref="R68:R74"/>
    <mergeCell ref="Y68:Z68"/>
  </mergeCells>
  <phoneticPr fontId="3" type="noConversion"/>
  <conditionalFormatting sqref="O64:O74 O5:O9 O13:O15 O53:O61 O18:O51">
    <cfRule type="cellIs" dxfId="104" priority="41" operator="greaterThan">
      <formula>0</formula>
    </cfRule>
  </conditionalFormatting>
  <conditionalFormatting sqref="P5:P7 P64:P66 AA64:AA66 P68:P73 P26:P33 P61 P9 P13:P15 P19:P24 P54:P59 P35:P51 AA5:AA61 AA68:AA74">
    <cfRule type="cellIs" dxfId="103" priority="45" operator="lessThan">
      <formula>0</formula>
    </cfRule>
  </conditionalFormatting>
  <conditionalFormatting sqref="AB64:AB66 Q64:Q74 Q5:Q9 Q13:Q15 Q53:Q61 Q18:Q51 AB5:AB61 AB68:AB74">
    <cfRule type="cellIs" dxfId="102" priority="42" operator="greaterThan">
      <formula>1</formula>
    </cfRule>
    <cfRule type="cellIs" dxfId="101" priority="43" operator="lessThan">
      <formula>0.8</formula>
    </cfRule>
  </conditionalFormatting>
  <conditionalFormatting sqref="AC14:AC15 R14:R15 AC64 R18:R42 AC18:AC42 R64:R74 AC5:AC9 R5:R9 R45:R51 AC45:AC51 AC53:AC61 R53:R61">
    <cfRule type="cellIs" dxfId="100" priority="47" operator="lessThan">
      <formula>0.8</formula>
    </cfRule>
  </conditionalFormatting>
  <conditionalFormatting sqref="AC46">
    <cfRule type="cellIs" dxfId="99" priority="49" operator="lessThan">
      <formula>0.8</formula>
    </cfRule>
  </conditionalFormatting>
  <conditionalFormatting sqref="AC19:AC24">
    <cfRule type="cellIs" dxfId="98" priority="46" operator="lessThan">
      <formula>0.8</formula>
    </cfRule>
  </conditionalFormatting>
  <conditionalFormatting sqref="AC26">
    <cfRule type="cellIs" dxfId="97" priority="48" operator="lessThan">
      <formula>0.8</formula>
    </cfRule>
  </conditionalFormatting>
  <conditionalFormatting sqref="AC35:AC42">
    <cfRule type="cellIs" dxfId="96" priority="44" operator="lessThan">
      <formula>0.8</formula>
    </cfRule>
  </conditionalFormatting>
  <conditionalFormatting sqref="AA67">
    <cfRule type="cellIs" dxfId="95" priority="40" operator="lessThan">
      <formula>0</formula>
    </cfRule>
  </conditionalFormatting>
  <conditionalFormatting sqref="AB67">
    <cfRule type="cellIs" dxfId="94" priority="38" operator="greaterThan">
      <formula>1</formula>
    </cfRule>
    <cfRule type="cellIs" dxfId="93" priority="39" operator="lessThan">
      <formula>0.8</formula>
    </cfRule>
  </conditionalFormatting>
  <conditionalFormatting sqref="O16:O17">
    <cfRule type="cellIs" dxfId="92" priority="33" operator="greaterThan">
      <formula>0</formula>
    </cfRule>
  </conditionalFormatting>
  <conditionalFormatting sqref="P16:P17">
    <cfRule type="cellIs" dxfId="91" priority="36" operator="lessThan">
      <formula>0</formula>
    </cfRule>
  </conditionalFormatting>
  <conditionalFormatting sqref="Q16:Q17">
    <cfRule type="cellIs" dxfId="90" priority="34" operator="greaterThan">
      <formula>1</formula>
    </cfRule>
    <cfRule type="cellIs" dxfId="89" priority="35" operator="lessThan">
      <formula>0.8</formula>
    </cfRule>
  </conditionalFormatting>
  <conditionalFormatting sqref="R16:R17 AC16:AC17">
    <cfRule type="cellIs" dxfId="88" priority="37" operator="lessThan">
      <formula>0.8</formula>
    </cfRule>
  </conditionalFormatting>
  <conditionalFormatting sqref="O10:O12">
    <cfRule type="cellIs" dxfId="87" priority="29" operator="greaterThan">
      <formula>0</formula>
    </cfRule>
  </conditionalFormatting>
  <conditionalFormatting sqref="P10:P12">
    <cfRule type="cellIs" dxfId="86" priority="32" operator="lessThan">
      <formula>0</formula>
    </cfRule>
  </conditionalFormatting>
  <conditionalFormatting sqref="Q10:Q12">
    <cfRule type="cellIs" dxfId="85" priority="30" operator="greaterThan">
      <formula>1</formula>
    </cfRule>
    <cfRule type="cellIs" dxfId="84" priority="31" operator="lessThan">
      <formula>0.8</formula>
    </cfRule>
  </conditionalFormatting>
  <conditionalFormatting sqref="R43 AC43">
    <cfRule type="cellIs" dxfId="83" priority="28" operator="lessThan">
      <formula>0.8</formula>
    </cfRule>
  </conditionalFormatting>
  <conditionalFormatting sqref="AC43">
    <cfRule type="cellIs" dxfId="82" priority="27" operator="lessThan">
      <formula>0.8</formula>
    </cfRule>
  </conditionalFormatting>
  <conditionalFormatting sqref="O63">
    <cfRule type="cellIs" dxfId="81" priority="22" operator="greaterThan">
      <formula>0</formula>
    </cfRule>
  </conditionalFormatting>
  <conditionalFormatting sqref="P63 AA63">
    <cfRule type="cellIs" dxfId="80" priority="25" operator="lessThan">
      <formula>0</formula>
    </cfRule>
  </conditionalFormatting>
  <conditionalFormatting sqref="Q63 AB63">
    <cfRule type="cellIs" dxfId="79" priority="23" operator="greaterThan">
      <formula>1</formula>
    </cfRule>
    <cfRule type="cellIs" dxfId="78" priority="24" operator="lessThan">
      <formula>0.8</formula>
    </cfRule>
  </conditionalFormatting>
  <conditionalFormatting sqref="R63 AC63">
    <cfRule type="cellIs" dxfId="77" priority="26" operator="lessThan">
      <formula>0.8</formula>
    </cfRule>
  </conditionalFormatting>
  <conditionalFormatting sqref="O52">
    <cfRule type="cellIs" dxfId="76" priority="16" operator="greaterThan">
      <formula>0</formula>
    </cfRule>
  </conditionalFormatting>
  <conditionalFormatting sqref="P52">
    <cfRule type="cellIs" dxfId="75" priority="20" operator="lessThan">
      <formula>0</formula>
    </cfRule>
  </conditionalFormatting>
  <conditionalFormatting sqref="Q52">
    <cfRule type="cellIs" dxfId="74" priority="17" operator="greaterThan">
      <formula>1</formula>
    </cfRule>
    <cfRule type="cellIs" dxfId="73" priority="18" operator="lessThan">
      <formula>0.8</formula>
    </cfRule>
  </conditionalFormatting>
  <conditionalFormatting sqref="R52 AC52">
    <cfRule type="cellIs" dxfId="72" priority="21" operator="lessThan">
      <formula>0.8</formula>
    </cfRule>
  </conditionalFormatting>
  <conditionalFormatting sqref="AC52">
    <cfRule type="cellIs" dxfId="71" priority="19" operator="lessThan">
      <formula>0.8</formula>
    </cfRule>
  </conditionalFormatting>
  <conditionalFormatting sqref="O62">
    <cfRule type="cellIs" dxfId="70" priority="11" operator="greaterThan">
      <formula>0</formula>
    </cfRule>
  </conditionalFormatting>
  <conditionalFormatting sqref="P62 AA62">
    <cfRule type="cellIs" dxfId="69" priority="14" operator="lessThan">
      <formula>0</formula>
    </cfRule>
  </conditionalFormatting>
  <conditionalFormatting sqref="Q62 AB62">
    <cfRule type="cellIs" dxfId="68" priority="12" operator="greaterThan">
      <formula>1</formula>
    </cfRule>
    <cfRule type="cellIs" dxfId="67" priority="13" operator="lessThan">
      <formula>0.8</formula>
    </cfRule>
  </conditionalFormatting>
  <conditionalFormatting sqref="R62 AC62">
    <cfRule type="cellIs" dxfId="66" priority="15" operator="lessThan">
      <formula>0.8</formula>
    </cfRule>
  </conditionalFormatting>
  <conditionalFormatting sqref="P8">
    <cfRule type="cellIs" dxfId="65" priority="10" operator="lessThan">
      <formula>0</formula>
    </cfRule>
  </conditionalFormatting>
  <conditionalFormatting sqref="P18">
    <cfRule type="cellIs" dxfId="64" priority="9" operator="lessThan">
      <formula>0</formula>
    </cfRule>
  </conditionalFormatting>
  <conditionalFormatting sqref="P25">
    <cfRule type="cellIs" dxfId="63" priority="8" operator="lessThan">
      <formula>0</formula>
    </cfRule>
  </conditionalFormatting>
  <conditionalFormatting sqref="P34">
    <cfRule type="cellIs" dxfId="62" priority="7" operator="lessThan">
      <formula>0</formula>
    </cfRule>
  </conditionalFormatting>
  <conditionalFormatting sqref="P53">
    <cfRule type="cellIs" dxfId="61" priority="6" operator="lessThan">
      <formula>0</formula>
    </cfRule>
  </conditionalFormatting>
  <conditionalFormatting sqref="P60">
    <cfRule type="cellIs" dxfId="60" priority="5" operator="lessThan">
      <formula>0</formula>
    </cfRule>
  </conditionalFormatting>
  <conditionalFormatting sqref="P67">
    <cfRule type="cellIs" dxfId="59" priority="4" operator="lessThan">
      <formula>0</formula>
    </cfRule>
  </conditionalFormatting>
  <conditionalFormatting sqref="P74">
    <cfRule type="cellIs" dxfId="58" priority="3" operator="lessThan">
      <formula>0</formula>
    </cfRule>
  </conditionalFormatting>
  <conditionalFormatting sqref="R44 AC44">
    <cfRule type="cellIs" dxfId="57" priority="2" operator="lessThan">
      <formula>0.8</formula>
    </cfRule>
  </conditionalFormatting>
  <conditionalFormatting sqref="AC44">
    <cfRule type="cellIs" dxfId="56" priority="1" operator="lessThan">
      <formula>0.8</formula>
    </cfRule>
  </conditionalFormatting>
  <dataValidations count="1">
    <dataValidation type="list" allowBlank="1" showInputMessage="1" showErrorMessage="1" sqref="Z8 Z65:Z66 Y5:Z7 Y8:Y66 Z10:Z61 Y67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B1:Q28"/>
  <sheetViews>
    <sheetView zoomScale="70" zoomScaleNormal="70" workbookViewId="0">
      <selection activeCell="E13" sqref="E13"/>
    </sheetView>
  </sheetViews>
  <sheetFormatPr defaultColWidth="8.75" defaultRowHeight="15.75"/>
  <cols>
    <col min="1" max="1" width="8.75" style="42"/>
    <col min="2" max="2" width="17.875" style="42" customWidth="1"/>
    <col min="3" max="3" width="9.25" style="49" customWidth="1"/>
    <col min="4" max="13" width="12.625" style="42" customWidth="1"/>
    <col min="14" max="14" width="11" style="42" bestFit="1" customWidth="1"/>
    <col min="15" max="15" width="17.75" style="42" bestFit="1" customWidth="1"/>
    <col min="16" max="16" width="12.25" style="42" bestFit="1" customWidth="1"/>
    <col min="17" max="22" width="9.25" style="42" customWidth="1"/>
    <col min="23" max="23" width="10.75" style="42" customWidth="1"/>
    <col min="24" max="24" width="11" style="42" customWidth="1"/>
    <col min="25" max="16384" width="8.75" style="42"/>
  </cols>
  <sheetData>
    <row r="1" spans="2:17" ht="27.75" customHeight="1">
      <c r="B1" s="418" t="s">
        <v>108</v>
      </c>
      <c r="C1" s="418"/>
      <c r="D1" s="418"/>
      <c r="E1" s="418"/>
      <c r="F1" s="418"/>
      <c r="G1" s="418"/>
      <c r="H1" s="418"/>
      <c r="I1" s="418"/>
      <c r="J1" s="418"/>
      <c r="K1" s="41"/>
      <c r="L1" s="41"/>
      <c r="M1" s="41"/>
      <c r="N1" s="41"/>
      <c r="O1" s="41"/>
      <c r="P1" s="41"/>
    </row>
    <row r="2" spans="2:17" ht="27.75" customHeight="1">
      <c r="B2" s="419"/>
      <c r="C2" s="419"/>
      <c r="D2" s="419"/>
      <c r="E2" s="419"/>
      <c r="F2" s="419"/>
      <c r="G2" s="419"/>
      <c r="H2" s="419"/>
      <c r="I2" s="419"/>
      <c r="J2" s="419"/>
      <c r="K2" s="43"/>
      <c r="L2" s="43"/>
      <c r="M2" s="43"/>
      <c r="N2" s="41"/>
      <c r="O2" s="41"/>
      <c r="P2" s="41"/>
    </row>
    <row r="3" spans="2:17" ht="46.5" customHeight="1">
      <c r="B3" s="44" t="s">
        <v>109</v>
      </c>
      <c r="C3" s="493" t="str">
        <f>TEXT('0901 4度C'!A2,"yyyy.mm.ddaaaa")</f>
        <v>2025.09.01星期一</v>
      </c>
      <c r="D3" s="493"/>
      <c r="E3" s="44" t="s">
        <v>110</v>
      </c>
      <c r="F3" s="494">
        <f>'0901 4度C'!D1</f>
        <v>175232</v>
      </c>
      <c r="G3" s="494"/>
      <c r="H3" s="44" t="s">
        <v>111</v>
      </c>
      <c r="I3" s="495">
        <f>'0901 4度C'!F1</f>
        <v>6002768.9399999995</v>
      </c>
      <c r="J3" s="495"/>
      <c r="K3" s="45"/>
      <c r="L3" s="46"/>
      <c r="M3" s="47"/>
      <c r="N3" s="47"/>
    </row>
    <row r="4" spans="2:17" ht="28.5" customHeight="1">
      <c r="B4" s="496" t="s">
        <v>112</v>
      </c>
      <c r="C4" s="496" t="s">
        <v>113</v>
      </c>
      <c r="D4" s="496"/>
      <c r="E4" s="497" t="s">
        <v>114</v>
      </c>
      <c r="F4" s="497"/>
      <c r="G4" s="497" t="s">
        <v>115</v>
      </c>
      <c r="H4" s="497"/>
      <c r="I4" s="497" t="s">
        <v>116</v>
      </c>
      <c r="J4" s="497"/>
      <c r="L4" s="47"/>
      <c r="M4" s="47"/>
      <c r="N4" s="47"/>
    </row>
    <row r="5" spans="2:17" ht="28.5" customHeight="1">
      <c r="B5" s="496"/>
      <c r="C5" s="496" t="s">
        <v>117</v>
      </c>
      <c r="D5" s="496"/>
      <c r="E5" s="496" t="s">
        <v>118</v>
      </c>
      <c r="F5" s="496"/>
      <c r="G5" s="498" t="s">
        <v>119</v>
      </c>
      <c r="H5" s="498"/>
      <c r="I5" s="499" t="s">
        <v>120</v>
      </c>
      <c r="J5" s="499"/>
      <c r="K5" s="47"/>
      <c r="L5" s="47"/>
      <c r="M5" s="47"/>
      <c r="N5" s="47"/>
    </row>
    <row r="6" spans="2:17" ht="28.5" customHeight="1">
      <c r="B6" s="496"/>
      <c r="C6" s="496" t="s">
        <v>121</v>
      </c>
      <c r="D6" s="496"/>
      <c r="E6" s="500">
        <f>AVERAGE(D13:M13)</f>
        <v>146.01415590005493</v>
      </c>
      <c r="F6" s="496">
        <f>AVERAGE(D27:O27,D13:J13)</f>
        <v>149.05218756817422</v>
      </c>
      <c r="G6" s="501">
        <f>AVERAGE(D13:J13)</f>
        <v>149.05218756817422</v>
      </c>
      <c r="H6" s="501"/>
      <c r="I6" s="501">
        <f>AVERAGE(K13:M13)</f>
        <v>138.92541534110993</v>
      </c>
      <c r="J6" s="501"/>
      <c r="K6" s="47"/>
      <c r="L6" s="47"/>
      <c r="M6" s="47"/>
      <c r="N6" s="47"/>
    </row>
    <row r="7" spans="2:17" ht="28.5" customHeight="1">
      <c r="B7" s="496"/>
      <c r="C7" s="504" t="s">
        <v>122</v>
      </c>
      <c r="D7" s="504"/>
      <c r="E7" s="505">
        <f>AVERAGE(D14:M14)</f>
        <v>137.87421168134961</v>
      </c>
      <c r="F7" s="506">
        <f>AVERAGE(D28:O28,D14:J14)</f>
        <v>140.95348752124843</v>
      </c>
      <c r="G7" s="507">
        <f>AVERAGE(D14:J14)</f>
        <v>140.95348752124843</v>
      </c>
      <c r="H7" s="507"/>
      <c r="I7" s="507">
        <f>AVERAGE(K14:M14)</f>
        <v>130.68923472158562</v>
      </c>
      <c r="J7" s="507"/>
      <c r="K7" s="47"/>
      <c r="L7" s="47"/>
      <c r="M7" s="47"/>
      <c r="N7" s="47"/>
    </row>
    <row r="8" spans="2:17" ht="28.5" customHeight="1">
      <c r="B8" s="496"/>
      <c r="C8" s="504" t="s">
        <v>123</v>
      </c>
      <c r="D8" s="504"/>
      <c r="E8" s="508">
        <f>AVERAGE(D15:M15)</f>
        <v>0.94393103494204644</v>
      </c>
      <c r="F8" s="504">
        <f>AVERAGE(D15:J15,D29:O29)</f>
        <v>0.94528157078705277</v>
      </c>
      <c r="G8" s="509">
        <f>AVERAGE(D15:J15)</f>
        <v>0.94528157078705277</v>
      </c>
      <c r="H8" s="509"/>
      <c r="I8" s="509">
        <f>AVERAGE(K15:M15)</f>
        <v>0.94077978463703182</v>
      </c>
      <c r="J8" s="509"/>
      <c r="K8" s="48" t="s">
        <v>124</v>
      </c>
      <c r="L8" s="47"/>
      <c r="M8" s="47"/>
      <c r="N8" s="47"/>
    </row>
    <row r="9" spans="2:17" ht="28.5" customHeight="1" thickBot="1">
      <c r="H9" s="50"/>
      <c r="N9" s="47"/>
      <c r="O9" s="47"/>
      <c r="P9" s="47"/>
      <c r="Q9" s="47"/>
    </row>
    <row r="10" spans="2:17" ht="30" customHeight="1">
      <c r="B10" s="413" t="s">
        <v>125</v>
      </c>
      <c r="C10" s="414"/>
      <c r="D10" s="415" t="s">
        <v>126</v>
      </c>
      <c r="E10" s="416"/>
      <c r="F10" s="416"/>
      <c r="G10" s="416"/>
      <c r="H10" s="416"/>
      <c r="I10" s="416"/>
      <c r="J10" s="417"/>
      <c r="K10" s="389" t="s">
        <v>127</v>
      </c>
      <c r="L10" s="390"/>
      <c r="M10" s="391"/>
      <c r="P10" s="51"/>
      <c r="Q10" s="51"/>
    </row>
    <row r="11" spans="2:17" ht="17.25" customHeight="1">
      <c r="B11" s="503" t="s">
        <v>128</v>
      </c>
      <c r="C11" s="514"/>
      <c r="D11" s="52">
        <v>1</v>
      </c>
      <c r="E11" s="53">
        <v>2</v>
      </c>
      <c r="F11" s="53">
        <v>3</v>
      </c>
      <c r="G11" s="53">
        <v>4</v>
      </c>
      <c r="H11" s="53">
        <v>5</v>
      </c>
      <c r="I11" s="53">
        <v>6</v>
      </c>
      <c r="J11" s="54">
        <v>7</v>
      </c>
      <c r="K11" s="52">
        <v>1</v>
      </c>
      <c r="L11" s="53">
        <v>2</v>
      </c>
      <c r="M11" s="54">
        <v>3</v>
      </c>
      <c r="P11" s="51"/>
      <c r="Q11" s="51"/>
    </row>
    <row r="12" spans="2:17" ht="34.15" customHeight="1">
      <c r="B12" s="503"/>
      <c r="C12" s="514"/>
      <c r="D12" s="55" t="s">
        <v>129</v>
      </c>
      <c r="E12" s="56" t="s">
        <v>130</v>
      </c>
      <c r="F12" s="56" t="s">
        <v>131</v>
      </c>
      <c r="G12" s="56" t="s">
        <v>132</v>
      </c>
      <c r="H12" s="56" t="s">
        <v>133</v>
      </c>
      <c r="I12" s="56" t="s">
        <v>134</v>
      </c>
      <c r="J12" s="57" t="s">
        <v>135</v>
      </c>
      <c r="K12" s="55" t="s">
        <v>136</v>
      </c>
      <c r="L12" s="56" t="s">
        <v>137</v>
      </c>
      <c r="M12" s="57" t="s">
        <v>138</v>
      </c>
    </row>
    <row r="13" spans="2:17" ht="40.15" customHeight="1">
      <c r="B13" s="515" t="s">
        <v>139</v>
      </c>
      <c r="C13" s="58" t="s">
        <v>140</v>
      </c>
      <c r="D13" s="59">
        <f>SUMIFS('0901 4度C'!$K:$K,'0901 4度C'!$A:$A,"新豐6線",'0901 4度C'!$B:$B,"平均")</f>
        <v>117.64705882352941</v>
      </c>
      <c r="E13" s="60">
        <f>SUMIFS('0901 4度C'!$K:$K,'0901 4度C'!$A:$A,"新豐2線",'0901 4度C'!$B:$B,"平均")</f>
        <v>82.417582417582423</v>
      </c>
      <c r="F13" s="61">
        <f>SUMIFS('0901 4度C'!$K:$K,'0901 4度C'!$A:$A,"新豐5線",'0901 4度C'!$B:$B,"平均")</f>
        <v>93.220338983050837</v>
      </c>
      <c r="G13" s="61">
        <f>SUMIFS('0901 4度C'!$K:$K,'0901 4度C'!$A:$A,"新豐7線",'0901 4度C'!$B:$B,"平均")</f>
        <v>116.50485436893203</v>
      </c>
      <c r="H13" s="61">
        <f>SUMIFS('0901 4度C'!$K:$K,'0901 4度C'!$A:$A,"新豐3線",'0901 4度C'!$B:$B,"平均")</f>
        <v>300</v>
      </c>
      <c r="I13" s="61">
        <f>SUMIFS('0901 4度C'!$K:$K,'0901 4度C'!$A:$A,"新豐1線",'0901 4度C'!$B:$B,"平均")</f>
        <v>114.4578313253012</v>
      </c>
      <c r="J13" s="62">
        <f>SUMIFS('0901 4度C'!$K:$K,'0901 4度C'!$A:$A,"新豐10線",'0901 4度C'!$B:$B,"平均")</f>
        <v>219.11764705882354</v>
      </c>
      <c r="K13" s="63">
        <f>SUMIFS('0901 4度C'!$K:$K,'0901 4度C'!$A:$A,"新豐8線",'0901 4度C'!$B:$B,"平均")</f>
        <v>140</v>
      </c>
      <c r="L13" s="64">
        <f>SUMIFS('0901 4度C'!$K:$K,'0901 4度C'!$A:$A,"新豐9線",'0901 4度C'!$B:$B,"平均")</f>
        <v>130.43478260869566</v>
      </c>
      <c r="M13" s="62">
        <f>SUMIFS('0901 4度C'!$K:$K,'0901 4度C'!$A:$A,"新豐4線",'0901 4度C'!$B:$B,"平均")</f>
        <v>146.34146341463415</v>
      </c>
    </row>
    <row r="14" spans="2:17" ht="39.6" customHeight="1">
      <c r="B14" s="515"/>
      <c r="C14" s="65" t="s">
        <v>141</v>
      </c>
      <c r="D14" s="66">
        <f>SUMIFS('0901 4度C'!$N:$N,'0901 4度C'!$A:$A,"新豐6線",'0901 4度C'!$B:$B,"平均")</f>
        <v>111.792331289126</v>
      </c>
      <c r="E14" s="67">
        <f>SUMIFS('0901 4度C'!$N:$N,'0901 4度C'!$A:$A,"新豐2線",'0901 4度C'!$B:$B,"平均")</f>
        <v>77.610424484512635</v>
      </c>
      <c r="F14" s="67">
        <f>SUMIFS('0901 4度C'!$N:$N,'0901 4度C'!$A:$A,"新豐5線",'0901 4度C'!$B:$B,"平均")</f>
        <v>87.799926937032026</v>
      </c>
      <c r="G14" s="67">
        <f>SUMIFS('0901 4度C'!$N:$N,'0901 4度C'!$A:$A,"新豐7線",'0901 4度C'!$B:$B,"平均")</f>
        <v>110.61581611974579</v>
      </c>
      <c r="H14" s="67">
        <f>SUMIFS('0901 4度C'!$N:$N,'0901 4度C'!$A:$A,"新豐3線",'0901 4度C'!$B:$B,"平均")</f>
        <v>283.71825226527574</v>
      </c>
      <c r="I14" s="67">
        <f>SUMIFS('0901 4度C'!$N:$N,'0901 4度C'!$A:$A,"新豐1線",'0901 4度C'!$B:$B,"平均")</f>
        <v>107.79011928188875</v>
      </c>
      <c r="J14" s="68">
        <f>SUMIFS('0901 4度C'!$N:$N,'0901 4度C'!$A:$A,"新豐10線",'0901 4度C'!$B:$B,"平均")</f>
        <v>207.34754227115815</v>
      </c>
      <c r="K14" s="69">
        <f>SUMIFS('0901 4度C'!$N:$N,'0901 4度C'!$A:$A,"新豐8線",'0901 4度C'!$B:$B,"平均")</f>
        <v>131.75859623631317</v>
      </c>
      <c r="L14" s="70">
        <f>SUMIFS('0901 4度C'!$N:$N,'0901 4度C'!$A:$A,"新豐9線",'0901 4度C'!$B:$B,"平均")</f>
        <v>122.91314336882026</v>
      </c>
      <c r="M14" s="68">
        <f>SUMIFS('0901 4度C'!$N:$N,'0901 4度C'!$A:$A,"新豐4線",'0901 4度C'!$B:$B,"平均")</f>
        <v>137.39596455962345</v>
      </c>
    </row>
    <row r="15" spans="2:17" ht="40.15" customHeight="1">
      <c r="B15" s="515"/>
      <c r="C15" s="71" t="s">
        <v>142</v>
      </c>
      <c r="D15" s="72">
        <f>D14/D13</f>
        <v>0.95023481595757098</v>
      </c>
      <c r="E15" s="73">
        <f t="shared" ref="E15:M15" si="0">E14/E13</f>
        <v>0.94167315041208655</v>
      </c>
      <c r="F15" s="73">
        <f t="shared" si="0"/>
        <v>0.94185376168816182</v>
      </c>
      <c r="G15" s="73">
        <f t="shared" si="0"/>
        <v>0.94945242169448474</v>
      </c>
      <c r="H15" s="73">
        <f>H14/H13</f>
        <v>0.94572750755091917</v>
      </c>
      <c r="I15" s="73">
        <f>I14/I13</f>
        <v>0.94174525267334386</v>
      </c>
      <c r="J15" s="74">
        <f>J14/J13</f>
        <v>0.9462840855328023</v>
      </c>
      <c r="K15" s="72">
        <f>K14/K13</f>
        <v>0.94113283025937977</v>
      </c>
      <c r="L15" s="73">
        <f>L14/L13</f>
        <v>0.94233409916095523</v>
      </c>
      <c r="M15" s="74">
        <f t="shared" si="0"/>
        <v>0.93887242449076025</v>
      </c>
    </row>
    <row r="16" spans="2:17" ht="17.25" customHeight="1">
      <c r="B16" s="502" t="s">
        <v>143</v>
      </c>
      <c r="C16" s="75" t="s">
        <v>144</v>
      </c>
      <c r="D16" s="76">
        <f>VLOOKUP("新豐6線",'0901 4度C'!$A:$T,19,0)</f>
        <v>0.70833333333333337</v>
      </c>
      <c r="E16" s="28">
        <f>VLOOKUP("新豐2線",'0901 4度C'!$A:$T,19,0)</f>
        <v>0.125</v>
      </c>
      <c r="F16" s="28">
        <f>VLOOKUP("新豐5線",'0901 4度C'!$A:$T,19,0)</f>
        <v>0.25</v>
      </c>
      <c r="G16" s="28">
        <f>VLOOKUP("新豐7線",'0901 4度C'!$A:$T,19,0)</f>
        <v>0.20833333333333334</v>
      </c>
      <c r="H16" s="28">
        <f>VLOOKUP("新豐3線",'0901 4度C'!$A:$T,19,0)</f>
        <v>0.125</v>
      </c>
      <c r="I16" s="28">
        <f>VLOOKUP("新豐1線",'0901 4度C'!$A:$T,19,0)</f>
        <v>0.29166666666666669</v>
      </c>
      <c r="J16" s="77">
        <f>VLOOKUP("新豐10線",'0901 4度C'!$A:$T,19,0)</f>
        <v>0.125</v>
      </c>
      <c r="K16" s="78">
        <f>VLOOKUP("新豐8線",'0901 4度C'!$A:$T,19,0)</f>
        <v>0.125</v>
      </c>
      <c r="L16" s="79">
        <f>VLOOKUP("新豐9線",'0901 4度C'!$A:$T,19,0)</f>
        <v>0.125</v>
      </c>
      <c r="M16" s="80">
        <f>VLOOKUP("新豐4線",'0901 4度C'!$A:$T,19,0)</f>
        <v>0.125</v>
      </c>
    </row>
    <row r="17" spans="2:13" ht="17.25" customHeight="1">
      <c r="B17" s="503"/>
      <c r="C17" s="75" t="s">
        <v>145</v>
      </c>
      <c r="D17" s="78">
        <f>LOOKUP(2,1/(('0901 4度C'!$A:$A="新豐6線")*('0901 4度C'!$T:$T&lt;&gt;"")),'0901 4度C'!$T:$T)</f>
        <v>0.83888888888888902</v>
      </c>
      <c r="E17" s="28">
        <f>LOOKUP(2,1/(('0901 4度C'!$A:$A="新豐2線")*('0901 4度C'!$T:$T&lt;&gt;"")),'0901 4度C'!$T:$T)</f>
        <v>0.68124999999999991</v>
      </c>
      <c r="F17" s="28">
        <f>LOOKUP(2,1/(('0901 4度C'!$A:$A="新豐5線")*('0901 4度C'!$T:$T&lt;&gt;"")),'0901 4度C'!$T:$T)</f>
        <v>0.8569444444444444</v>
      </c>
      <c r="G17" s="28">
        <f>LOOKUP(2,1/(('0901 4度C'!$A:$A="新豐7線")*('0901 4度C'!$T:$T&lt;&gt;"")),'0901 4度C'!$T:$T)</f>
        <v>0.80833333333333335</v>
      </c>
      <c r="H17" s="28">
        <f>LOOKUP(2,1/(('0901 4度C'!$A:$A="新豐3線")*('0901 4度C'!$T:$T&lt;&gt;"")),'0901 4度C'!$T:$T)</f>
        <v>0.58611111111111092</v>
      </c>
      <c r="I17" s="28">
        <f>LOOKUP(2,1/(('0901 4度C'!$A:$A="新豐1線")*('0901 4度C'!$T:$T&lt;&gt;"")),'0901 4度C'!$T:$T)</f>
        <v>0.85694444444444451</v>
      </c>
      <c r="J17" s="77">
        <f>LOOKUP(2,1/(('0901 4度C'!$A:$A="新豐10線")*('0901 4度C'!$T:$T&lt;&gt;"")),'0901 4度C'!$T:$T)</f>
        <v>0.43680555555555561</v>
      </c>
      <c r="K17" s="76">
        <f>LOOKUP(2,1/(('0901 4度C'!$A:$A="新豐8線")*('0901 4度C'!$T:$T&lt;&gt;"")),'0901 4度C'!$T:$T)</f>
        <v>0.67152777777777772</v>
      </c>
      <c r="L17" s="28">
        <f>LOOKUP(2,1/(('0901 4度C'!$A:$A="新豐9線")*('0901 4度C'!$T:$T&lt;&gt;"")),'0901 4度C'!$T:$T)</f>
        <v>0.75555555555555542</v>
      </c>
      <c r="M17" s="77">
        <f>LOOKUP(2,1/(('0901 4度C'!$A:$A="新豐4線")*('0901 4度C'!$T:$T&lt;&gt;"")),'0901 4度C'!$T:$T)</f>
        <v>0.64097222222222217</v>
      </c>
    </row>
    <row r="18" spans="2:13" ht="17.25" customHeight="1">
      <c r="B18" s="503" t="s">
        <v>146</v>
      </c>
      <c r="C18" s="514"/>
      <c r="D18" s="81">
        <f>SUMIFS('0901 4度C'!$I:$I,'0901 4度C'!$A:$A,"新豐6線",'0901 4度C'!$B:$B,"平均")</f>
        <v>17</v>
      </c>
      <c r="E18" s="82">
        <f>SUMIFS('0901 4度C'!$I:$I,'0901 4度C'!$A:$A,"新豐2線",'0901 4度C'!$B:$B,"平均")</f>
        <v>18.2</v>
      </c>
      <c r="F18" s="82">
        <f>SUMIFS('0901 4度C'!$I:$I,'0901 4度C'!$A:$A,"新豐5線",'0901 4度C'!$B:$B,"平均")</f>
        <v>19.666666666666668</v>
      </c>
      <c r="G18" s="82">
        <f>SUMIFS('0901 4度C'!$I:$I,'0901 4度C'!$A:$A,"新豐7線",'0901 4度C'!$B:$B,"平均")</f>
        <v>17.166666666666668</v>
      </c>
      <c r="H18" s="82">
        <f>SUMIFS('0901 4度C'!$I:$I,'0901 4度C'!$A:$A,"新豐3線",'0901 4度C'!$B:$B,"平均")</f>
        <v>10</v>
      </c>
      <c r="I18" s="82">
        <f>SUMIFS('0901 4度C'!$I:$I,'0901 4度C'!$A:$A,"新豐1線",'0901 4度C'!$B:$B,"平均")</f>
        <v>16.600000000000001</v>
      </c>
      <c r="J18" s="83">
        <f>SUMIFS('0901 4度C'!$I:$I,'0901 4度C'!$A:$A,"新豐10線",'0901 4度C'!$B:$B,"平均")</f>
        <v>11.333333333333334</v>
      </c>
      <c r="K18" s="81">
        <f>SUMIFS('0901 4度C'!$I:$I,'0901 4度C'!$A:$A,"新豐8線",'0901 4度C'!$B:$B,"平均")</f>
        <v>17.142857142857142</v>
      </c>
      <c r="L18" s="82">
        <f>SUMIFS('0901 4度C'!$I:$I,'0901 4度C'!$A:$A,"新豐9線",'0901 4度C'!$B:$B,"平均")</f>
        <v>18.399999999999999</v>
      </c>
      <c r="M18" s="83">
        <f>SUMIFS('0901 4度C'!$I:$I,'0901 4度C'!$A:$A,"新豐4線",'0901 4度C'!$B:$B,"平均")</f>
        <v>16.399999999999999</v>
      </c>
    </row>
    <row r="19" spans="2:13" ht="17.25" customHeight="1">
      <c r="B19" s="510" t="s">
        <v>147</v>
      </c>
      <c r="C19" s="511"/>
      <c r="D19" s="84" t="s">
        <v>148</v>
      </c>
      <c r="E19" s="85" t="s">
        <v>149</v>
      </c>
      <c r="F19" s="85" t="s">
        <v>150</v>
      </c>
      <c r="G19" s="85" t="s">
        <v>150</v>
      </c>
      <c r="H19" s="85" t="s">
        <v>151</v>
      </c>
      <c r="I19" s="85" t="s">
        <v>148</v>
      </c>
      <c r="J19" s="86" t="s">
        <v>151</v>
      </c>
      <c r="K19" s="84" t="s">
        <v>152</v>
      </c>
      <c r="L19" s="85" t="s">
        <v>152</v>
      </c>
      <c r="M19" s="86" t="s">
        <v>152</v>
      </c>
    </row>
    <row r="20" spans="2:13" ht="17.25" customHeight="1">
      <c r="B20" s="510" t="s">
        <v>153</v>
      </c>
      <c r="C20" s="511"/>
      <c r="D20" s="84"/>
      <c r="E20" s="85"/>
      <c r="F20" s="85" t="s">
        <v>154</v>
      </c>
      <c r="G20" s="85" t="s">
        <v>148</v>
      </c>
      <c r="H20" s="85"/>
      <c r="I20" s="85"/>
      <c r="J20" s="86"/>
      <c r="K20" s="84"/>
      <c r="L20" s="85"/>
      <c r="M20" s="86"/>
    </row>
    <row r="21" spans="2:13" ht="17.25" customHeight="1" thickBot="1">
      <c r="B21" s="512" t="s">
        <v>155</v>
      </c>
      <c r="C21" s="513"/>
      <c r="D21" s="87"/>
      <c r="E21" s="88" t="s">
        <v>156</v>
      </c>
      <c r="F21" s="387" t="s">
        <v>157</v>
      </c>
      <c r="G21" s="388"/>
      <c r="H21" s="88" t="s">
        <v>158</v>
      </c>
      <c r="I21" s="88" t="s">
        <v>159</v>
      </c>
      <c r="J21" s="89" t="s">
        <v>158</v>
      </c>
      <c r="K21" s="90"/>
      <c r="L21" s="88"/>
      <c r="M21" s="89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7">
    <pageSetUpPr fitToPage="1"/>
  </sheetPr>
  <dimension ref="A1:AC73"/>
  <sheetViews>
    <sheetView zoomScale="80" zoomScaleNormal="80" workbookViewId="0">
      <pane ySplit="4" topLeftCell="A20" activePane="bottomLeft" state="frozen"/>
      <selection activeCell="AO33" activeCellId="2" sqref="AO26 AO28:AO31 AO33:AO35"/>
      <selection pane="bottomLeft" activeCell="H65" sqref="H65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30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30" bestFit="1" customWidth="1"/>
    <col min="20" max="20" width="7.625" style="30" bestFit="1" customWidth="1"/>
    <col min="21" max="21" width="10.25" style="5" bestFit="1" customWidth="1"/>
    <col min="22" max="22" width="8.75" style="23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0</v>
      </c>
      <c r="B1" s="1"/>
      <c r="C1" s="2" t="s">
        <v>1</v>
      </c>
      <c r="D1" s="3">
        <f>SUM(F5:F72)</f>
        <v>175232</v>
      </c>
      <c r="E1" s="4" t="s">
        <v>2</v>
      </c>
      <c r="F1" s="1">
        <f>SUM(G5:G72)</f>
        <v>6002768.9399999995</v>
      </c>
      <c r="G1" s="1" t="s">
        <v>3</v>
      </c>
      <c r="H1" s="38">
        <v>161.90952380952379</v>
      </c>
      <c r="I1" s="482" t="s">
        <v>4</v>
      </c>
      <c r="J1" s="482"/>
      <c r="K1" s="482"/>
      <c r="L1" s="482" t="s">
        <v>5</v>
      </c>
      <c r="M1" s="482"/>
      <c r="N1" s="482"/>
      <c r="O1" s="482" t="s">
        <v>6</v>
      </c>
      <c r="P1" s="482"/>
      <c r="Q1" s="482"/>
      <c r="R1" s="482"/>
      <c r="S1" s="482" t="s">
        <v>7</v>
      </c>
      <c r="T1" s="482"/>
      <c r="U1" s="482"/>
      <c r="V1" s="482"/>
      <c r="W1" s="482"/>
      <c r="X1" s="482"/>
      <c r="Y1" s="482" t="s">
        <v>8</v>
      </c>
      <c r="Z1" s="482"/>
      <c r="AA1" s="482" t="s">
        <v>9</v>
      </c>
      <c r="AB1" s="483"/>
      <c r="AC1" s="483"/>
    </row>
    <row r="2" spans="1:29" ht="26.25" customHeight="1">
      <c r="A2" s="24">
        <v>45901</v>
      </c>
      <c r="B2" s="25" t="s">
        <v>52</v>
      </c>
      <c r="C2" s="2" t="s">
        <v>10</v>
      </c>
      <c r="D2" s="6">
        <f>AVERAGE(N8,N14,N53,N59,N18,N66,N25,N33,N44,N72)</f>
        <v>137.87421168134961</v>
      </c>
      <c r="E2" s="7" t="s">
        <v>11</v>
      </c>
      <c r="F2" s="8">
        <f>F1/D1</f>
        <v>34.256122968407595</v>
      </c>
      <c r="G2" s="1" t="s">
        <v>12</v>
      </c>
      <c r="H2" s="39">
        <v>5</v>
      </c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3"/>
      <c r="AB2" s="483"/>
      <c r="AC2" s="483"/>
    </row>
    <row r="3" spans="1:29" ht="23.25" customHeight="1">
      <c r="A3" s="443" t="s">
        <v>13</v>
      </c>
      <c r="B3" s="443" t="s">
        <v>14</v>
      </c>
      <c r="C3" s="443" t="s">
        <v>15</v>
      </c>
      <c r="D3" s="443"/>
      <c r="E3" s="484" t="s">
        <v>16</v>
      </c>
      <c r="F3" s="443" t="s">
        <v>17</v>
      </c>
      <c r="G3" s="484" t="s">
        <v>18</v>
      </c>
      <c r="H3" s="487" t="s">
        <v>19</v>
      </c>
      <c r="I3" s="474" t="s">
        <v>20</v>
      </c>
      <c r="J3" s="479" t="s">
        <v>21</v>
      </c>
      <c r="K3" s="481" t="s">
        <v>10</v>
      </c>
      <c r="L3" s="474" t="s">
        <v>20</v>
      </c>
      <c r="M3" s="479" t="s">
        <v>22</v>
      </c>
      <c r="N3" s="481" t="s">
        <v>10</v>
      </c>
      <c r="O3" s="474" t="s">
        <v>20</v>
      </c>
      <c r="P3" s="481" t="s">
        <v>10</v>
      </c>
      <c r="Q3" s="480" t="s">
        <v>23</v>
      </c>
      <c r="R3" s="451" t="s">
        <v>24</v>
      </c>
      <c r="S3" s="486" t="s">
        <v>25</v>
      </c>
      <c r="T3" s="486"/>
      <c r="U3" s="476" t="s">
        <v>26</v>
      </c>
      <c r="V3" s="476" t="s">
        <v>27</v>
      </c>
      <c r="W3" s="443" t="s">
        <v>28</v>
      </c>
      <c r="X3" s="443"/>
      <c r="Y3" s="477" t="s">
        <v>29</v>
      </c>
      <c r="Z3" s="478"/>
      <c r="AA3" s="479" t="s">
        <v>21</v>
      </c>
      <c r="AB3" s="480" t="s">
        <v>30</v>
      </c>
      <c r="AC3" s="451" t="s">
        <v>24</v>
      </c>
    </row>
    <row r="4" spans="1:29">
      <c r="A4" s="443"/>
      <c r="B4" s="443"/>
      <c r="C4" s="443"/>
      <c r="D4" s="443"/>
      <c r="E4" s="485"/>
      <c r="F4" s="443"/>
      <c r="G4" s="485"/>
      <c r="H4" s="487"/>
      <c r="I4" s="474"/>
      <c r="J4" s="479"/>
      <c r="K4" s="481"/>
      <c r="L4" s="474"/>
      <c r="M4" s="479"/>
      <c r="N4" s="481"/>
      <c r="O4" s="474"/>
      <c r="P4" s="481"/>
      <c r="Q4" s="480"/>
      <c r="R4" s="451"/>
      <c r="S4" s="27" t="s">
        <v>31</v>
      </c>
      <c r="T4" s="27" t="s">
        <v>32</v>
      </c>
      <c r="U4" s="476"/>
      <c r="V4" s="476"/>
      <c r="W4" s="4" t="s">
        <v>33</v>
      </c>
      <c r="X4" s="4" t="s">
        <v>34</v>
      </c>
      <c r="Y4" s="478"/>
      <c r="Z4" s="478"/>
      <c r="AA4" s="479"/>
      <c r="AB4" s="480"/>
      <c r="AC4" s="451"/>
    </row>
    <row r="5" spans="1:29">
      <c r="A5" s="473" t="s">
        <v>35</v>
      </c>
      <c r="B5" s="31" t="s">
        <v>58</v>
      </c>
      <c r="C5" s="475" t="s">
        <v>104</v>
      </c>
      <c r="D5" s="475"/>
      <c r="E5" s="31">
        <v>46.93</v>
      </c>
      <c r="F5" s="27">
        <v>1060</v>
      </c>
      <c r="G5" s="4">
        <f>E5*F5</f>
        <v>49745.8</v>
      </c>
      <c r="H5" s="40" t="s">
        <v>103</v>
      </c>
      <c r="I5" s="9">
        <v>17</v>
      </c>
      <c r="J5" s="26">
        <v>2000</v>
      </c>
      <c r="K5" s="10">
        <f>J5/I5</f>
        <v>117.64705882352941</v>
      </c>
      <c r="L5" s="9">
        <v>17</v>
      </c>
      <c r="M5" s="11">
        <f>F5/V5*60</f>
        <v>1927.272727272725</v>
      </c>
      <c r="N5" s="10">
        <f>M5/L5</f>
        <v>113.36898395721911</v>
      </c>
      <c r="O5" s="12">
        <f t="shared" ref="O5:O7" si="0">L5-I5</f>
        <v>0</v>
      </c>
      <c r="P5" s="13">
        <f t="shared" ref="P5:P7" si="1">N5-K5</f>
        <v>-4.2780748663102912</v>
      </c>
      <c r="Q5" s="14">
        <f>N5/K5</f>
        <v>0.96363636363636251</v>
      </c>
      <c r="R5" s="442">
        <f>Q8</f>
        <v>0.95023481595757098</v>
      </c>
      <c r="S5" s="28">
        <v>0.70833333333333337</v>
      </c>
      <c r="T5" s="28">
        <v>0.73125000000000007</v>
      </c>
      <c r="U5" s="4"/>
      <c r="V5" s="15">
        <f>(T5-S5)*24*60</f>
        <v>33.000000000000043</v>
      </c>
      <c r="W5" s="16"/>
      <c r="X5" s="17"/>
      <c r="Y5" s="443"/>
      <c r="Z5" s="443"/>
      <c r="AA5" s="12">
        <f t="shared" ref="AA5:AA24" si="2">M5-J5</f>
        <v>-72.727272727275022</v>
      </c>
      <c r="AB5" s="14">
        <f t="shared" ref="AB5:AB7" si="3">M5/J5</f>
        <v>0.96363636363636251</v>
      </c>
      <c r="AC5" s="442">
        <f>AB8</f>
        <v>0.95023481595757098</v>
      </c>
    </row>
    <row r="6" spans="1:29">
      <c r="A6" s="474" t="s">
        <v>35</v>
      </c>
      <c r="B6" s="31" t="s">
        <v>58</v>
      </c>
      <c r="C6" s="475" t="s">
        <v>105</v>
      </c>
      <c r="D6" s="475"/>
      <c r="E6" s="31">
        <v>50.49</v>
      </c>
      <c r="F6" s="27">
        <v>2294</v>
      </c>
      <c r="G6" s="4">
        <f t="shared" ref="G6:G7" si="4">E6*F6</f>
        <v>115824.06</v>
      </c>
      <c r="H6" s="40" t="s">
        <v>103</v>
      </c>
      <c r="I6" s="9">
        <v>16</v>
      </c>
      <c r="J6" s="26">
        <v>2000</v>
      </c>
      <c r="K6" s="10">
        <f t="shared" ref="K6:K7" si="5">J6/I6</f>
        <v>125</v>
      </c>
      <c r="L6" s="9">
        <v>16</v>
      </c>
      <c r="M6" s="11">
        <f>F6/V6*60</f>
        <v>1885.4794520547932</v>
      </c>
      <c r="N6" s="10">
        <f t="shared" ref="N6:N7" si="6">M6/L6</f>
        <v>117.84246575342458</v>
      </c>
      <c r="O6" s="12">
        <f t="shared" si="0"/>
        <v>0</v>
      </c>
      <c r="P6" s="13">
        <f t="shared" si="1"/>
        <v>-7.1575342465754233</v>
      </c>
      <c r="Q6" s="14">
        <f t="shared" ref="Q6:Q7" si="7">N6/K6</f>
        <v>0.94273972602739664</v>
      </c>
      <c r="R6" s="442"/>
      <c r="S6" s="28">
        <v>0.73611111111111116</v>
      </c>
      <c r="T6" s="28">
        <v>0.78680555555555565</v>
      </c>
      <c r="U6" s="4">
        <f>(S6-T5)*24*60</f>
        <v>6.9999999999999751</v>
      </c>
      <c r="V6" s="15">
        <f>(T6-S6)*24*60</f>
        <v>73.000000000000057</v>
      </c>
      <c r="W6" s="16"/>
      <c r="X6" s="16"/>
      <c r="Y6" s="443"/>
      <c r="Z6" s="443"/>
      <c r="AA6" s="12">
        <f t="shared" si="2"/>
        <v>-114.52054794520677</v>
      </c>
      <c r="AB6" s="14">
        <f t="shared" si="3"/>
        <v>0.94273972602739664</v>
      </c>
      <c r="AC6" s="442"/>
    </row>
    <row r="7" spans="1:29">
      <c r="A7" s="474" t="s">
        <v>35</v>
      </c>
      <c r="B7" s="31" t="s">
        <v>58</v>
      </c>
      <c r="C7" s="471" t="s">
        <v>106</v>
      </c>
      <c r="D7" s="472"/>
      <c r="E7" s="31">
        <v>50.67</v>
      </c>
      <c r="F7" s="27">
        <v>2109</v>
      </c>
      <c r="G7" s="4">
        <f t="shared" si="4"/>
        <v>106863.03</v>
      </c>
      <c r="H7" s="40" t="s">
        <v>103</v>
      </c>
      <c r="I7" s="9">
        <v>18</v>
      </c>
      <c r="J7" s="26">
        <v>2000</v>
      </c>
      <c r="K7" s="10">
        <f t="shared" si="5"/>
        <v>111.11111111111111</v>
      </c>
      <c r="L7" s="9">
        <v>18</v>
      </c>
      <c r="M7" s="11">
        <f t="shared" ref="M7" si="8">F7/V7*60</f>
        <v>1888.656716417908</v>
      </c>
      <c r="N7" s="10">
        <f t="shared" si="6"/>
        <v>104.92537313432823</v>
      </c>
      <c r="O7" s="12">
        <f t="shared" si="0"/>
        <v>0</v>
      </c>
      <c r="P7" s="13">
        <f t="shared" si="1"/>
        <v>-6.1857379767828888</v>
      </c>
      <c r="Q7" s="14">
        <f t="shared" si="7"/>
        <v>0.944328358208954</v>
      </c>
      <c r="R7" s="442"/>
      <c r="S7" s="28">
        <v>0.79236111111111118</v>
      </c>
      <c r="T7" s="28">
        <v>0.83888888888888902</v>
      </c>
      <c r="U7" s="4">
        <f t="shared" ref="U7" si="9">(S7-T6)*24*60</f>
        <v>7.9999999999999716</v>
      </c>
      <c r="V7" s="15">
        <f t="shared" ref="V7" si="10">(T7-S7)*24*60</f>
        <v>67.000000000000085</v>
      </c>
      <c r="W7" s="16"/>
      <c r="X7" s="16"/>
      <c r="Y7" s="447"/>
      <c r="Z7" s="448"/>
      <c r="AA7" s="12">
        <f t="shared" si="2"/>
        <v>-111.343283582092</v>
      </c>
      <c r="AB7" s="14">
        <f t="shared" si="3"/>
        <v>0.944328358208954</v>
      </c>
      <c r="AC7" s="442"/>
    </row>
    <row r="8" spans="1:29">
      <c r="A8" s="474" t="s">
        <v>35</v>
      </c>
      <c r="B8" s="31" t="s">
        <v>36</v>
      </c>
      <c r="C8" s="446"/>
      <c r="D8" s="446"/>
      <c r="E8" s="32"/>
      <c r="F8" s="33"/>
      <c r="G8" s="10"/>
      <c r="H8" s="27"/>
      <c r="I8" s="19">
        <v>17</v>
      </c>
      <c r="J8" s="26">
        <v>2000</v>
      </c>
      <c r="K8" s="10">
        <f>J8/I8</f>
        <v>117.64705882352941</v>
      </c>
      <c r="L8" s="19">
        <v>17</v>
      </c>
      <c r="M8" s="11">
        <f>AVERAGE(M5:M7)</f>
        <v>1900.4696319151419</v>
      </c>
      <c r="N8" s="10">
        <f>M8/L8</f>
        <v>111.792331289126</v>
      </c>
      <c r="O8" s="12">
        <f>L8-I8</f>
        <v>0</v>
      </c>
      <c r="P8" s="13">
        <f>N8-K8</f>
        <v>-5.8547275344034091</v>
      </c>
      <c r="Q8" s="14">
        <f>N8/K8</f>
        <v>0.95023481595757098</v>
      </c>
      <c r="R8" s="442"/>
      <c r="S8" s="28"/>
      <c r="T8" s="28"/>
      <c r="U8" s="4"/>
      <c r="V8" s="15"/>
      <c r="W8" s="10"/>
      <c r="X8" s="10"/>
      <c r="Y8" s="443"/>
      <c r="Z8" s="443"/>
      <c r="AA8" s="12">
        <f t="shared" si="2"/>
        <v>-99.530368084858083</v>
      </c>
      <c r="AB8" s="14">
        <f>M8/J8</f>
        <v>0.95023481595757098</v>
      </c>
      <c r="AC8" s="442"/>
    </row>
    <row r="9" spans="1:29" ht="15.75" customHeight="1">
      <c r="A9" s="439" t="s">
        <v>37</v>
      </c>
      <c r="B9" s="31" t="s">
        <v>53</v>
      </c>
      <c r="C9" s="471" t="s">
        <v>107</v>
      </c>
      <c r="D9" s="472"/>
      <c r="E9" s="31">
        <v>39.619999999999997</v>
      </c>
      <c r="F9" s="27">
        <v>5184</v>
      </c>
      <c r="G9" s="4">
        <f t="shared" ref="G9:G13" si="11">E9*F9</f>
        <v>205390.07999999999</v>
      </c>
      <c r="H9" s="40" t="s">
        <v>103</v>
      </c>
      <c r="I9" s="9">
        <v>19</v>
      </c>
      <c r="J9" s="26">
        <v>1500</v>
      </c>
      <c r="K9" s="10">
        <f t="shared" ref="K9:K13" si="12">J9/I9</f>
        <v>78.94736842105263</v>
      </c>
      <c r="L9" s="9">
        <v>19</v>
      </c>
      <c r="M9" s="11">
        <f t="shared" ref="M9:M13" si="13">F9/V9*60</f>
        <v>1407.420814479638</v>
      </c>
      <c r="N9" s="10">
        <f t="shared" ref="N9:N13" si="14">M9/L9</f>
        <v>74.074779709454631</v>
      </c>
      <c r="O9" s="12">
        <f t="shared" ref="O9:O13" si="15">L9-I9</f>
        <v>0</v>
      </c>
      <c r="P9" s="13">
        <f>N9-K9</f>
        <v>-4.8725887115979987</v>
      </c>
      <c r="Q9" s="14">
        <f>N9/K9</f>
        <v>0.93828054298642538</v>
      </c>
      <c r="R9" s="442">
        <f>Q14</f>
        <v>0.94167315041208655</v>
      </c>
      <c r="S9" s="28">
        <v>0.125</v>
      </c>
      <c r="T9" s="28">
        <v>0.27847222222222223</v>
      </c>
      <c r="U9" s="4"/>
      <c r="V9" s="15">
        <f t="shared" ref="V9:V13" si="16">(T9-S9)*24*60</f>
        <v>221</v>
      </c>
      <c r="W9" s="16">
        <f>T9</f>
        <v>0.27847222222222223</v>
      </c>
      <c r="X9" s="16">
        <f>S10</f>
        <v>0.3</v>
      </c>
      <c r="Y9" s="443"/>
      <c r="Z9" s="443"/>
      <c r="AA9" s="12">
        <f t="shared" si="2"/>
        <v>-92.579185520361989</v>
      </c>
      <c r="AB9" s="14">
        <f>M9/J9</f>
        <v>0.93828054298642538</v>
      </c>
      <c r="AC9" s="442">
        <f>AB14</f>
        <v>0.94167315041208655</v>
      </c>
    </row>
    <row r="10" spans="1:29" ht="15.75" customHeight="1">
      <c r="A10" s="439" t="s">
        <v>38</v>
      </c>
      <c r="B10" s="31" t="s">
        <v>53</v>
      </c>
      <c r="C10" s="471" t="s">
        <v>54</v>
      </c>
      <c r="D10" s="472"/>
      <c r="E10" s="31">
        <v>39.799999999999997</v>
      </c>
      <c r="F10" s="27">
        <v>3700</v>
      </c>
      <c r="G10" s="4">
        <f t="shared" si="11"/>
        <v>147260</v>
      </c>
      <c r="H10" s="40" t="s">
        <v>103</v>
      </c>
      <c r="I10" s="9">
        <v>17</v>
      </c>
      <c r="J10" s="26">
        <v>1500</v>
      </c>
      <c r="K10" s="10">
        <f t="shared" si="12"/>
        <v>88.235294117647058</v>
      </c>
      <c r="L10" s="9">
        <v>17</v>
      </c>
      <c r="M10" s="11">
        <f t="shared" si="13"/>
        <v>1414.0127388535032</v>
      </c>
      <c r="N10" s="10">
        <f t="shared" si="14"/>
        <v>83.177219932559012</v>
      </c>
      <c r="O10" s="12">
        <f t="shared" si="15"/>
        <v>0</v>
      </c>
      <c r="P10" s="13">
        <f t="shared" ref="P10:P13" si="17">N10-K10</f>
        <v>-5.0580741850880457</v>
      </c>
      <c r="Q10" s="14">
        <f t="shared" ref="Q10:Q13" si="18">N10/K10</f>
        <v>0.9426751592356688</v>
      </c>
      <c r="R10" s="442"/>
      <c r="S10" s="28">
        <v>0.3</v>
      </c>
      <c r="T10" s="28">
        <v>0.40902777777777777</v>
      </c>
      <c r="U10" s="4">
        <f>(S10-T9)*24*60</f>
        <v>30.999999999999972</v>
      </c>
      <c r="V10" s="15">
        <f t="shared" si="16"/>
        <v>157</v>
      </c>
      <c r="W10" s="16"/>
      <c r="X10" s="16"/>
      <c r="Y10" s="443"/>
      <c r="Z10" s="443"/>
      <c r="AA10" s="12">
        <f t="shared" si="2"/>
        <v>-85.987261146496849</v>
      </c>
      <c r="AB10" s="14">
        <f t="shared" ref="AB10:AB25" si="19">M10/J10</f>
        <v>0.9426751592356688</v>
      </c>
      <c r="AC10" s="442"/>
    </row>
    <row r="11" spans="1:29" ht="15.75" customHeight="1">
      <c r="A11" s="439" t="s">
        <v>38</v>
      </c>
      <c r="B11" s="31" t="s">
        <v>53</v>
      </c>
      <c r="C11" s="471" t="s">
        <v>55</v>
      </c>
      <c r="D11" s="472"/>
      <c r="E11" s="31">
        <v>39.29</v>
      </c>
      <c r="F11" s="27">
        <v>2100</v>
      </c>
      <c r="G11" s="4">
        <f t="shared" si="11"/>
        <v>82509</v>
      </c>
      <c r="H11" s="40" t="s">
        <v>103</v>
      </c>
      <c r="I11" s="9">
        <v>19</v>
      </c>
      <c r="J11" s="26">
        <v>1500</v>
      </c>
      <c r="K11" s="10">
        <f t="shared" si="12"/>
        <v>78.94736842105263</v>
      </c>
      <c r="L11" s="9">
        <v>19</v>
      </c>
      <c r="M11" s="11">
        <f t="shared" si="13"/>
        <v>1415.7303370786517</v>
      </c>
      <c r="N11" s="10">
        <f t="shared" si="14"/>
        <v>74.512123004139568</v>
      </c>
      <c r="O11" s="12">
        <f t="shared" si="15"/>
        <v>0</v>
      </c>
      <c r="P11" s="13">
        <f t="shared" si="17"/>
        <v>-4.4352454169130624</v>
      </c>
      <c r="Q11" s="14">
        <f t="shared" si="18"/>
        <v>0.94382022471910121</v>
      </c>
      <c r="R11" s="442"/>
      <c r="S11" s="28">
        <v>0.41319444444444442</v>
      </c>
      <c r="T11" s="28">
        <v>0.47499999999999998</v>
      </c>
      <c r="U11" s="4">
        <f t="shared" ref="U11:U13" si="20">(S11-T10)*24*60</f>
        <v>5.9999999999999787</v>
      </c>
      <c r="V11" s="15">
        <f t="shared" si="16"/>
        <v>89</v>
      </c>
      <c r="W11" s="16">
        <f>T11</f>
        <v>0.47499999999999998</v>
      </c>
      <c r="X11" s="16">
        <f>S12</f>
        <v>0.51458333333333328</v>
      </c>
      <c r="Y11" s="443"/>
      <c r="Z11" s="443"/>
      <c r="AA11" s="12">
        <f t="shared" si="2"/>
        <v>-84.269662921348299</v>
      </c>
      <c r="AB11" s="14">
        <f t="shared" si="19"/>
        <v>0.9438202247191011</v>
      </c>
      <c r="AC11" s="442"/>
    </row>
    <row r="12" spans="1:29" ht="15.75" customHeight="1">
      <c r="A12" s="439" t="s">
        <v>37</v>
      </c>
      <c r="B12" s="31" t="s">
        <v>53</v>
      </c>
      <c r="C12" s="471" t="s">
        <v>54</v>
      </c>
      <c r="D12" s="472"/>
      <c r="E12" s="31">
        <v>39.799999999999997</v>
      </c>
      <c r="F12" s="27">
        <v>3473</v>
      </c>
      <c r="G12" s="4">
        <f t="shared" si="11"/>
        <v>138225.4</v>
      </c>
      <c r="H12" s="40" t="s">
        <v>103</v>
      </c>
      <c r="I12" s="9">
        <v>17</v>
      </c>
      <c r="J12" s="26">
        <v>1500</v>
      </c>
      <c r="K12" s="10">
        <f t="shared" si="12"/>
        <v>88.235294117647058</v>
      </c>
      <c r="L12" s="9">
        <v>17</v>
      </c>
      <c r="M12" s="11">
        <f t="shared" si="13"/>
        <v>1407.9729729729734</v>
      </c>
      <c r="N12" s="10">
        <f t="shared" si="14"/>
        <v>82.821939586645499</v>
      </c>
      <c r="O12" s="12">
        <f t="shared" si="15"/>
        <v>0</v>
      </c>
      <c r="P12" s="13">
        <f t="shared" si="17"/>
        <v>-5.4133545310015592</v>
      </c>
      <c r="Q12" s="14">
        <f t="shared" si="18"/>
        <v>0.93864864864864894</v>
      </c>
      <c r="R12" s="442"/>
      <c r="S12" s="28">
        <v>0.51458333333333328</v>
      </c>
      <c r="T12" s="28">
        <v>0.61736111111111103</v>
      </c>
      <c r="U12" s="4">
        <f t="shared" si="20"/>
        <v>56.999999999999957</v>
      </c>
      <c r="V12" s="15">
        <f t="shared" si="16"/>
        <v>147.99999999999994</v>
      </c>
      <c r="W12" s="16"/>
      <c r="X12" s="16"/>
      <c r="Y12" s="443"/>
      <c r="Z12" s="443"/>
      <c r="AA12" s="12">
        <f t="shared" si="2"/>
        <v>-92.027027027026634</v>
      </c>
      <c r="AB12" s="14">
        <f t="shared" si="19"/>
        <v>0.93864864864864894</v>
      </c>
      <c r="AC12" s="442"/>
    </row>
    <row r="13" spans="1:29" ht="15.75" customHeight="1">
      <c r="A13" s="439" t="s">
        <v>38</v>
      </c>
      <c r="B13" s="31" t="s">
        <v>53</v>
      </c>
      <c r="C13" s="471" t="s">
        <v>55</v>
      </c>
      <c r="D13" s="472"/>
      <c r="E13" s="31">
        <v>39.29</v>
      </c>
      <c r="F13" s="27">
        <v>2008</v>
      </c>
      <c r="G13" s="4">
        <f t="shared" si="11"/>
        <v>78894.319999999992</v>
      </c>
      <c r="H13" s="40" t="s">
        <v>103</v>
      </c>
      <c r="I13" s="9">
        <v>19</v>
      </c>
      <c r="J13" s="26">
        <v>1500</v>
      </c>
      <c r="K13" s="10">
        <f t="shared" si="12"/>
        <v>78.94736842105263</v>
      </c>
      <c r="L13" s="9">
        <v>19</v>
      </c>
      <c r="M13" s="11">
        <f t="shared" si="13"/>
        <v>1417.4117647058822</v>
      </c>
      <c r="N13" s="10">
        <f t="shared" si="14"/>
        <v>74.600619195046434</v>
      </c>
      <c r="O13" s="12">
        <f t="shared" si="15"/>
        <v>0</v>
      </c>
      <c r="P13" s="13">
        <f t="shared" si="17"/>
        <v>-4.346749226006196</v>
      </c>
      <c r="Q13" s="14">
        <f t="shared" si="18"/>
        <v>0.94494117647058817</v>
      </c>
      <c r="R13" s="442"/>
      <c r="S13" s="28">
        <v>0.62222222222222212</v>
      </c>
      <c r="T13" s="28">
        <v>0.68124999999999991</v>
      </c>
      <c r="U13" s="4">
        <f t="shared" si="20"/>
        <v>6.9999999999999751</v>
      </c>
      <c r="V13" s="15">
        <f t="shared" si="16"/>
        <v>85.000000000000014</v>
      </c>
      <c r="W13" s="16"/>
      <c r="X13" s="16"/>
      <c r="Y13" s="447"/>
      <c r="Z13" s="448"/>
      <c r="AA13" s="12">
        <f t="shared" si="2"/>
        <v>-82.588235294117794</v>
      </c>
      <c r="AB13" s="14">
        <f t="shared" si="19"/>
        <v>0.94494117647058817</v>
      </c>
      <c r="AC13" s="442"/>
    </row>
    <row r="14" spans="1:29" ht="16.5" customHeight="1">
      <c r="A14" s="439" t="s">
        <v>38</v>
      </c>
      <c r="B14" s="31" t="s">
        <v>39</v>
      </c>
      <c r="C14" s="446"/>
      <c r="D14" s="446"/>
      <c r="E14" s="32"/>
      <c r="F14" s="26"/>
      <c r="G14" s="11"/>
      <c r="H14" s="27"/>
      <c r="I14" s="19">
        <v>18.2</v>
      </c>
      <c r="J14" s="26">
        <v>1500</v>
      </c>
      <c r="K14" s="10">
        <f>J14/I14</f>
        <v>82.417582417582423</v>
      </c>
      <c r="L14" s="19">
        <v>18.2</v>
      </c>
      <c r="M14" s="11">
        <f>AVERAGE(M9:M13)</f>
        <v>1412.5097256181298</v>
      </c>
      <c r="N14" s="10">
        <f>M14/L14</f>
        <v>77.610424484512635</v>
      </c>
      <c r="O14" s="12">
        <f>L14-I14</f>
        <v>0</v>
      </c>
      <c r="P14" s="13">
        <f>N14-K14</f>
        <v>-4.8071579330697887</v>
      </c>
      <c r="Q14" s="14">
        <f>N14/K14</f>
        <v>0.94167315041208655</v>
      </c>
      <c r="R14" s="442"/>
      <c r="S14" s="28"/>
      <c r="T14" s="28"/>
      <c r="U14" s="10"/>
      <c r="V14" s="15"/>
      <c r="W14" s="10"/>
      <c r="X14" s="10"/>
      <c r="Y14" s="443"/>
      <c r="Z14" s="443"/>
      <c r="AA14" s="12">
        <f t="shared" si="2"/>
        <v>-87.490274381870222</v>
      </c>
      <c r="AB14" s="14">
        <f t="shared" si="19"/>
        <v>0.94167315041208655</v>
      </c>
      <c r="AC14" s="442"/>
    </row>
    <row r="15" spans="1:29" ht="16.5" customHeight="1">
      <c r="A15" s="469" t="s">
        <v>40</v>
      </c>
      <c r="B15" s="27" t="s">
        <v>56</v>
      </c>
      <c r="C15" s="464" t="s">
        <v>57</v>
      </c>
      <c r="D15" s="464"/>
      <c r="E15" s="31">
        <v>41</v>
      </c>
      <c r="F15" s="27">
        <v>1999</v>
      </c>
      <c r="G15" s="4">
        <f t="shared" ref="G15:G17" si="21">E15*F15</f>
        <v>81959</v>
      </c>
      <c r="H15" s="40" t="s">
        <v>103</v>
      </c>
      <c r="I15" s="9">
        <v>26</v>
      </c>
      <c r="J15" s="26">
        <v>1500</v>
      </c>
      <c r="K15" s="10">
        <f>J15/I15</f>
        <v>57.692307692307693</v>
      </c>
      <c r="L15" s="9">
        <v>26</v>
      </c>
      <c r="M15" s="11">
        <f>F15/V15*60</f>
        <v>1411.0588235294115</v>
      </c>
      <c r="N15" s="10">
        <f t="shared" ref="N15:N24" si="22">M15/L15</f>
        <v>54.271493212669675</v>
      </c>
      <c r="O15" s="12">
        <f t="shared" ref="O15" si="23">L15-I15</f>
        <v>0</v>
      </c>
      <c r="P15" s="13">
        <f t="shared" ref="P15" si="24">N15-K15</f>
        <v>-3.4208144796380182</v>
      </c>
      <c r="Q15" s="14">
        <f>N15/K15</f>
        <v>0.94070588235294106</v>
      </c>
      <c r="R15" s="442">
        <f>Q18</f>
        <v>0.94185376168816182</v>
      </c>
      <c r="S15" s="28">
        <v>0.25</v>
      </c>
      <c r="T15" s="28">
        <v>0.30902777777777779</v>
      </c>
      <c r="U15" s="4"/>
      <c r="V15" s="15">
        <f>(T15-S15)*24*60</f>
        <v>85.000000000000014</v>
      </c>
      <c r="W15" s="18"/>
      <c r="X15" s="18"/>
      <c r="Y15" s="443"/>
      <c r="Z15" s="443"/>
      <c r="AA15" s="12">
        <f t="shared" si="2"/>
        <v>-88.941176470588516</v>
      </c>
      <c r="AB15" s="14">
        <f t="shared" si="19"/>
        <v>0.94070588235294095</v>
      </c>
      <c r="AC15" s="442">
        <f>AB18</f>
        <v>0.94185376168816182</v>
      </c>
    </row>
    <row r="16" spans="1:29" ht="16.5" customHeight="1">
      <c r="A16" s="470" t="s">
        <v>40</v>
      </c>
      <c r="B16" s="27" t="s">
        <v>58</v>
      </c>
      <c r="C16" s="464" t="s">
        <v>59</v>
      </c>
      <c r="D16" s="464"/>
      <c r="E16" s="31">
        <v>50.98</v>
      </c>
      <c r="F16" s="27">
        <v>3076</v>
      </c>
      <c r="G16" s="4">
        <f t="shared" si="21"/>
        <v>156814.47999999998</v>
      </c>
      <c r="H16" s="40" t="s">
        <v>103</v>
      </c>
      <c r="I16" s="9">
        <v>17</v>
      </c>
      <c r="J16" s="26">
        <v>2000</v>
      </c>
      <c r="K16" s="10">
        <f>J16/I16</f>
        <v>117.64705882352941</v>
      </c>
      <c r="L16" s="9">
        <v>17</v>
      </c>
      <c r="M16" s="11">
        <f>F16/V16*60</f>
        <v>1883.2653061224494</v>
      </c>
      <c r="N16" s="10">
        <f t="shared" si="22"/>
        <v>110.78031212484996</v>
      </c>
      <c r="O16" s="12">
        <f>L16-I16</f>
        <v>0</v>
      </c>
      <c r="P16" s="13">
        <f>N16-K16</f>
        <v>-6.8667466986794494</v>
      </c>
      <c r="Q16" s="14">
        <f>N16/K16</f>
        <v>0.94163265306122468</v>
      </c>
      <c r="R16" s="442"/>
      <c r="S16" s="28">
        <v>0.70833333333333337</v>
      </c>
      <c r="T16" s="28">
        <v>0.77638888888888891</v>
      </c>
      <c r="U16" s="4" t="str">
        <f>IF(S16=TIME(17,0,0),"",(S16-T15)*24*60)</f>
        <v/>
      </c>
      <c r="V16" s="15">
        <f>(T16-S16)*24*60</f>
        <v>97.999999999999972</v>
      </c>
      <c r="W16" s="16"/>
      <c r="X16" s="16"/>
      <c r="Y16" s="443"/>
      <c r="Z16" s="443"/>
      <c r="AA16" s="12">
        <f t="shared" si="2"/>
        <v>-116.73469387755063</v>
      </c>
      <c r="AB16" s="14">
        <f t="shared" si="19"/>
        <v>0.94163265306122468</v>
      </c>
      <c r="AC16" s="442"/>
    </row>
    <row r="17" spans="1:29" ht="16.5" customHeight="1">
      <c r="A17" s="470" t="s">
        <v>40</v>
      </c>
      <c r="B17" s="27" t="s">
        <v>58</v>
      </c>
      <c r="C17" s="464" t="s">
        <v>60</v>
      </c>
      <c r="D17" s="464"/>
      <c r="E17" s="31">
        <v>50.92</v>
      </c>
      <c r="F17" s="27">
        <v>3426</v>
      </c>
      <c r="G17" s="4">
        <f t="shared" si="21"/>
        <v>174451.92</v>
      </c>
      <c r="H17" s="40" t="s">
        <v>103</v>
      </c>
      <c r="I17" s="9">
        <v>16</v>
      </c>
      <c r="J17" s="26">
        <v>2000</v>
      </c>
      <c r="K17" s="10">
        <f t="shared" ref="K17" si="25">J17/I17</f>
        <v>125</v>
      </c>
      <c r="L17" s="9">
        <v>16</v>
      </c>
      <c r="M17" s="11">
        <f t="shared" ref="M17" si="26">F17/V17*60</f>
        <v>1885.8715596330287</v>
      </c>
      <c r="N17" s="10">
        <f t="shared" si="22"/>
        <v>117.86697247706429</v>
      </c>
      <c r="O17" s="12">
        <f t="shared" ref="O17" si="27">L17-I17</f>
        <v>0</v>
      </c>
      <c r="P17" s="13">
        <f t="shared" ref="P17" si="28">N17-K17</f>
        <v>-7.1330275229357056</v>
      </c>
      <c r="Q17" s="14">
        <f t="shared" ref="Q17:Q24" si="29">N17/K17</f>
        <v>0.94293577981651433</v>
      </c>
      <c r="R17" s="442"/>
      <c r="S17" s="28">
        <v>0.78125</v>
      </c>
      <c r="T17" s="28">
        <v>0.8569444444444444</v>
      </c>
      <c r="U17" s="4">
        <f t="shared" ref="U17" si="30">IF(S17=TIME(17,0,0),"",(S17-T16)*24*60)</f>
        <v>6.9999999999999751</v>
      </c>
      <c r="V17" s="15">
        <f t="shared" ref="V17" si="31">(T17-S17)*24*60</f>
        <v>108.99999999999993</v>
      </c>
      <c r="W17" s="16"/>
      <c r="X17" s="16"/>
      <c r="Y17" s="443"/>
      <c r="Z17" s="443"/>
      <c r="AA17" s="12">
        <f t="shared" si="2"/>
        <v>-114.12844036697129</v>
      </c>
      <c r="AB17" s="14">
        <f t="shared" si="19"/>
        <v>0.94293577981651433</v>
      </c>
      <c r="AC17" s="442"/>
    </row>
    <row r="18" spans="1:29" ht="16.5" customHeight="1">
      <c r="A18" s="470" t="s">
        <v>40</v>
      </c>
      <c r="B18" s="31" t="s">
        <v>36</v>
      </c>
      <c r="C18" s="446"/>
      <c r="D18" s="446"/>
      <c r="E18" s="32"/>
      <c r="F18" s="33"/>
      <c r="G18" s="10"/>
      <c r="H18" s="27"/>
      <c r="I18" s="19">
        <v>19.666666666666668</v>
      </c>
      <c r="J18" s="26">
        <v>1833.3333333333333</v>
      </c>
      <c r="K18" s="10">
        <f>J18/I18</f>
        <v>93.220338983050837</v>
      </c>
      <c r="L18" s="19">
        <v>19.666666666666668</v>
      </c>
      <c r="M18" s="11">
        <f>AVERAGE(M15:M17)</f>
        <v>1726.7318964282965</v>
      </c>
      <c r="N18" s="10">
        <f t="shared" si="22"/>
        <v>87.799926937032026</v>
      </c>
      <c r="O18" s="12">
        <f>L18-I18</f>
        <v>0</v>
      </c>
      <c r="P18" s="13">
        <f>N18-K18</f>
        <v>-5.4204120460188108</v>
      </c>
      <c r="Q18" s="14">
        <f t="shared" si="29"/>
        <v>0.94185376168816182</v>
      </c>
      <c r="R18" s="442"/>
      <c r="S18" s="28"/>
      <c r="T18" s="28"/>
      <c r="U18" s="4"/>
      <c r="V18" s="15"/>
      <c r="W18" s="10"/>
      <c r="X18" s="10"/>
      <c r="Y18" s="443"/>
      <c r="Z18" s="443"/>
      <c r="AA18" s="12">
        <f t="shared" si="2"/>
        <v>-106.60143690503673</v>
      </c>
      <c r="AB18" s="14">
        <f t="shared" si="19"/>
        <v>0.94185376168816182</v>
      </c>
      <c r="AC18" s="442"/>
    </row>
    <row r="19" spans="1:29" ht="15.75" customHeight="1">
      <c r="A19" s="467" t="s">
        <v>41</v>
      </c>
      <c r="B19" s="31" t="s">
        <v>56</v>
      </c>
      <c r="C19" s="464" t="s">
        <v>61</v>
      </c>
      <c r="D19" s="464"/>
      <c r="E19" s="31">
        <v>43.14</v>
      </c>
      <c r="F19" s="27">
        <v>1557</v>
      </c>
      <c r="G19" s="4">
        <f t="shared" ref="G19:G24" si="32">E19*F19</f>
        <v>67168.98</v>
      </c>
      <c r="H19" s="40" t="s">
        <v>103</v>
      </c>
      <c r="I19" s="9">
        <v>17</v>
      </c>
      <c r="J19" s="26">
        <v>2000</v>
      </c>
      <c r="K19" s="10">
        <f t="shared" ref="K19:K25" si="33">J19/I19</f>
        <v>117.64705882352941</v>
      </c>
      <c r="L19" s="9">
        <v>17</v>
      </c>
      <c r="M19" s="11">
        <f t="shared" ref="M19:M24" si="34">F19/V19*60</f>
        <v>1906.5306122448985</v>
      </c>
      <c r="N19" s="10">
        <f t="shared" si="22"/>
        <v>112.14885954381757</v>
      </c>
      <c r="O19" s="12">
        <f t="shared" ref="O19:O24" si="35">L19-I19</f>
        <v>0</v>
      </c>
      <c r="P19" s="13">
        <f t="shared" ref="P19:P24" si="36">N19-K19</f>
        <v>-5.4981992797118409</v>
      </c>
      <c r="Q19" s="14">
        <f t="shared" si="29"/>
        <v>0.95326530612244931</v>
      </c>
      <c r="R19" s="442">
        <f>Q25</f>
        <v>0.94945242169448474</v>
      </c>
      <c r="S19" s="28">
        <v>0.20833333333333334</v>
      </c>
      <c r="T19" s="28">
        <v>0.24236111111111111</v>
      </c>
      <c r="U19" s="4"/>
      <c r="V19" s="15">
        <f>(T19-S19)*24*60</f>
        <v>48.999999999999986</v>
      </c>
      <c r="W19" s="18"/>
      <c r="X19" s="18"/>
      <c r="Y19" s="443"/>
      <c r="Z19" s="443"/>
      <c r="AA19" s="12">
        <f t="shared" si="2"/>
        <v>-93.469387755101479</v>
      </c>
      <c r="AB19" s="14">
        <f t="shared" si="19"/>
        <v>0.95326530612244931</v>
      </c>
      <c r="AC19" s="442">
        <f>AB25</f>
        <v>0.94945242169448474</v>
      </c>
    </row>
    <row r="20" spans="1:29" ht="15.75" customHeight="1">
      <c r="A20" s="468" t="s">
        <v>41</v>
      </c>
      <c r="B20" s="31" t="s">
        <v>58</v>
      </c>
      <c r="C20" s="464" t="s">
        <v>62</v>
      </c>
      <c r="D20" s="464"/>
      <c r="E20" s="31">
        <v>57.73</v>
      </c>
      <c r="F20" s="27">
        <v>3007</v>
      </c>
      <c r="G20" s="4">
        <f t="shared" si="32"/>
        <v>173594.11</v>
      </c>
      <c r="H20" s="40" t="s">
        <v>103</v>
      </c>
      <c r="I20" s="9">
        <v>16</v>
      </c>
      <c r="J20" s="26">
        <v>2000</v>
      </c>
      <c r="K20" s="10">
        <f t="shared" si="33"/>
        <v>125</v>
      </c>
      <c r="L20" s="9">
        <v>16</v>
      </c>
      <c r="M20" s="11">
        <f t="shared" si="34"/>
        <v>1879.3750000000005</v>
      </c>
      <c r="N20" s="10">
        <f t="shared" si="22"/>
        <v>117.46093750000003</v>
      </c>
      <c r="O20" s="12">
        <f t="shared" si="35"/>
        <v>0</v>
      </c>
      <c r="P20" s="13">
        <f t="shared" si="36"/>
        <v>-7.5390624999999716</v>
      </c>
      <c r="Q20" s="14">
        <f t="shared" si="29"/>
        <v>0.93968750000000023</v>
      </c>
      <c r="R20" s="442"/>
      <c r="S20" s="28">
        <v>0.24652777777777779</v>
      </c>
      <c r="T20" s="28">
        <v>0.31319444444444444</v>
      </c>
      <c r="U20" s="4">
        <f>IF(S20=TIME(17,0,0),"",(S20-T19)*24*60)</f>
        <v>6.0000000000000187</v>
      </c>
      <c r="V20" s="15">
        <f t="shared" ref="V20:V24" si="37">(T20-S20)*24*60</f>
        <v>95.999999999999972</v>
      </c>
      <c r="W20" s="16"/>
      <c r="X20" s="4"/>
      <c r="Y20" s="443"/>
      <c r="Z20" s="443"/>
      <c r="AA20" s="12">
        <f t="shared" si="2"/>
        <v>-120.62499999999955</v>
      </c>
      <c r="AB20" s="14">
        <f t="shared" si="19"/>
        <v>0.93968750000000023</v>
      </c>
      <c r="AC20" s="442"/>
    </row>
    <row r="21" spans="1:29" ht="15.75" customHeight="1">
      <c r="A21" s="468" t="s">
        <v>41</v>
      </c>
      <c r="B21" s="31" t="s">
        <v>58</v>
      </c>
      <c r="C21" s="464" t="s">
        <v>63</v>
      </c>
      <c r="D21" s="464"/>
      <c r="E21" s="31">
        <v>53.68</v>
      </c>
      <c r="F21" s="27">
        <v>1961</v>
      </c>
      <c r="G21" s="4">
        <f t="shared" si="32"/>
        <v>105266.48</v>
      </c>
      <c r="H21" s="40" t="s">
        <v>103</v>
      </c>
      <c r="I21" s="9">
        <v>17</v>
      </c>
      <c r="J21" s="26">
        <v>2000</v>
      </c>
      <c r="K21" s="10">
        <f t="shared" si="33"/>
        <v>117.64705882352941</v>
      </c>
      <c r="L21" s="9">
        <v>17</v>
      </c>
      <c r="M21" s="11">
        <f t="shared" si="34"/>
        <v>1897.7419354838703</v>
      </c>
      <c r="N21" s="10">
        <f t="shared" si="22"/>
        <v>111.63187855787473</v>
      </c>
      <c r="O21" s="12">
        <f t="shared" si="35"/>
        <v>0</v>
      </c>
      <c r="P21" s="13">
        <f t="shared" si="36"/>
        <v>-6.0151802656546778</v>
      </c>
      <c r="Q21" s="14">
        <f t="shared" si="29"/>
        <v>0.94887096774193525</v>
      </c>
      <c r="R21" s="442"/>
      <c r="S21" s="28">
        <v>0.31666666666666665</v>
      </c>
      <c r="T21" s="28">
        <v>0.35972222222222222</v>
      </c>
      <c r="U21" s="4">
        <f t="shared" ref="U21:U24" si="38">IF(S21=TIME(17,0,0),"",(S21-T20)*24*60)</f>
        <v>4.9999999999999822</v>
      </c>
      <c r="V21" s="15">
        <f t="shared" si="37"/>
        <v>62.000000000000021</v>
      </c>
      <c r="W21" s="16"/>
      <c r="X21" s="4"/>
      <c r="Y21" s="443"/>
      <c r="Z21" s="443"/>
      <c r="AA21" s="12">
        <f t="shared" si="2"/>
        <v>-102.25806451612971</v>
      </c>
      <c r="AB21" s="14">
        <f t="shared" si="19"/>
        <v>0.94887096774193513</v>
      </c>
      <c r="AC21" s="442"/>
    </row>
    <row r="22" spans="1:29" ht="15.75" customHeight="1">
      <c r="A22" s="468" t="s">
        <v>42</v>
      </c>
      <c r="B22" s="31" t="s">
        <v>58</v>
      </c>
      <c r="C22" s="464" t="s">
        <v>64</v>
      </c>
      <c r="D22" s="464"/>
      <c r="E22" s="31">
        <v>58.17</v>
      </c>
      <c r="F22" s="27">
        <v>1738</v>
      </c>
      <c r="G22" s="4">
        <f t="shared" si="32"/>
        <v>101099.46</v>
      </c>
      <c r="H22" s="40" t="s">
        <v>103</v>
      </c>
      <c r="I22" s="9">
        <v>18</v>
      </c>
      <c r="J22" s="26">
        <v>2000</v>
      </c>
      <c r="K22" s="10">
        <f t="shared" si="33"/>
        <v>111.11111111111111</v>
      </c>
      <c r="L22" s="9">
        <v>18</v>
      </c>
      <c r="M22" s="11">
        <f t="shared" si="34"/>
        <v>1896.0000000000011</v>
      </c>
      <c r="N22" s="10">
        <f t="shared" si="22"/>
        <v>105.3333333333334</v>
      </c>
      <c r="O22" s="12">
        <f t="shared" si="35"/>
        <v>0</v>
      </c>
      <c r="P22" s="13">
        <f t="shared" si="36"/>
        <v>-5.7777777777777146</v>
      </c>
      <c r="Q22" s="14">
        <f t="shared" si="29"/>
        <v>0.94800000000000062</v>
      </c>
      <c r="R22" s="442"/>
      <c r="S22" s="28">
        <v>0.36527777777777776</v>
      </c>
      <c r="T22" s="28">
        <v>0.40347222222222218</v>
      </c>
      <c r="U22" s="4">
        <f t="shared" si="38"/>
        <v>7.9999999999999716</v>
      </c>
      <c r="V22" s="15">
        <f t="shared" si="37"/>
        <v>54.999999999999964</v>
      </c>
      <c r="W22" s="16"/>
      <c r="X22" s="4"/>
      <c r="Y22" s="443"/>
      <c r="Z22" s="443"/>
      <c r="AA22" s="12">
        <f t="shared" si="2"/>
        <v>-103.99999999999886</v>
      </c>
      <c r="AB22" s="14">
        <f t="shared" si="19"/>
        <v>0.94800000000000062</v>
      </c>
      <c r="AC22" s="442"/>
    </row>
    <row r="23" spans="1:29" ht="15.75" customHeight="1">
      <c r="A23" s="468" t="s">
        <v>42</v>
      </c>
      <c r="B23" s="31" t="s">
        <v>58</v>
      </c>
      <c r="C23" s="464" t="s">
        <v>65</v>
      </c>
      <c r="D23" s="464"/>
      <c r="E23" s="31">
        <v>54.09</v>
      </c>
      <c r="F23" s="27">
        <v>3728</v>
      </c>
      <c r="G23" s="4">
        <f t="shared" si="32"/>
        <v>201647.52000000002</v>
      </c>
      <c r="H23" s="40" t="s">
        <v>103</v>
      </c>
      <c r="I23" s="9">
        <v>20</v>
      </c>
      <c r="J23" s="26">
        <v>2000</v>
      </c>
      <c r="K23" s="10">
        <f t="shared" si="33"/>
        <v>100</v>
      </c>
      <c r="L23" s="9">
        <v>20</v>
      </c>
      <c r="M23" s="11">
        <f t="shared" si="34"/>
        <v>1879.6638655462175</v>
      </c>
      <c r="N23" s="10">
        <f t="shared" si="22"/>
        <v>93.983193277310875</v>
      </c>
      <c r="O23" s="12">
        <f t="shared" si="35"/>
        <v>0</v>
      </c>
      <c r="P23" s="13">
        <f t="shared" si="36"/>
        <v>-6.0168067226891253</v>
      </c>
      <c r="Q23" s="14">
        <f t="shared" si="29"/>
        <v>0.93983193277310872</v>
      </c>
      <c r="R23" s="442"/>
      <c r="S23" s="28">
        <v>0.70833333333333337</v>
      </c>
      <c r="T23" s="28">
        <v>0.7909722222222223</v>
      </c>
      <c r="U23" s="4" t="str">
        <f t="shared" si="38"/>
        <v/>
      </c>
      <c r="V23" s="15">
        <f t="shared" si="37"/>
        <v>119.00000000000006</v>
      </c>
      <c r="W23" s="16"/>
      <c r="X23" s="4"/>
      <c r="Y23" s="443"/>
      <c r="Z23" s="443"/>
      <c r="AA23" s="12">
        <f t="shared" si="2"/>
        <v>-120.33613445378251</v>
      </c>
      <c r="AB23" s="14">
        <f t="shared" si="19"/>
        <v>0.93983193277310872</v>
      </c>
      <c r="AC23" s="442"/>
    </row>
    <row r="24" spans="1:29" ht="15.75" customHeight="1">
      <c r="A24" s="468" t="s">
        <v>41</v>
      </c>
      <c r="B24" s="31" t="s">
        <v>58</v>
      </c>
      <c r="C24" s="464" t="s">
        <v>66</v>
      </c>
      <c r="D24" s="464"/>
      <c r="E24" s="31">
        <v>53.27</v>
      </c>
      <c r="F24" s="27">
        <v>548</v>
      </c>
      <c r="G24" s="4">
        <f t="shared" si="32"/>
        <v>29191.960000000003</v>
      </c>
      <c r="H24" s="40" t="s">
        <v>103</v>
      </c>
      <c r="I24" s="9">
        <v>15</v>
      </c>
      <c r="J24" s="26">
        <v>2000</v>
      </c>
      <c r="K24" s="10">
        <f t="shared" si="33"/>
        <v>133.33333333333334</v>
      </c>
      <c r="L24" s="9">
        <v>15</v>
      </c>
      <c r="M24" s="11">
        <f t="shared" si="34"/>
        <v>1934.1176470588302</v>
      </c>
      <c r="N24" s="10">
        <f t="shared" si="22"/>
        <v>128.94117647058869</v>
      </c>
      <c r="O24" s="12">
        <f t="shared" si="35"/>
        <v>0</v>
      </c>
      <c r="P24" s="13">
        <f t="shared" si="36"/>
        <v>-4.3921568627446561</v>
      </c>
      <c r="Q24" s="14">
        <f t="shared" si="29"/>
        <v>0.96705882352941508</v>
      </c>
      <c r="R24" s="442"/>
      <c r="S24" s="28">
        <v>0.79652777777777783</v>
      </c>
      <c r="T24" s="28">
        <v>0.80833333333333335</v>
      </c>
      <c r="U24" s="4">
        <f t="shared" si="38"/>
        <v>7.9999999999999716</v>
      </c>
      <c r="V24" s="15">
        <f t="shared" si="37"/>
        <v>16.99999999999994</v>
      </c>
      <c r="W24" s="16"/>
      <c r="X24" s="18"/>
      <c r="Y24" s="443"/>
      <c r="Z24" s="443"/>
      <c r="AA24" s="12">
        <f t="shared" si="2"/>
        <v>-65.882352941169756</v>
      </c>
      <c r="AB24" s="14">
        <f t="shared" si="19"/>
        <v>0.96705882352941508</v>
      </c>
      <c r="AC24" s="442"/>
    </row>
    <row r="25" spans="1:29" ht="15.75" customHeight="1">
      <c r="A25" s="468" t="s">
        <v>41</v>
      </c>
      <c r="B25" s="31" t="s">
        <v>39</v>
      </c>
      <c r="C25" s="446"/>
      <c r="D25" s="446"/>
      <c r="E25" s="32"/>
      <c r="F25" s="27"/>
      <c r="G25" s="4"/>
      <c r="H25" s="27"/>
      <c r="I25" s="19">
        <v>17.166666666666668</v>
      </c>
      <c r="J25" s="26">
        <v>2000</v>
      </c>
      <c r="K25" s="10">
        <f t="shared" si="33"/>
        <v>116.50485436893203</v>
      </c>
      <c r="L25" s="19">
        <v>17.166666666666668</v>
      </c>
      <c r="M25" s="11">
        <f>AVERAGE(M19:M24)</f>
        <v>1898.9048433889695</v>
      </c>
      <c r="N25" s="10">
        <f>M25/L25</f>
        <v>110.61581611974579</v>
      </c>
      <c r="O25" s="12">
        <f>L25-I25</f>
        <v>0</v>
      </c>
      <c r="P25" s="13">
        <f>N25-K25</f>
        <v>-5.8890382491862425</v>
      </c>
      <c r="Q25" s="14">
        <f>N25/K25</f>
        <v>0.94945242169448474</v>
      </c>
      <c r="R25" s="442"/>
      <c r="S25" s="28"/>
      <c r="T25" s="28"/>
      <c r="U25" s="10"/>
      <c r="V25" s="15"/>
      <c r="W25" s="10"/>
      <c r="X25" s="10"/>
      <c r="Y25" s="443"/>
      <c r="Z25" s="443"/>
      <c r="AA25" s="12">
        <f t="shared" ref="AA25:AA55" si="39">M25-J25</f>
        <v>-101.09515661103046</v>
      </c>
      <c r="AB25" s="14">
        <f t="shared" si="19"/>
        <v>0.94945242169448474</v>
      </c>
      <c r="AC25" s="442"/>
    </row>
    <row r="26" spans="1:29" ht="15.75" customHeight="1">
      <c r="A26" s="463" t="s">
        <v>43</v>
      </c>
      <c r="B26" s="31" t="s">
        <v>67</v>
      </c>
      <c r="C26" s="464" t="s">
        <v>68</v>
      </c>
      <c r="D26" s="464"/>
      <c r="E26" s="31">
        <v>26.2</v>
      </c>
      <c r="F26" s="27">
        <v>4512</v>
      </c>
      <c r="G26" s="4">
        <f t="shared" ref="G26:G32" si="40">E26*F26</f>
        <v>118214.39999999999</v>
      </c>
      <c r="H26" s="40" t="s">
        <v>103</v>
      </c>
      <c r="I26" s="9">
        <v>20</v>
      </c>
      <c r="J26" s="26">
        <v>2400</v>
      </c>
      <c r="K26" s="10">
        <f>J26/I26</f>
        <v>120</v>
      </c>
      <c r="L26" s="9">
        <v>20</v>
      </c>
      <c r="M26" s="11">
        <f t="shared" ref="M26:M32" si="41">F26/V26*60</f>
        <v>2256.0000000000005</v>
      </c>
      <c r="N26" s="10">
        <f t="shared" ref="N26:N32" si="42">M26/L26</f>
        <v>112.80000000000003</v>
      </c>
      <c r="O26" s="12">
        <f t="shared" ref="O26:O32" si="43">L26-I26</f>
        <v>0</v>
      </c>
      <c r="P26" s="13">
        <f t="shared" ref="P26:P32" si="44">N26-K26</f>
        <v>-7.1999999999999744</v>
      </c>
      <c r="Q26" s="14">
        <f t="shared" ref="Q26:Q32" si="45">N26/K26</f>
        <v>0.94000000000000017</v>
      </c>
      <c r="R26" s="442">
        <f>Q33</f>
        <v>0.94113283025937977</v>
      </c>
      <c r="S26" s="28">
        <v>0.125</v>
      </c>
      <c r="T26" s="28">
        <v>0.20833333333333331</v>
      </c>
      <c r="U26" s="4"/>
      <c r="V26" s="15">
        <f t="shared" ref="V26:V32" si="46">(T26-S26)*24*60</f>
        <v>119.99999999999997</v>
      </c>
      <c r="W26" s="16">
        <f>T26</f>
        <v>0.20833333333333331</v>
      </c>
      <c r="X26" s="16">
        <f>S27</f>
        <v>0.22777777777777777</v>
      </c>
      <c r="Y26" s="443"/>
      <c r="Z26" s="443"/>
      <c r="AA26" s="12">
        <f t="shared" si="39"/>
        <v>-143.99999999999955</v>
      </c>
      <c r="AB26" s="14">
        <f>M26/J26</f>
        <v>0.94000000000000017</v>
      </c>
      <c r="AC26" s="442">
        <f>AB33</f>
        <v>0.94113283025937977</v>
      </c>
    </row>
    <row r="27" spans="1:29" ht="15.75" customHeight="1">
      <c r="A27" s="463" t="s">
        <v>43</v>
      </c>
      <c r="B27" s="31" t="s">
        <v>67</v>
      </c>
      <c r="C27" s="464" t="s">
        <v>69</v>
      </c>
      <c r="D27" s="464"/>
      <c r="E27" s="31">
        <v>31.29</v>
      </c>
      <c r="F27" s="27">
        <v>5300</v>
      </c>
      <c r="G27" s="4">
        <f t="shared" si="40"/>
        <v>165837</v>
      </c>
      <c r="H27" s="40" t="s">
        <v>103</v>
      </c>
      <c r="I27" s="9">
        <v>16</v>
      </c>
      <c r="J27" s="26">
        <v>2400</v>
      </c>
      <c r="K27" s="10">
        <f t="shared" ref="K27:K33" si="47">J27/I27</f>
        <v>150</v>
      </c>
      <c r="L27" s="9">
        <v>16</v>
      </c>
      <c r="M27" s="11">
        <f t="shared" si="41"/>
        <v>2255.3191489361698</v>
      </c>
      <c r="N27" s="10">
        <f t="shared" si="42"/>
        <v>140.95744680851061</v>
      </c>
      <c r="O27" s="12">
        <f t="shared" si="43"/>
        <v>0</v>
      </c>
      <c r="P27" s="13">
        <f t="shared" si="44"/>
        <v>-9.0425531914893895</v>
      </c>
      <c r="Q27" s="14">
        <f t="shared" si="45"/>
        <v>0.93971631205673745</v>
      </c>
      <c r="R27" s="442"/>
      <c r="S27" s="28">
        <v>0.22777777777777777</v>
      </c>
      <c r="T27" s="28">
        <v>0.32569444444444445</v>
      </c>
      <c r="U27" s="4">
        <f>(S27-T26)*24*60</f>
        <v>28.000000000000021</v>
      </c>
      <c r="V27" s="15">
        <f t="shared" si="46"/>
        <v>141.00000000000003</v>
      </c>
      <c r="W27" s="16"/>
      <c r="X27" s="16"/>
      <c r="Y27" s="443"/>
      <c r="Z27" s="443"/>
      <c r="AA27" s="12">
        <f t="shared" si="39"/>
        <v>-144.68085106383023</v>
      </c>
      <c r="AB27" s="14">
        <f t="shared" ref="AB27:AB32" si="48">M27/J27</f>
        <v>0.93971631205673745</v>
      </c>
      <c r="AC27" s="442"/>
    </row>
    <row r="28" spans="1:29" ht="15.75" customHeight="1">
      <c r="A28" s="463" t="s">
        <v>43</v>
      </c>
      <c r="B28" s="31" t="s">
        <v>67</v>
      </c>
      <c r="C28" s="464" t="s">
        <v>70</v>
      </c>
      <c r="D28" s="464"/>
      <c r="E28" s="31">
        <v>24.25</v>
      </c>
      <c r="F28" s="27">
        <v>4721</v>
      </c>
      <c r="G28" s="4">
        <f t="shared" si="40"/>
        <v>114484.25</v>
      </c>
      <c r="H28" s="40" t="s">
        <v>103</v>
      </c>
      <c r="I28" s="9">
        <v>18</v>
      </c>
      <c r="J28" s="26">
        <v>2400</v>
      </c>
      <c r="K28" s="10">
        <f t="shared" si="47"/>
        <v>133.33333333333334</v>
      </c>
      <c r="L28" s="9">
        <v>18</v>
      </c>
      <c r="M28" s="11">
        <f t="shared" si="41"/>
        <v>2248.0952380952376</v>
      </c>
      <c r="N28" s="10">
        <f t="shared" si="42"/>
        <v>124.89417989417987</v>
      </c>
      <c r="O28" s="12">
        <f t="shared" si="43"/>
        <v>0</v>
      </c>
      <c r="P28" s="13">
        <f t="shared" si="44"/>
        <v>-8.4391534391534719</v>
      </c>
      <c r="Q28" s="14">
        <f t="shared" si="45"/>
        <v>0.93670634920634899</v>
      </c>
      <c r="R28" s="442"/>
      <c r="S28" s="28">
        <v>0.33124999999999999</v>
      </c>
      <c r="T28" s="28">
        <v>0.41875000000000001</v>
      </c>
      <c r="U28" s="4">
        <f t="shared" ref="U28:U32" si="49">(S28-T27)*24*60</f>
        <v>7.9999999999999716</v>
      </c>
      <c r="V28" s="15">
        <f t="shared" si="46"/>
        <v>126.00000000000003</v>
      </c>
      <c r="W28" s="16"/>
      <c r="X28" s="16"/>
      <c r="Y28" s="443"/>
      <c r="Z28" s="443"/>
      <c r="AA28" s="12">
        <f t="shared" si="39"/>
        <v>-151.90476190476238</v>
      </c>
      <c r="AB28" s="14">
        <f t="shared" si="48"/>
        <v>0.93670634920634899</v>
      </c>
      <c r="AC28" s="442"/>
    </row>
    <row r="29" spans="1:29" ht="15.75" customHeight="1">
      <c r="A29" s="463" t="s">
        <v>43</v>
      </c>
      <c r="B29" s="31" t="s">
        <v>67</v>
      </c>
      <c r="C29" s="464" t="s">
        <v>71</v>
      </c>
      <c r="D29" s="464"/>
      <c r="E29" s="31">
        <v>22.35</v>
      </c>
      <c r="F29" s="27">
        <v>1909</v>
      </c>
      <c r="G29" s="4">
        <f t="shared" si="40"/>
        <v>42666.15</v>
      </c>
      <c r="H29" s="40" t="s">
        <v>103</v>
      </c>
      <c r="I29" s="9">
        <v>16</v>
      </c>
      <c r="J29" s="26">
        <v>2400</v>
      </c>
      <c r="K29" s="10">
        <f t="shared" si="47"/>
        <v>150</v>
      </c>
      <c r="L29" s="9">
        <v>16</v>
      </c>
      <c r="M29" s="11">
        <f t="shared" si="41"/>
        <v>2245.882352941177</v>
      </c>
      <c r="N29" s="10">
        <f t="shared" si="42"/>
        <v>140.36764705882356</v>
      </c>
      <c r="O29" s="12">
        <f t="shared" si="43"/>
        <v>0</v>
      </c>
      <c r="P29" s="13">
        <f t="shared" si="44"/>
        <v>-9.6323529411764355</v>
      </c>
      <c r="Q29" s="14">
        <f t="shared" si="45"/>
        <v>0.93578431372549042</v>
      </c>
      <c r="R29" s="442"/>
      <c r="S29" s="28">
        <v>0.42222222222222222</v>
      </c>
      <c r="T29" s="28">
        <v>0.45763888888888887</v>
      </c>
      <c r="U29" s="4">
        <f t="shared" si="49"/>
        <v>4.9999999999999822</v>
      </c>
      <c r="V29" s="15">
        <f t="shared" si="46"/>
        <v>50.999999999999979</v>
      </c>
      <c r="W29" s="16"/>
      <c r="X29" s="16"/>
      <c r="Y29" s="443"/>
      <c r="Z29" s="443"/>
      <c r="AA29" s="12">
        <f t="shared" si="39"/>
        <v>-154.11764705882297</v>
      </c>
      <c r="AB29" s="14">
        <f t="shared" si="48"/>
        <v>0.93578431372549042</v>
      </c>
      <c r="AC29" s="442"/>
    </row>
    <row r="30" spans="1:29" ht="15.75" customHeight="1">
      <c r="A30" s="463" t="s">
        <v>43</v>
      </c>
      <c r="B30" s="31" t="s">
        <v>67</v>
      </c>
      <c r="C30" s="464" t="s">
        <v>72</v>
      </c>
      <c r="D30" s="464"/>
      <c r="E30" s="31">
        <v>25.98</v>
      </c>
      <c r="F30" s="27">
        <v>2300</v>
      </c>
      <c r="G30" s="4">
        <f t="shared" si="40"/>
        <v>59754</v>
      </c>
      <c r="H30" s="40">
        <v>2</v>
      </c>
      <c r="I30" s="9">
        <v>17</v>
      </c>
      <c r="J30" s="26">
        <v>2400</v>
      </c>
      <c r="K30" s="10">
        <f t="shared" si="47"/>
        <v>141.1764705882353</v>
      </c>
      <c r="L30" s="9">
        <v>17</v>
      </c>
      <c r="M30" s="11">
        <f t="shared" si="41"/>
        <v>2262.2950819672124</v>
      </c>
      <c r="N30" s="10">
        <f t="shared" si="42"/>
        <v>133.07618129218895</v>
      </c>
      <c r="O30" s="12">
        <f t="shared" si="43"/>
        <v>0</v>
      </c>
      <c r="P30" s="13">
        <f t="shared" si="44"/>
        <v>-8.1002892960463555</v>
      </c>
      <c r="Q30" s="14">
        <f t="shared" si="45"/>
        <v>0.94262295081967162</v>
      </c>
      <c r="R30" s="442"/>
      <c r="S30" s="28">
        <v>0.46111111111111108</v>
      </c>
      <c r="T30" s="28">
        <v>0.50347222222222221</v>
      </c>
      <c r="U30" s="4">
        <f t="shared" si="49"/>
        <v>4.9999999999999822</v>
      </c>
      <c r="V30" s="15">
        <f t="shared" si="46"/>
        <v>61.000000000000021</v>
      </c>
      <c r="W30" s="16">
        <f>T30</f>
        <v>0.50347222222222221</v>
      </c>
      <c r="X30" s="16">
        <f>S31</f>
        <v>0.54374999999999996</v>
      </c>
      <c r="Y30" s="443"/>
      <c r="Z30" s="443"/>
      <c r="AA30" s="12">
        <f t="shared" si="39"/>
        <v>-137.70491803278765</v>
      </c>
      <c r="AB30" s="14">
        <f t="shared" si="48"/>
        <v>0.94262295081967185</v>
      </c>
      <c r="AC30" s="442"/>
    </row>
    <row r="31" spans="1:29" ht="15.75" customHeight="1">
      <c r="A31" s="463" t="s">
        <v>43</v>
      </c>
      <c r="B31" s="31" t="s">
        <v>67</v>
      </c>
      <c r="C31" s="464" t="s">
        <v>69</v>
      </c>
      <c r="D31" s="464"/>
      <c r="E31" s="31">
        <v>31.29</v>
      </c>
      <c r="F31" s="27">
        <v>4550</v>
      </c>
      <c r="G31" s="4">
        <f t="shared" si="40"/>
        <v>142369.5</v>
      </c>
      <c r="H31" s="40" t="s">
        <v>103</v>
      </c>
      <c r="I31" s="9">
        <v>16</v>
      </c>
      <c r="J31" s="26">
        <v>2400</v>
      </c>
      <c r="K31" s="10">
        <f t="shared" si="47"/>
        <v>150</v>
      </c>
      <c r="L31" s="9">
        <v>16</v>
      </c>
      <c r="M31" s="11">
        <f t="shared" si="41"/>
        <v>2256.1983471074373</v>
      </c>
      <c r="N31" s="10">
        <f t="shared" si="42"/>
        <v>141.01239669421483</v>
      </c>
      <c r="O31" s="12">
        <f t="shared" si="43"/>
        <v>0</v>
      </c>
      <c r="P31" s="13">
        <f t="shared" si="44"/>
        <v>-8.9876033057851714</v>
      </c>
      <c r="Q31" s="14">
        <f t="shared" si="45"/>
        <v>0.94008264462809887</v>
      </c>
      <c r="R31" s="442"/>
      <c r="S31" s="28">
        <v>0.54374999999999996</v>
      </c>
      <c r="T31" s="28">
        <v>0.62777777777777777</v>
      </c>
      <c r="U31" s="4">
        <f t="shared" si="49"/>
        <v>57.999999999999957</v>
      </c>
      <c r="V31" s="15">
        <f t="shared" si="46"/>
        <v>121.00000000000006</v>
      </c>
      <c r="W31" s="16"/>
      <c r="X31" s="16"/>
      <c r="Y31" s="443"/>
      <c r="Z31" s="443"/>
      <c r="AA31" s="12">
        <f t="shared" si="39"/>
        <v>-143.80165289256274</v>
      </c>
      <c r="AB31" s="14">
        <f t="shared" si="48"/>
        <v>0.94008264462809887</v>
      </c>
      <c r="AC31" s="442"/>
    </row>
    <row r="32" spans="1:29" ht="15.75" customHeight="1">
      <c r="A32" s="463" t="s">
        <v>43</v>
      </c>
      <c r="B32" s="31" t="s">
        <v>67</v>
      </c>
      <c r="C32" s="464" t="s">
        <v>72</v>
      </c>
      <c r="D32" s="464"/>
      <c r="E32" s="31">
        <v>25.98</v>
      </c>
      <c r="F32" s="27">
        <v>2211</v>
      </c>
      <c r="G32" s="4">
        <f t="shared" si="40"/>
        <v>57441.78</v>
      </c>
      <c r="H32" s="40" t="s">
        <v>103</v>
      </c>
      <c r="I32" s="9">
        <v>17</v>
      </c>
      <c r="J32" s="26">
        <v>2400</v>
      </c>
      <c r="K32" s="10">
        <f t="shared" si="47"/>
        <v>141.1764705882353</v>
      </c>
      <c r="L32" s="9">
        <v>17</v>
      </c>
      <c r="M32" s="11">
        <f t="shared" si="41"/>
        <v>2287.2413793103465</v>
      </c>
      <c r="N32" s="10">
        <f t="shared" si="42"/>
        <v>134.54361054766744</v>
      </c>
      <c r="O32" s="12">
        <f t="shared" si="43"/>
        <v>0</v>
      </c>
      <c r="P32" s="13">
        <f t="shared" si="44"/>
        <v>-6.6328600405678628</v>
      </c>
      <c r="Q32" s="14">
        <f t="shared" si="45"/>
        <v>0.95301724137931099</v>
      </c>
      <c r="R32" s="442"/>
      <c r="S32" s="28">
        <v>0.63124999999999998</v>
      </c>
      <c r="T32" s="28">
        <v>0.67152777777777772</v>
      </c>
      <c r="U32" s="4">
        <f t="shared" si="49"/>
        <v>4.9999999999999822</v>
      </c>
      <c r="V32" s="15">
        <f t="shared" si="46"/>
        <v>57.999999999999957</v>
      </c>
      <c r="W32" s="16"/>
      <c r="X32" s="16"/>
      <c r="Y32" s="443"/>
      <c r="Z32" s="443"/>
      <c r="AA32" s="12">
        <f t="shared" si="39"/>
        <v>-112.75862068965353</v>
      </c>
      <c r="AB32" s="14">
        <f t="shared" si="48"/>
        <v>0.95301724137931099</v>
      </c>
      <c r="AC32" s="442"/>
    </row>
    <row r="33" spans="1:29" ht="15.75" customHeight="1">
      <c r="A33" s="463" t="s">
        <v>43</v>
      </c>
      <c r="B33" s="31" t="s">
        <v>39</v>
      </c>
      <c r="C33" s="446"/>
      <c r="D33" s="446"/>
      <c r="E33" s="32"/>
      <c r="F33" s="27"/>
      <c r="G33" s="4"/>
      <c r="H33" s="27"/>
      <c r="I33" s="19">
        <v>17.142857142857142</v>
      </c>
      <c r="J33" s="26">
        <v>2400</v>
      </c>
      <c r="K33" s="10">
        <f t="shared" si="47"/>
        <v>140</v>
      </c>
      <c r="L33" s="19">
        <v>17.142857142857142</v>
      </c>
      <c r="M33" s="11">
        <f>AVERAGE(M26:M32)</f>
        <v>2258.7187926225115</v>
      </c>
      <c r="N33" s="10">
        <f>M33/L33</f>
        <v>131.75859623631317</v>
      </c>
      <c r="O33" s="12">
        <f>L33-I33</f>
        <v>0</v>
      </c>
      <c r="P33" s="13">
        <f>N33-K33</f>
        <v>-8.2414037636868329</v>
      </c>
      <c r="Q33" s="14">
        <f>N33/K33</f>
        <v>0.94113283025937977</v>
      </c>
      <c r="R33" s="442"/>
      <c r="S33" s="28"/>
      <c r="T33" s="28"/>
      <c r="U33" s="4"/>
      <c r="V33" s="15"/>
      <c r="W33" s="4"/>
      <c r="X33" s="4"/>
      <c r="Y33" s="443"/>
      <c r="Z33" s="443"/>
      <c r="AA33" s="12">
        <f t="shared" si="39"/>
        <v>-141.2812073774885</v>
      </c>
      <c r="AB33" s="14">
        <f>M33/J33</f>
        <v>0.94113283025937977</v>
      </c>
      <c r="AC33" s="442"/>
    </row>
    <row r="34" spans="1:29" ht="15.75" customHeight="1">
      <c r="A34" s="461" t="s">
        <v>44</v>
      </c>
      <c r="B34" s="31" t="s">
        <v>67</v>
      </c>
      <c r="C34" s="441" t="s">
        <v>73</v>
      </c>
      <c r="D34" s="441"/>
      <c r="E34" s="31">
        <v>26.2</v>
      </c>
      <c r="F34" s="27">
        <v>4000</v>
      </c>
      <c r="G34" s="4">
        <f t="shared" ref="G34:G43" si="50">E34*F34</f>
        <v>104800</v>
      </c>
      <c r="H34" s="40">
        <v>2</v>
      </c>
      <c r="I34" s="9">
        <v>18</v>
      </c>
      <c r="J34" s="26">
        <v>2400</v>
      </c>
      <c r="K34" s="10">
        <f>J34/I34</f>
        <v>133.33333333333334</v>
      </c>
      <c r="L34" s="9">
        <v>18</v>
      </c>
      <c r="M34" s="11">
        <f>F34/V34*60</f>
        <v>2264.1509433962256</v>
      </c>
      <c r="N34" s="10">
        <f>M34/L34</f>
        <v>125.78616352201253</v>
      </c>
      <c r="O34" s="12">
        <f t="shared" ref="O34:O43" si="51">L34-I34</f>
        <v>0</v>
      </c>
      <c r="P34" s="13">
        <f t="shared" ref="P34:P53" si="52">N34-K34</f>
        <v>-7.5471698113208134</v>
      </c>
      <c r="Q34" s="14">
        <f t="shared" ref="Q34:Q48" si="53">N34/K34</f>
        <v>0.94339622641509391</v>
      </c>
      <c r="R34" s="442">
        <f>Q44</f>
        <v>0.94233409916095523</v>
      </c>
      <c r="S34" s="28">
        <v>0.125</v>
      </c>
      <c r="T34" s="28">
        <v>0.19861111111111113</v>
      </c>
      <c r="U34" s="4"/>
      <c r="V34" s="15">
        <f t="shared" ref="V34:V43" si="54">(T34-S34)*24*60</f>
        <v>106.00000000000003</v>
      </c>
      <c r="W34" s="18">
        <f>T34</f>
        <v>0.19861111111111113</v>
      </c>
      <c r="X34" s="18">
        <f>S35</f>
        <v>0.21736111111111112</v>
      </c>
      <c r="Y34" s="443"/>
      <c r="Z34" s="443"/>
      <c r="AA34" s="12">
        <f t="shared" si="39"/>
        <v>-135.84905660377444</v>
      </c>
      <c r="AB34" s="14">
        <f>M34/J34</f>
        <v>0.94339622641509402</v>
      </c>
      <c r="AC34" s="442">
        <f>AB44</f>
        <v>0.94233409916095523</v>
      </c>
    </row>
    <row r="35" spans="1:29" ht="15.75" customHeight="1">
      <c r="A35" s="461" t="s">
        <v>44</v>
      </c>
      <c r="B35" s="31" t="s">
        <v>67</v>
      </c>
      <c r="C35" s="441" t="s">
        <v>74</v>
      </c>
      <c r="D35" s="441"/>
      <c r="E35" s="31">
        <v>24.45</v>
      </c>
      <c r="F35" s="27">
        <v>2289</v>
      </c>
      <c r="G35" s="4">
        <f t="shared" si="50"/>
        <v>55966.049999999996</v>
      </c>
      <c r="H35" s="40" t="s">
        <v>103</v>
      </c>
      <c r="I35" s="9">
        <v>20</v>
      </c>
      <c r="J35" s="26">
        <v>2400</v>
      </c>
      <c r="K35" s="10">
        <f t="shared" ref="K35:K52" si="55">J35/I35</f>
        <v>120</v>
      </c>
      <c r="L35" s="9">
        <v>20</v>
      </c>
      <c r="M35" s="11">
        <f t="shared" ref="M35:M43" si="56">F35/V35*60</f>
        <v>2251.475409836065</v>
      </c>
      <c r="N35" s="10">
        <f t="shared" ref="N35:N43" si="57">M35/L35</f>
        <v>112.57377049180324</v>
      </c>
      <c r="O35" s="12">
        <f t="shared" si="51"/>
        <v>0</v>
      </c>
      <c r="P35" s="13">
        <f t="shared" si="52"/>
        <v>-7.4262295081967551</v>
      </c>
      <c r="Q35" s="14">
        <f t="shared" si="53"/>
        <v>0.93811475409836043</v>
      </c>
      <c r="R35" s="442"/>
      <c r="S35" s="28">
        <v>0.21736111111111112</v>
      </c>
      <c r="T35" s="28">
        <v>0.25972222222222224</v>
      </c>
      <c r="U35" s="4">
        <f>(S35-T34)*24*60</f>
        <v>26.999999999999986</v>
      </c>
      <c r="V35" s="15">
        <f t="shared" si="54"/>
        <v>61.000000000000021</v>
      </c>
      <c r="W35" s="4"/>
      <c r="X35" s="4"/>
      <c r="Y35" s="443"/>
      <c r="Z35" s="443"/>
      <c r="AA35" s="12">
        <f t="shared" si="39"/>
        <v>-148.52459016393504</v>
      </c>
      <c r="AB35" s="14">
        <f t="shared" ref="AB35:AB65" si="58">M35/J35</f>
        <v>0.93811475409836043</v>
      </c>
      <c r="AC35" s="442"/>
    </row>
    <row r="36" spans="1:29">
      <c r="A36" s="462" t="s">
        <v>44</v>
      </c>
      <c r="B36" s="31" t="s">
        <v>67</v>
      </c>
      <c r="C36" s="441" t="s">
        <v>75</v>
      </c>
      <c r="D36" s="441"/>
      <c r="E36" s="31">
        <v>26.39</v>
      </c>
      <c r="F36" s="27">
        <v>3700</v>
      </c>
      <c r="G36" s="4">
        <f t="shared" si="50"/>
        <v>97643</v>
      </c>
      <c r="H36" s="40">
        <v>2</v>
      </c>
      <c r="I36" s="9">
        <v>19</v>
      </c>
      <c r="J36" s="26">
        <v>2400</v>
      </c>
      <c r="K36" s="10">
        <f t="shared" si="55"/>
        <v>126.31578947368421</v>
      </c>
      <c r="L36" s="9">
        <v>19</v>
      </c>
      <c r="M36" s="11">
        <f t="shared" si="56"/>
        <v>2265.3061224489802</v>
      </c>
      <c r="N36" s="10">
        <f t="shared" si="57"/>
        <v>119.22663802363054</v>
      </c>
      <c r="O36" s="12">
        <f t="shared" si="51"/>
        <v>0</v>
      </c>
      <c r="P36" s="13">
        <f t="shared" si="52"/>
        <v>-7.089151450053663</v>
      </c>
      <c r="Q36" s="14">
        <f t="shared" si="53"/>
        <v>0.94387755102040849</v>
      </c>
      <c r="R36" s="442"/>
      <c r="S36" s="28">
        <v>0.2638888888888889</v>
      </c>
      <c r="T36" s="28">
        <v>0.33194444444444443</v>
      </c>
      <c r="U36" s="4">
        <f t="shared" ref="U36:U43" si="59">(S36-T35)*24*60</f>
        <v>5.9999999999999787</v>
      </c>
      <c r="V36" s="15">
        <f t="shared" si="54"/>
        <v>97.999999999999972</v>
      </c>
      <c r="W36" s="4"/>
      <c r="X36" s="4"/>
      <c r="Y36" s="443"/>
      <c r="Z36" s="443"/>
      <c r="AA36" s="12">
        <f t="shared" si="39"/>
        <v>-134.6938775510198</v>
      </c>
      <c r="AB36" s="14">
        <f t="shared" si="58"/>
        <v>0.94387755102040838</v>
      </c>
      <c r="AC36" s="442"/>
    </row>
    <row r="37" spans="1:29">
      <c r="A37" s="462" t="s">
        <v>45</v>
      </c>
      <c r="B37" s="31" t="s">
        <v>67</v>
      </c>
      <c r="C37" s="441" t="s">
        <v>76</v>
      </c>
      <c r="D37" s="441"/>
      <c r="E37" s="31">
        <v>20.52</v>
      </c>
      <c r="F37" s="27">
        <v>3710</v>
      </c>
      <c r="G37" s="4">
        <f t="shared" si="50"/>
        <v>76129.2</v>
      </c>
      <c r="H37" s="40" t="s">
        <v>103</v>
      </c>
      <c r="I37" s="9">
        <v>18</v>
      </c>
      <c r="J37" s="26">
        <v>2400</v>
      </c>
      <c r="K37" s="10">
        <f t="shared" si="55"/>
        <v>133.33333333333334</v>
      </c>
      <c r="L37" s="9">
        <v>18</v>
      </c>
      <c r="M37" s="11">
        <f t="shared" si="56"/>
        <v>2248.4848484848494</v>
      </c>
      <c r="N37" s="10">
        <f t="shared" si="57"/>
        <v>124.91582491582497</v>
      </c>
      <c r="O37" s="12">
        <f t="shared" si="51"/>
        <v>0</v>
      </c>
      <c r="P37" s="13">
        <f t="shared" si="52"/>
        <v>-8.4175084175083725</v>
      </c>
      <c r="Q37" s="14">
        <f t="shared" si="53"/>
        <v>0.93686868686868718</v>
      </c>
      <c r="R37" s="442"/>
      <c r="S37" s="28">
        <v>0.33541666666666664</v>
      </c>
      <c r="T37" s="28">
        <v>0.40416666666666662</v>
      </c>
      <c r="U37" s="4">
        <f t="shared" si="59"/>
        <v>4.9999999999999822</v>
      </c>
      <c r="V37" s="15">
        <f t="shared" si="54"/>
        <v>98.999999999999972</v>
      </c>
      <c r="W37" s="16"/>
      <c r="X37" s="16"/>
      <c r="Y37" s="443"/>
      <c r="Z37" s="443"/>
      <c r="AA37" s="12">
        <f t="shared" si="39"/>
        <v>-151.51515151515059</v>
      </c>
      <c r="AB37" s="14">
        <f t="shared" si="58"/>
        <v>0.93686868686868729</v>
      </c>
      <c r="AC37" s="442"/>
    </row>
    <row r="38" spans="1:29">
      <c r="A38" s="462" t="s">
        <v>44</v>
      </c>
      <c r="B38" s="31" t="s">
        <v>67</v>
      </c>
      <c r="C38" s="441" t="s">
        <v>77</v>
      </c>
      <c r="D38" s="441"/>
      <c r="E38" s="31">
        <v>26.2</v>
      </c>
      <c r="F38" s="27">
        <v>3100</v>
      </c>
      <c r="G38" s="4">
        <f t="shared" si="50"/>
        <v>81220</v>
      </c>
      <c r="H38" s="40">
        <v>2</v>
      </c>
      <c r="I38" s="9">
        <v>19</v>
      </c>
      <c r="J38" s="26">
        <v>2400</v>
      </c>
      <c r="K38" s="10">
        <f t="shared" si="55"/>
        <v>126.31578947368421</v>
      </c>
      <c r="L38" s="9">
        <v>19</v>
      </c>
      <c r="M38" s="11">
        <f t="shared" si="56"/>
        <v>2268.2926829268285</v>
      </c>
      <c r="N38" s="10">
        <f t="shared" si="57"/>
        <v>119.38382541720151</v>
      </c>
      <c r="O38" s="12">
        <f t="shared" si="51"/>
        <v>0</v>
      </c>
      <c r="P38" s="13">
        <f t="shared" si="52"/>
        <v>-6.9319640564826983</v>
      </c>
      <c r="Q38" s="14">
        <f t="shared" si="53"/>
        <v>0.94512195121951192</v>
      </c>
      <c r="R38" s="442"/>
      <c r="S38" s="28">
        <v>0.40763888888888883</v>
      </c>
      <c r="T38" s="28">
        <v>0.46458333333333329</v>
      </c>
      <c r="U38" s="4">
        <f t="shared" si="59"/>
        <v>4.9999999999999822</v>
      </c>
      <c r="V38" s="15">
        <f t="shared" si="54"/>
        <v>82.000000000000028</v>
      </c>
      <c r="W38" s="16"/>
      <c r="X38" s="16"/>
      <c r="Y38" s="443"/>
      <c r="Z38" s="443"/>
      <c r="AA38" s="12">
        <f t="shared" si="39"/>
        <v>-131.70731707317145</v>
      </c>
      <c r="AB38" s="14">
        <f t="shared" si="58"/>
        <v>0.94512195121951192</v>
      </c>
      <c r="AC38" s="442"/>
    </row>
    <row r="39" spans="1:29">
      <c r="A39" s="462" t="s">
        <v>44</v>
      </c>
      <c r="B39" s="31" t="s">
        <v>67</v>
      </c>
      <c r="C39" s="441" t="s">
        <v>78</v>
      </c>
      <c r="D39" s="441"/>
      <c r="E39" s="31">
        <v>25.98</v>
      </c>
      <c r="F39" s="27">
        <v>2300</v>
      </c>
      <c r="G39" s="4">
        <f t="shared" si="50"/>
        <v>59754</v>
      </c>
      <c r="H39" s="40" t="s">
        <v>103</v>
      </c>
      <c r="I39" s="9">
        <v>17</v>
      </c>
      <c r="J39" s="26">
        <v>2400</v>
      </c>
      <c r="K39" s="10">
        <f t="shared" si="55"/>
        <v>141.1764705882353</v>
      </c>
      <c r="L39" s="9">
        <v>17</v>
      </c>
      <c r="M39" s="11">
        <f t="shared" si="56"/>
        <v>2262.2950819672124</v>
      </c>
      <c r="N39" s="10">
        <f t="shared" si="57"/>
        <v>133.07618129218895</v>
      </c>
      <c r="O39" s="12">
        <f t="shared" si="51"/>
        <v>0</v>
      </c>
      <c r="P39" s="13">
        <f t="shared" si="52"/>
        <v>-8.1002892960463555</v>
      </c>
      <c r="Q39" s="14">
        <f t="shared" si="53"/>
        <v>0.94262295081967162</v>
      </c>
      <c r="R39" s="442"/>
      <c r="S39" s="28">
        <v>0.4680555555555555</v>
      </c>
      <c r="T39" s="28">
        <v>0.51041666666666663</v>
      </c>
      <c r="U39" s="4">
        <f t="shared" si="59"/>
        <v>4.9999999999999822</v>
      </c>
      <c r="V39" s="15">
        <f t="shared" si="54"/>
        <v>61.000000000000021</v>
      </c>
      <c r="W39" s="16">
        <f>T39</f>
        <v>0.51041666666666663</v>
      </c>
      <c r="X39" s="16">
        <f>S40</f>
        <v>0.55138888888888882</v>
      </c>
      <c r="Y39" s="443"/>
      <c r="Z39" s="443"/>
      <c r="AA39" s="12">
        <f t="shared" si="39"/>
        <v>-137.70491803278765</v>
      </c>
      <c r="AB39" s="14">
        <f t="shared" si="58"/>
        <v>0.94262295081967185</v>
      </c>
      <c r="AC39" s="442"/>
    </row>
    <row r="40" spans="1:29">
      <c r="A40" s="462" t="s">
        <v>44</v>
      </c>
      <c r="B40" s="31" t="s">
        <v>67</v>
      </c>
      <c r="C40" s="441" t="s">
        <v>73</v>
      </c>
      <c r="D40" s="441"/>
      <c r="E40" s="31">
        <v>26.2</v>
      </c>
      <c r="F40" s="27">
        <v>3304</v>
      </c>
      <c r="G40" s="4">
        <f t="shared" si="50"/>
        <v>86564.800000000003</v>
      </c>
      <c r="H40" s="40" t="s">
        <v>103</v>
      </c>
      <c r="I40" s="9">
        <v>18</v>
      </c>
      <c r="J40" s="26">
        <v>2400</v>
      </c>
      <c r="K40" s="10">
        <f t="shared" si="55"/>
        <v>133.33333333333334</v>
      </c>
      <c r="L40" s="9">
        <v>18</v>
      </c>
      <c r="M40" s="11">
        <f t="shared" si="56"/>
        <v>2252.727272727273</v>
      </c>
      <c r="N40" s="10">
        <f t="shared" si="57"/>
        <v>125.15151515151517</v>
      </c>
      <c r="O40" s="12">
        <f t="shared" si="51"/>
        <v>0</v>
      </c>
      <c r="P40" s="13">
        <f t="shared" si="52"/>
        <v>-8.1818181818181728</v>
      </c>
      <c r="Q40" s="14">
        <f t="shared" si="53"/>
        <v>0.93863636363636371</v>
      </c>
      <c r="R40" s="442"/>
      <c r="S40" s="28">
        <v>0.55138888888888882</v>
      </c>
      <c r="T40" s="28">
        <v>0.61249999999999993</v>
      </c>
      <c r="U40" s="4">
        <f t="shared" si="59"/>
        <v>58.99999999999995</v>
      </c>
      <c r="V40" s="15">
        <f t="shared" si="54"/>
        <v>88</v>
      </c>
      <c r="W40" s="16"/>
      <c r="X40" s="16"/>
      <c r="Y40" s="447"/>
      <c r="Z40" s="448"/>
      <c r="AA40" s="12">
        <f t="shared" si="39"/>
        <v>-147.27272727272702</v>
      </c>
      <c r="AB40" s="14">
        <f t="shared" si="58"/>
        <v>0.93863636363636371</v>
      </c>
      <c r="AC40" s="442"/>
    </row>
    <row r="41" spans="1:29">
      <c r="A41" s="462" t="s">
        <v>44</v>
      </c>
      <c r="B41" s="31" t="s">
        <v>67</v>
      </c>
      <c r="C41" s="441" t="s">
        <v>75</v>
      </c>
      <c r="D41" s="441"/>
      <c r="E41" s="31">
        <v>26.39</v>
      </c>
      <c r="F41" s="27">
        <v>2871</v>
      </c>
      <c r="G41" s="4">
        <f t="shared" si="50"/>
        <v>75765.69</v>
      </c>
      <c r="H41" s="40" t="s">
        <v>103</v>
      </c>
      <c r="I41" s="9">
        <v>19</v>
      </c>
      <c r="J41" s="26">
        <v>2400</v>
      </c>
      <c r="K41" s="10">
        <f t="shared" si="55"/>
        <v>126.31578947368421</v>
      </c>
      <c r="L41" s="9">
        <v>19</v>
      </c>
      <c r="M41" s="11">
        <f t="shared" si="56"/>
        <v>2266.5789473684194</v>
      </c>
      <c r="N41" s="10">
        <f t="shared" si="57"/>
        <v>119.29362880886418</v>
      </c>
      <c r="O41" s="12">
        <f t="shared" si="51"/>
        <v>0</v>
      </c>
      <c r="P41" s="13">
        <f t="shared" si="52"/>
        <v>-7.0221606648200208</v>
      </c>
      <c r="Q41" s="14">
        <f t="shared" si="53"/>
        <v>0.9444078947368415</v>
      </c>
      <c r="R41" s="442"/>
      <c r="S41" s="28">
        <v>0.61805555555555547</v>
      </c>
      <c r="T41" s="28">
        <v>0.67083333333333328</v>
      </c>
      <c r="U41" s="4">
        <f t="shared" si="59"/>
        <v>7.9999999999999716</v>
      </c>
      <c r="V41" s="15">
        <f t="shared" si="54"/>
        <v>76.000000000000057</v>
      </c>
      <c r="W41" s="16"/>
      <c r="X41" s="16"/>
      <c r="Y41" s="447"/>
      <c r="Z41" s="448"/>
      <c r="AA41" s="12">
        <f t="shared" si="39"/>
        <v>-133.42105263158055</v>
      </c>
      <c r="AB41" s="14">
        <f t="shared" si="58"/>
        <v>0.94440789473684139</v>
      </c>
      <c r="AC41" s="442"/>
    </row>
    <row r="42" spans="1:29">
      <c r="A42" s="462" t="s">
        <v>44</v>
      </c>
      <c r="B42" s="31" t="s">
        <v>67</v>
      </c>
      <c r="C42" s="441" t="s">
        <v>77</v>
      </c>
      <c r="D42" s="441"/>
      <c r="E42" s="31">
        <v>26.2</v>
      </c>
      <c r="F42" s="27">
        <v>2033</v>
      </c>
      <c r="G42" s="4">
        <f t="shared" si="50"/>
        <v>53264.6</v>
      </c>
      <c r="H42" s="40" t="s">
        <v>103</v>
      </c>
      <c r="I42" s="9">
        <v>19</v>
      </c>
      <c r="J42" s="26">
        <v>2400</v>
      </c>
      <c r="K42" s="10">
        <f t="shared" si="55"/>
        <v>126.31578947368421</v>
      </c>
      <c r="L42" s="9">
        <v>19</v>
      </c>
      <c r="M42" s="11">
        <f t="shared" si="56"/>
        <v>2258.8888888888901</v>
      </c>
      <c r="N42" s="10">
        <f t="shared" si="57"/>
        <v>118.88888888888896</v>
      </c>
      <c r="O42" s="12">
        <f t="shared" si="51"/>
        <v>0</v>
      </c>
      <c r="P42" s="13">
        <f t="shared" si="52"/>
        <v>-7.4269005847952485</v>
      </c>
      <c r="Q42" s="14">
        <f t="shared" si="53"/>
        <v>0.94120370370370432</v>
      </c>
      <c r="R42" s="442"/>
      <c r="S42" s="28">
        <v>0.67499999999999993</v>
      </c>
      <c r="T42" s="28">
        <v>0.71249999999999991</v>
      </c>
      <c r="U42" s="4">
        <f t="shared" si="59"/>
        <v>5.9999999999999787</v>
      </c>
      <c r="V42" s="15">
        <f t="shared" si="54"/>
        <v>53.999999999999972</v>
      </c>
      <c r="W42" s="16"/>
      <c r="X42" s="16"/>
      <c r="Y42" s="447"/>
      <c r="Z42" s="448"/>
      <c r="AA42" s="12">
        <f t="shared" si="39"/>
        <v>-141.11111111110995</v>
      </c>
      <c r="AB42" s="14">
        <f t="shared" si="58"/>
        <v>0.94120370370370421</v>
      </c>
      <c r="AC42" s="442"/>
    </row>
    <row r="43" spans="1:29">
      <c r="A43" s="462" t="s">
        <v>44</v>
      </c>
      <c r="B43" s="31" t="s">
        <v>67</v>
      </c>
      <c r="C43" s="441" t="s">
        <v>78</v>
      </c>
      <c r="D43" s="441"/>
      <c r="E43" s="31">
        <v>25.98</v>
      </c>
      <c r="F43" s="27">
        <v>2088</v>
      </c>
      <c r="G43" s="4">
        <f t="shared" si="50"/>
        <v>54246.239999999998</v>
      </c>
      <c r="H43" s="40" t="s">
        <v>103</v>
      </c>
      <c r="I43" s="9">
        <v>17</v>
      </c>
      <c r="J43" s="26">
        <v>2400</v>
      </c>
      <c r="K43" s="10">
        <f t="shared" si="55"/>
        <v>141.1764705882353</v>
      </c>
      <c r="L43" s="9">
        <v>17</v>
      </c>
      <c r="M43" s="11">
        <f t="shared" si="56"/>
        <v>2277.8181818181833</v>
      </c>
      <c r="N43" s="10">
        <f t="shared" si="57"/>
        <v>133.98930481283432</v>
      </c>
      <c r="O43" s="12">
        <f t="shared" si="51"/>
        <v>0</v>
      </c>
      <c r="P43" s="13">
        <f t="shared" si="52"/>
        <v>-7.1871657754009846</v>
      </c>
      <c r="Q43" s="14">
        <f t="shared" si="53"/>
        <v>0.94909090909090965</v>
      </c>
      <c r="R43" s="442"/>
      <c r="S43" s="28">
        <v>0.71736111111111101</v>
      </c>
      <c r="T43" s="28">
        <v>0.75555555555555542</v>
      </c>
      <c r="U43" s="4">
        <f t="shared" si="59"/>
        <v>6.9999999999999751</v>
      </c>
      <c r="V43" s="15">
        <f t="shared" si="54"/>
        <v>54.999999999999964</v>
      </c>
      <c r="W43" s="16"/>
      <c r="X43" s="16"/>
      <c r="Y43" s="447"/>
      <c r="Z43" s="448"/>
      <c r="AA43" s="12">
        <f t="shared" si="39"/>
        <v>-122.18181818181665</v>
      </c>
      <c r="AB43" s="14">
        <f t="shared" si="58"/>
        <v>0.94909090909090976</v>
      </c>
      <c r="AC43" s="442"/>
    </row>
    <row r="44" spans="1:29">
      <c r="A44" s="462" t="s">
        <v>44</v>
      </c>
      <c r="B44" s="33" t="s">
        <v>39</v>
      </c>
      <c r="C44" s="446"/>
      <c r="D44" s="446"/>
      <c r="E44" s="32"/>
      <c r="F44" s="33"/>
      <c r="G44" s="10"/>
      <c r="H44" s="27"/>
      <c r="I44" s="19">
        <v>18.399999999999999</v>
      </c>
      <c r="J44" s="26">
        <v>2400</v>
      </c>
      <c r="K44" s="10">
        <f t="shared" si="55"/>
        <v>130.43478260869566</v>
      </c>
      <c r="L44" s="19">
        <v>18.399999999999999</v>
      </c>
      <c r="M44" s="11">
        <f>AVERAGE(M34:M43)</f>
        <v>2261.6018379862926</v>
      </c>
      <c r="N44" s="10">
        <f>M44/L44</f>
        <v>122.91314336882026</v>
      </c>
      <c r="O44" s="12">
        <f>L44-I44</f>
        <v>0</v>
      </c>
      <c r="P44" s="13">
        <f t="shared" si="52"/>
        <v>-7.5216392398753982</v>
      </c>
      <c r="Q44" s="14">
        <f t="shared" si="53"/>
        <v>0.94233409916095523</v>
      </c>
      <c r="R44" s="442"/>
      <c r="S44" s="28"/>
      <c r="T44" s="28"/>
      <c r="U44" s="10"/>
      <c r="V44" s="15"/>
      <c r="W44" s="10"/>
      <c r="X44" s="10"/>
      <c r="Y44" s="443"/>
      <c r="Z44" s="443"/>
      <c r="AA44" s="12">
        <f t="shared" si="39"/>
        <v>-138.39816201370741</v>
      </c>
      <c r="AB44" s="14">
        <f t="shared" si="58"/>
        <v>0.94233409916095523</v>
      </c>
      <c r="AC44" s="442"/>
    </row>
    <row r="45" spans="1:29" ht="15.75" customHeight="1">
      <c r="A45" s="453" t="s">
        <v>46</v>
      </c>
      <c r="B45" s="31" t="s">
        <v>79</v>
      </c>
      <c r="C45" s="444" t="s">
        <v>80</v>
      </c>
      <c r="D45" s="445"/>
      <c r="E45" s="31">
        <v>21.13</v>
      </c>
      <c r="F45" s="27">
        <v>5129</v>
      </c>
      <c r="G45" s="4">
        <f t="shared" ref="G45:G52" si="60">E45*F45</f>
        <v>108375.76999999999</v>
      </c>
      <c r="H45" s="40" t="s">
        <v>103</v>
      </c>
      <c r="I45" s="9">
        <v>10</v>
      </c>
      <c r="J45" s="26">
        <v>3000</v>
      </c>
      <c r="K45" s="10">
        <f t="shared" si="55"/>
        <v>300</v>
      </c>
      <c r="L45" s="9">
        <v>10</v>
      </c>
      <c r="M45" s="11">
        <f t="shared" ref="M45:M46" si="61">F45/V45*60</f>
        <v>2823.3027522935777</v>
      </c>
      <c r="N45" s="11">
        <f t="shared" ref="N45:N53" si="62">M45/L45</f>
        <v>282.33027522935777</v>
      </c>
      <c r="O45" s="12">
        <f t="shared" ref="O45:O53" si="63">L45-I45</f>
        <v>0</v>
      </c>
      <c r="P45" s="13">
        <f t="shared" si="52"/>
        <v>-17.669724770642233</v>
      </c>
      <c r="Q45" s="14">
        <f t="shared" si="53"/>
        <v>0.94110091743119251</v>
      </c>
      <c r="R45" s="456">
        <f>Q53</f>
        <v>0.94572750755091917</v>
      </c>
      <c r="S45" s="28">
        <v>0.125</v>
      </c>
      <c r="T45" s="28">
        <v>0.20069444444444445</v>
      </c>
      <c r="U45" s="18"/>
      <c r="V45" s="15">
        <f t="shared" ref="V45:V52" si="64">(T45-S45)*24*60</f>
        <v>109.00000000000001</v>
      </c>
      <c r="W45" s="16">
        <f>T45</f>
        <v>0.20069444444444445</v>
      </c>
      <c r="X45" s="16">
        <f>S46</f>
        <v>0.22222222222222224</v>
      </c>
      <c r="Y45" s="447"/>
      <c r="Z45" s="448"/>
      <c r="AA45" s="12">
        <f t="shared" si="39"/>
        <v>-176.69724770642233</v>
      </c>
      <c r="AB45" s="14">
        <f t="shared" si="58"/>
        <v>0.94110091743119251</v>
      </c>
      <c r="AC45" s="456">
        <f>AB53</f>
        <v>0.94572750755091917</v>
      </c>
    </row>
    <row r="46" spans="1:29" ht="15.75" customHeight="1">
      <c r="A46" s="454" t="s">
        <v>47</v>
      </c>
      <c r="B46" s="31" t="s">
        <v>79</v>
      </c>
      <c r="C46" s="444" t="s">
        <v>81</v>
      </c>
      <c r="D46" s="445"/>
      <c r="E46" s="31">
        <v>27.17</v>
      </c>
      <c r="F46" s="27">
        <v>3600</v>
      </c>
      <c r="G46" s="4">
        <f t="shared" si="60"/>
        <v>97812</v>
      </c>
      <c r="H46" s="40" t="s">
        <v>103</v>
      </c>
      <c r="I46" s="9">
        <v>10</v>
      </c>
      <c r="J46" s="26">
        <v>3000</v>
      </c>
      <c r="K46" s="10">
        <f t="shared" si="55"/>
        <v>300</v>
      </c>
      <c r="L46" s="9">
        <v>10</v>
      </c>
      <c r="M46" s="11">
        <f t="shared" si="61"/>
        <v>2842.1052631578941</v>
      </c>
      <c r="N46" s="11">
        <f t="shared" si="62"/>
        <v>284.21052631578942</v>
      </c>
      <c r="O46" s="12">
        <f t="shared" si="63"/>
        <v>0</v>
      </c>
      <c r="P46" s="13">
        <f t="shared" si="52"/>
        <v>-15.789473684210577</v>
      </c>
      <c r="Q46" s="14">
        <f t="shared" si="53"/>
        <v>0.94736842105263142</v>
      </c>
      <c r="R46" s="457"/>
      <c r="S46" s="28">
        <v>0.22222222222222224</v>
      </c>
      <c r="T46" s="28">
        <v>0.27500000000000002</v>
      </c>
      <c r="U46" s="4">
        <f>(S46-T45)*24*60</f>
        <v>31.000000000000011</v>
      </c>
      <c r="V46" s="15">
        <f t="shared" si="64"/>
        <v>76.000000000000014</v>
      </c>
      <c r="W46" s="16"/>
      <c r="X46" s="16"/>
      <c r="Y46" s="447"/>
      <c r="Z46" s="448"/>
      <c r="AA46" s="12">
        <f t="shared" si="39"/>
        <v>-157.89473684210589</v>
      </c>
      <c r="AB46" s="14">
        <f t="shared" si="58"/>
        <v>0.94736842105263142</v>
      </c>
      <c r="AC46" s="457"/>
    </row>
    <row r="47" spans="1:29" ht="15.75" customHeight="1">
      <c r="A47" s="454" t="s">
        <v>46</v>
      </c>
      <c r="B47" s="31" t="s">
        <v>79</v>
      </c>
      <c r="C47" s="444" t="s">
        <v>82</v>
      </c>
      <c r="D47" s="445"/>
      <c r="E47" s="31">
        <v>35.119999999999997</v>
      </c>
      <c r="F47" s="27">
        <v>4791</v>
      </c>
      <c r="G47" s="4">
        <f t="shared" si="60"/>
        <v>168259.91999999998</v>
      </c>
      <c r="H47" s="40" t="s">
        <v>103</v>
      </c>
      <c r="I47" s="9">
        <v>10</v>
      </c>
      <c r="J47" s="26">
        <v>3000</v>
      </c>
      <c r="K47" s="10">
        <f t="shared" si="55"/>
        <v>300</v>
      </c>
      <c r="L47" s="9">
        <v>10</v>
      </c>
      <c r="M47" s="11">
        <f>F47/V47*60</f>
        <v>2818.2352941176482</v>
      </c>
      <c r="N47" s="11">
        <f t="shared" si="62"/>
        <v>281.82352941176481</v>
      </c>
      <c r="O47" s="12">
        <f t="shared" si="63"/>
        <v>0</v>
      </c>
      <c r="P47" s="13">
        <f t="shared" si="52"/>
        <v>-18.17647058823519</v>
      </c>
      <c r="Q47" s="14">
        <f t="shared" si="53"/>
        <v>0.93941176470588272</v>
      </c>
      <c r="R47" s="457"/>
      <c r="S47" s="28">
        <v>0.27847222222222223</v>
      </c>
      <c r="T47" s="28">
        <v>0.34930555555555554</v>
      </c>
      <c r="U47" s="4">
        <f t="shared" ref="U47:U52" si="65">(S47-T46)*24*60</f>
        <v>4.9999999999999822</v>
      </c>
      <c r="V47" s="15">
        <f t="shared" si="64"/>
        <v>101.99999999999996</v>
      </c>
      <c r="W47" s="16"/>
      <c r="X47" s="16"/>
      <c r="Y47" s="447"/>
      <c r="Z47" s="448"/>
      <c r="AA47" s="12">
        <f t="shared" si="39"/>
        <v>-181.76470588235179</v>
      </c>
      <c r="AB47" s="14">
        <f t="shared" si="58"/>
        <v>0.93941176470588272</v>
      </c>
      <c r="AC47" s="457"/>
    </row>
    <row r="48" spans="1:29" ht="15.75" customHeight="1">
      <c r="A48" s="454" t="s">
        <v>47</v>
      </c>
      <c r="B48" s="31" t="s">
        <v>79</v>
      </c>
      <c r="C48" s="444" t="s">
        <v>83</v>
      </c>
      <c r="D48" s="445"/>
      <c r="E48" s="31">
        <v>40.18</v>
      </c>
      <c r="F48" s="27">
        <v>1844</v>
      </c>
      <c r="G48" s="4">
        <f t="shared" si="60"/>
        <v>74091.92</v>
      </c>
      <c r="H48" s="40" t="s">
        <v>103</v>
      </c>
      <c r="I48" s="9">
        <v>10</v>
      </c>
      <c r="J48" s="26">
        <v>3000</v>
      </c>
      <c r="K48" s="10">
        <f t="shared" si="55"/>
        <v>300</v>
      </c>
      <c r="L48" s="9">
        <v>10</v>
      </c>
      <c r="M48" s="11">
        <f t="shared" ref="M48:M52" si="66">F48/V48*60</f>
        <v>2836.9230769230753</v>
      </c>
      <c r="N48" s="11">
        <f t="shared" si="62"/>
        <v>283.69230769230751</v>
      </c>
      <c r="O48" s="12">
        <f t="shared" si="63"/>
        <v>0</v>
      </c>
      <c r="P48" s="13">
        <f t="shared" si="52"/>
        <v>-16.307692307692491</v>
      </c>
      <c r="Q48" s="14">
        <f t="shared" si="53"/>
        <v>0.94564102564102503</v>
      </c>
      <c r="R48" s="457"/>
      <c r="S48" s="28">
        <v>0.35416666666666663</v>
      </c>
      <c r="T48" s="28">
        <v>0.38124999999999998</v>
      </c>
      <c r="U48" s="4">
        <f t="shared" si="65"/>
        <v>6.9999999999999751</v>
      </c>
      <c r="V48" s="15">
        <f t="shared" si="64"/>
        <v>39.000000000000021</v>
      </c>
      <c r="W48" s="16"/>
      <c r="X48" s="16"/>
      <c r="Y48" s="447"/>
      <c r="Z48" s="448"/>
      <c r="AA48" s="12">
        <f t="shared" si="39"/>
        <v>-163.07692307692469</v>
      </c>
      <c r="AB48" s="14">
        <f t="shared" si="58"/>
        <v>0.94564102564102515</v>
      </c>
      <c r="AC48" s="457"/>
    </row>
    <row r="49" spans="1:29" ht="15.75" customHeight="1">
      <c r="A49" s="454" t="s">
        <v>46</v>
      </c>
      <c r="B49" s="31" t="s">
        <v>79</v>
      </c>
      <c r="C49" s="444" t="s">
        <v>84</v>
      </c>
      <c r="D49" s="445"/>
      <c r="E49" s="31">
        <v>28.5</v>
      </c>
      <c r="F49" s="27">
        <v>1061</v>
      </c>
      <c r="G49" s="4">
        <f t="shared" si="60"/>
        <v>30238.5</v>
      </c>
      <c r="H49" s="40" t="s">
        <v>103</v>
      </c>
      <c r="I49" s="9">
        <v>10</v>
      </c>
      <c r="J49" s="26">
        <v>3000</v>
      </c>
      <c r="K49" s="10">
        <f t="shared" si="55"/>
        <v>300</v>
      </c>
      <c r="L49" s="9">
        <v>10</v>
      </c>
      <c r="M49" s="11">
        <f t="shared" si="66"/>
        <v>2893.6363636363635</v>
      </c>
      <c r="N49" s="11">
        <f t="shared" si="62"/>
        <v>289.36363636363637</v>
      </c>
      <c r="O49" s="12">
        <f t="shared" si="63"/>
        <v>0</v>
      </c>
      <c r="P49" s="13">
        <f t="shared" si="52"/>
        <v>-10.636363636363626</v>
      </c>
      <c r="Q49" s="14">
        <f>N49/K49</f>
        <v>0.96454545454545459</v>
      </c>
      <c r="R49" s="457"/>
      <c r="S49" s="28">
        <v>0.38472222222222219</v>
      </c>
      <c r="T49" s="28">
        <v>0.39999999999999997</v>
      </c>
      <c r="U49" s="4">
        <f t="shared" si="65"/>
        <v>4.9999999999999822</v>
      </c>
      <c r="V49" s="15">
        <f t="shared" si="64"/>
        <v>22</v>
      </c>
      <c r="W49" s="16"/>
      <c r="X49" s="16"/>
      <c r="Y49" s="447"/>
      <c r="Z49" s="448"/>
      <c r="AA49" s="12">
        <f t="shared" si="39"/>
        <v>-106.36363636363649</v>
      </c>
      <c r="AB49" s="14">
        <f t="shared" si="58"/>
        <v>0.96454545454545448</v>
      </c>
      <c r="AC49" s="457"/>
    </row>
    <row r="50" spans="1:29" ht="15.75" customHeight="1">
      <c r="A50" s="454" t="s">
        <v>46</v>
      </c>
      <c r="B50" s="31" t="s">
        <v>79</v>
      </c>
      <c r="C50" s="444" t="s">
        <v>85</v>
      </c>
      <c r="D50" s="445"/>
      <c r="E50" s="31">
        <v>35.869999999999997</v>
      </c>
      <c r="F50" s="27">
        <v>3293</v>
      </c>
      <c r="G50" s="4">
        <f t="shared" si="60"/>
        <v>118119.90999999999</v>
      </c>
      <c r="H50" s="40" t="s">
        <v>103</v>
      </c>
      <c r="I50" s="9">
        <v>10</v>
      </c>
      <c r="J50" s="26">
        <v>3000</v>
      </c>
      <c r="K50" s="10">
        <f t="shared" si="55"/>
        <v>300</v>
      </c>
      <c r="L50" s="9">
        <v>10</v>
      </c>
      <c r="M50" s="11">
        <f t="shared" si="66"/>
        <v>2822.5714285714289</v>
      </c>
      <c r="N50" s="11">
        <f t="shared" si="62"/>
        <v>282.25714285714287</v>
      </c>
      <c r="O50" s="12">
        <f t="shared" si="63"/>
        <v>0</v>
      </c>
      <c r="P50" s="13">
        <f t="shared" si="52"/>
        <v>-17.742857142857133</v>
      </c>
      <c r="Q50" s="14">
        <f t="shared" ref="Q50:Q53" si="67">N50/K50</f>
        <v>0.94085714285714284</v>
      </c>
      <c r="R50" s="457"/>
      <c r="S50" s="28">
        <v>0.40347222222222218</v>
      </c>
      <c r="T50" s="28">
        <v>0.45208333333333328</v>
      </c>
      <c r="U50" s="4">
        <f t="shared" si="65"/>
        <v>4.9999999999999822</v>
      </c>
      <c r="V50" s="15">
        <f t="shared" si="64"/>
        <v>69.999999999999986</v>
      </c>
      <c r="W50" s="16"/>
      <c r="X50" s="16"/>
      <c r="Y50" s="447"/>
      <c r="Z50" s="448"/>
      <c r="AA50" s="12">
        <f t="shared" si="39"/>
        <v>-177.4285714285711</v>
      </c>
      <c r="AB50" s="14">
        <f t="shared" si="58"/>
        <v>0.94085714285714295</v>
      </c>
      <c r="AC50" s="457"/>
    </row>
    <row r="51" spans="1:29" ht="15.75" customHeight="1">
      <c r="A51" s="454" t="s">
        <v>46</v>
      </c>
      <c r="B51" s="31" t="s">
        <v>79</v>
      </c>
      <c r="C51" s="444" t="s">
        <v>86</v>
      </c>
      <c r="D51" s="445"/>
      <c r="E51" s="31">
        <v>36.14</v>
      </c>
      <c r="F51" s="27">
        <v>3087</v>
      </c>
      <c r="G51" s="4">
        <f t="shared" si="60"/>
        <v>111564.18000000001</v>
      </c>
      <c r="H51" s="40" t="s">
        <v>103</v>
      </c>
      <c r="I51" s="9">
        <v>10</v>
      </c>
      <c r="J51" s="26">
        <v>3000</v>
      </c>
      <c r="K51" s="10">
        <f t="shared" si="55"/>
        <v>300</v>
      </c>
      <c r="L51" s="9">
        <v>10</v>
      </c>
      <c r="M51" s="11">
        <f t="shared" si="66"/>
        <v>2849.5384615384646</v>
      </c>
      <c r="N51" s="11">
        <f t="shared" si="62"/>
        <v>284.95384615384648</v>
      </c>
      <c r="O51" s="12">
        <f t="shared" si="63"/>
        <v>0</v>
      </c>
      <c r="P51" s="13">
        <f t="shared" si="52"/>
        <v>-15.046153846153516</v>
      </c>
      <c r="Q51" s="14">
        <f t="shared" si="67"/>
        <v>0.94984615384615489</v>
      </c>
      <c r="R51" s="457"/>
      <c r="S51" s="28">
        <v>0.45694444444444438</v>
      </c>
      <c r="T51" s="28">
        <v>0.50208333333333321</v>
      </c>
      <c r="U51" s="4">
        <f t="shared" si="65"/>
        <v>6.9999999999999751</v>
      </c>
      <c r="V51" s="15">
        <f t="shared" si="64"/>
        <v>64.999999999999929</v>
      </c>
      <c r="W51" s="16">
        <f>T51</f>
        <v>0.50208333333333321</v>
      </c>
      <c r="X51" s="16">
        <f>S52</f>
        <v>0.54374999999999984</v>
      </c>
      <c r="Y51" s="447"/>
      <c r="Z51" s="448"/>
      <c r="AA51" s="12">
        <f t="shared" si="39"/>
        <v>-150.46153846153538</v>
      </c>
      <c r="AB51" s="14">
        <f t="shared" si="58"/>
        <v>0.94984615384615489</v>
      </c>
      <c r="AC51" s="457"/>
    </row>
    <row r="52" spans="1:29" ht="15.75" customHeight="1">
      <c r="A52" s="454" t="s">
        <v>46</v>
      </c>
      <c r="B52" s="31" t="s">
        <v>79</v>
      </c>
      <c r="C52" s="444" t="s">
        <v>81</v>
      </c>
      <c r="D52" s="445"/>
      <c r="E52" s="31">
        <v>27.17</v>
      </c>
      <c r="F52" s="27">
        <v>2858</v>
      </c>
      <c r="G52" s="4">
        <f t="shared" si="60"/>
        <v>77651.86</v>
      </c>
      <c r="H52" s="40" t="s">
        <v>103</v>
      </c>
      <c r="I52" s="9">
        <v>10</v>
      </c>
      <c r="J52" s="26">
        <v>3000</v>
      </c>
      <c r="K52" s="10">
        <f t="shared" si="55"/>
        <v>300</v>
      </c>
      <c r="L52" s="9">
        <v>10</v>
      </c>
      <c r="M52" s="11">
        <f t="shared" si="66"/>
        <v>2811.1475409836094</v>
      </c>
      <c r="N52" s="11">
        <f t="shared" si="62"/>
        <v>281.11475409836095</v>
      </c>
      <c r="O52" s="12">
        <f t="shared" si="63"/>
        <v>0</v>
      </c>
      <c r="P52" s="13">
        <f t="shared" si="52"/>
        <v>-18.885245901639053</v>
      </c>
      <c r="Q52" s="14">
        <f t="shared" si="67"/>
        <v>0.93704918032786988</v>
      </c>
      <c r="R52" s="457"/>
      <c r="S52" s="28">
        <v>0.54374999999999984</v>
      </c>
      <c r="T52" s="28">
        <v>0.58611111111111092</v>
      </c>
      <c r="U52" s="4">
        <f t="shared" si="65"/>
        <v>59.999999999999943</v>
      </c>
      <c r="V52" s="15">
        <f t="shared" si="64"/>
        <v>60.999999999999943</v>
      </c>
      <c r="W52" s="16"/>
      <c r="X52" s="16"/>
      <c r="Y52" s="447"/>
      <c r="Z52" s="448"/>
      <c r="AA52" s="12">
        <f t="shared" si="39"/>
        <v>-188.85245901639064</v>
      </c>
      <c r="AB52" s="14">
        <f t="shared" si="58"/>
        <v>0.93704918032786977</v>
      </c>
      <c r="AC52" s="457"/>
    </row>
    <row r="53" spans="1:29" ht="15.75" customHeight="1">
      <c r="A53" s="455" t="s">
        <v>46</v>
      </c>
      <c r="B53" s="31" t="s">
        <v>39</v>
      </c>
      <c r="C53" s="459"/>
      <c r="D53" s="460"/>
      <c r="E53" s="34"/>
      <c r="F53" s="27"/>
      <c r="G53" s="4"/>
      <c r="H53" s="27"/>
      <c r="I53" s="19">
        <v>10</v>
      </c>
      <c r="J53" s="26">
        <v>3000</v>
      </c>
      <c r="K53" s="10">
        <f>J53/I53</f>
        <v>300</v>
      </c>
      <c r="L53" s="19">
        <v>10</v>
      </c>
      <c r="M53" s="11">
        <f>AVERAGE(M45:M52)</f>
        <v>2837.1825226527576</v>
      </c>
      <c r="N53" s="10">
        <f t="shared" si="62"/>
        <v>283.71825226527574</v>
      </c>
      <c r="O53" s="12">
        <f t="shared" si="63"/>
        <v>0</v>
      </c>
      <c r="P53" s="13">
        <f t="shared" si="52"/>
        <v>-16.281747734724263</v>
      </c>
      <c r="Q53" s="14">
        <f t="shared" si="67"/>
        <v>0.94572750755091917</v>
      </c>
      <c r="R53" s="458"/>
      <c r="S53" s="28"/>
      <c r="T53" s="28"/>
      <c r="U53" s="4"/>
      <c r="V53" s="15"/>
      <c r="W53" s="16"/>
      <c r="X53" s="16"/>
      <c r="Y53" s="447"/>
      <c r="Z53" s="448"/>
      <c r="AA53" s="12">
        <f t="shared" si="39"/>
        <v>-162.8174773472424</v>
      </c>
      <c r="AB53" s="14">
        <f t="shared" si="58"/>
        <v>0.94572750755091917</v>
      </c>
      <c r="AC53" s="458"/>
    </row>
    <row r="54" spans="1:29" ht="15.75" customHeight="1">
      <c r="A54" s="451" t="s">
        <v>48</v>
      </c>
      <c r="B54" s="31" t="s">
        <v>53</v>
      </c>
      <c r="C54" s="441" t="s">
        <v>87</v>
      </c>
      <c r="D54" s="441"/>
      <c r="E54" s="31">
        <v>46</v>
      </c>
      <c r="F54" s="35">
        <v>3434</v>
      </c>
      <c r="G54" s="4">
        <f t="shared" ref="G54:G58" si="68">E54*F54</f>
        <v>157964</v>
      </c>
      <c r="H54" s="40" t="s">
        <v>103</v>
      </c>
      <c r="I54" s="9">
        <v>17</v>
      </c>
      <c r="J54" s="26">
        <v>2000</v>
      </c>
      <c r="K54" s="10">
        <f t="shared" ref="K54:K58" si="69">J54/I54</f>
        <v>117.64705882352941</v>
      </c>
      <c r="L54" s="9">
        <v>17</v>
      </c>
      <c r="M54" s="11">
        <f t="shared" ref="M54:M58" si="70">F54/V54*60</f>
        <v>1873.090909090909</v>
      </c>
      <c r="N54" s="11">
        <f>M54/L54</f>
        <v>110.18181818181817</v>
      </c>
      <c r="O54" s="12">
        <f>L54-I54</f>
        <v>0</v>
      </c>
      <c r="P54" s="13">
        <f>N54-K54</f>
        <v>-7.4652406417112331</v>
      </c>
      <c r="Q54" s="14">
        <f>N54/K54</f>
        <v>0.93654545454545457</v>
      </c>
      <c r="R54" s="442">
        <f>Q59</f>
        <v>0.94174525267334386</v>
      </c>
      <c r="S54" s="28">
        <v>0.29166666666666669</v>
      </c>
      <c r="T54" s="28">
        <v>0.36805555555555558</v>
      </c>
      <c r="U54" s="18"/>
      <c r="V54" s="15">
        <f t="shared" ref="V54:V58" si="71">(T54-S54)*24*60</f>
        <v>110.00000000000001</v>
      </c>
      <c r="W54" s="18"/>
      <c r="X54" s="18"/>
      <c r="Y54" s="443"/>
      <c r="Z54" s="443"/>
      <c r="AA54" s="12">
        <f t="shared" si="39"/>
        <v>-126.90909090909099</v>
      </c>
      <c r="AB54" s="14">
        <f t="shared" si="58"/>
        <v>0.93654545454545446</v>
      </c>
      <c r="AC54" s="442">
        <f>AB59</f>
        <v>0.94174525267334397</v>
      </c>
    </row>
    <row r="55" spans="1:29" ht="15.75" customHeight="1">
      <c r="A55" s="451" t="s">
        <v>48</v>
      </c>
      <c r="B55" s="31" t="s">
        <v>53</v>
      </c>
      <c r="C55" s="441" t="s">
        <v>88</v>
      </c>
      <c r="D55" s="441"/>
      <c r="E55" s="31">
        <v>46</v>
      </c>
      <c r="F55" s="35">
        <v>3617</v>
      </c>
      <c r="G55" s="4">
        <f t="shared" si="68"/>
        <v>166382</v>
      </c>
      <c r="H55" s="40" t="s">
        <v>103</v>
      </c>
      <c r="I55" s="9">
        <v>18</v>
      </c>
      <c r="J55" s="26">
        <v>2000</v>
      </c>
      <c r="K55" s="10">
        <f t="shared" si="69"/>
        <v>111.11111111111111</v>
      </c>
      <c r="L55" s="9">
        <v>18</v>
      </c>
      <c r="M55" s="11">
        <f t="shared" si="70"/>
        <v>1887.130434782609</v>
      </c>
      <c r="N55" s="11">
        <f t="shared" ref="N55:N58" si="72">M55/L55</f>
        <v>104.84057971014494</v>
      </c>
      <c r="O55" s="12">
        <f t="shared" ref="O55:O58" si="73">L55-I55</f>
        <v>0</v>
      </c>
      <c r="P55" s="13">
        <f t="shared" ref="P55:P58" si="74">N55-K55</f>
        <v>-6.2705314009661777</v>
      </c>
      <c r="Q55" s="14">
        <f t="shared" ref="Q55:Q58" si="75">N55/K55</f>
        <v>0.94356521739130439</v>
      </c>
      <c r="R55" s="442"/>
      <c r="S55" s="28">
        <v>0.37361111111111112</v>
      </c>
      <c r="T55" s="28">
        <v>0.45347222222222222</v>
      </c>
      <c r="U55" s="4">
        <f>IF(S55=TIME(17,0,0),"",(S55-T54)*24*60)</f>
        <v>7.9999999999999716</v>
      </c>
      <c r="V55" s="15">
        <f t="shared" si="71"/>
        <v>114.99999999999999</v>
      </c>
      <c r="W55" s="16"/>
      <c r="X55" s="16"/>
      <c r="Y55" s="443"/>
      <c r="Z55" s="443"/>
      <c r="AA55" s="12">
        <f t="shared" si="39"/>
        <v>-112.86956521739103</v>
      </c>
      <c r="AB55" s="14">
        <f t="shared" si="58"/>
        <v>0.9435652173913045</v>
      </c>
      <c r="AC55" s="442"/>
    </row>
    <row r="56" spans="1:29" ht="15.75" customHeight="1">
      <c r="A56" s="451" t="s">
        <v>48</v>
      </c>
      <c r="B56" s="31" t="s">
        <v>58</v>
      </c>
      <c r="C56" s="444" t="s">
        <v>89</v>
      </c>
      <c r="D56" s="445"/>
      <c r="E56" s="31">
        <v>55.56</v>
      </c>
      <c r="F56" s="35">
        <v>2413</v>
      </c>
      <c r="G56" s="4">
        <f t="shared" si="68"/>
        <v>134066.28</v>
      </c>
      <c r="H56" s="40" t="s">
        <v>103</v>
      </c>
      <c r="I56" s="9">
        <v>17</v>
      </c>
      <c r="J56" s="26">
        <v>2000</v>
      </c>
      <c r="K56" s="10">
        <f t="shared" si="69"/>
        <v>117.64705882352941</v>
      </c>
      <c r="L56" s="9">
        <v>17</v>
      </c>
      <c r="M56" s="11">
        <f t="shared" si="70"/>
        <v>1880.2597402597391</v>
      </c>
      <c r="N56" s="11">
        <f t="shared" si="72"/>
        <v>110.60351413292584</v>
      </c>
      <c r="O56" s="12">
        <f t="shared" si="73"/>
        <v>0</v>
      </c>
      <c r="P56" s="13">
        <f t="shared" si="74"/>
        <v>-7.0435446906035679</v>
      </c>
      <c r="Q56" s="14">
        <f t="shared" si="75"/>
        <v>0.9401298701298697</v>
      </c>
      <c r="R56" s="442"/>
      <c r="S56" s="28">
        <v>0.70833333333333337</v>
      </c>
      <c r="T56" s="28">
        <v>0.76180555555555562</v>
      </c>
      <c r="U56" s="4" t="str">
        <f t="shared" ref="U56:U58" si="76">IF(S56=TIME(17,0,0),"",(S56-T55)*24*60)</f>
        <v/>
      </c>
      <c r="V56" s="15">
        <f t="shared" si="71"/>
        <v>77.000000000000043</v>
      </c>
      <c r="W56" s="16"/>
      <c r="X56" s="16"/>
      <c r="Y56" s="20"/>
      <c r="Z56" s="21"/>
      <c r="AA56" s="12">
        <f t="shared" ref="AA56:AA72" si="77">M56-J56</f>
        <v>-119.74025974026085</v>
      </c>
      <c r="AB56" s="14">
        <f t="shared" si="58"/>
        <v>0.94012987012986959</v>
      </c>
      <c r="AC56" s="442"/>
    </row>
    <row r="57" spans="1:29" ht="15.75" customHeight="1">
      <c r="A57" s="451" t="s">
        <v>48</v>
      </c>
      <c r="B57" s="31" t="s">
        <v>58</v>
      </c>
      <c r="C57" s="36" t="s">
        <v>90</v>
      </c>
      <c r="D57" s="37"/>
      <c r="E57" s="31">
        <v>55.32</v>
      </c>
      <c r="F57" s="35">
        <v>1829</v>
      </c>
      <c r="G57" s="4">
        <f t="shared" si="68"/>
        <v>101180.28</v>
      </c>
      <c r="H57" s="40" t="s">
        <v>103</v>
      </c>
      <c r="I57" s="9">
        <v>15</v>
      </c>
      <c r="J57" s="26">
        <v>2000</v>
      </c>
      <c r="K57" s="10">
        <f t="shared" si="69"/>
        <v>133.33333333333334</v>
      </c>
      <c r="L57" s="9">
        <v>15</v>
      </c>
      <c r="M57" s="11">
        <f t="shared" si="70"/>
        <v>1892.0689655172428</v>
      </c>
      <c r="N57" s="11">
        <f t="shared" si="72"/>
        <v>126.13793103448285</v>
      </c>
      <c r="O57" s="12">
        <f t="shared" si="73"/>
        <v>0</v>
      </c>
      <c r="P57" s="13">
        <f t="shared" si="74"/>
        <v>-7.195402298850496</v>
      </c>
      <c r="Q57" s="14">
        <f t="shared" si="75"/>
        <v>0.94603448275862123</v>
      </c>
      <c r="R57" s="442"/>
      <c r="S57" s="28">
        <v>0.76527777777777783</v>
      </c>
      <c r="T57" s="28">
        <v>0.80555555555555558</v>
      </c>
      <c r="U57" s="4">
        <f t="shared" si="76"/>
        <v>4.9999999999999822</v>
      </c>
      <c r="V57" s="15">
        <f t="shared" si="71"/>
        <v>57.999999999999957</v>
      </c>
      <c r="W57" s="16"/>
      <c r="X57" s="16"/>
      <c r="Y57" s="20"/>
      <c r="Z57" s="21"/>
      <c r="AA57" s="12">
        <f t="shared" si="77"/>
        <v>-107.93103448275724</v>
      </c>
      <c r="AB57" s="14">
        <f t="shared" si="58"/>
        <v>0.94603448275862134</v>
      </c>
      <c r="AC57" s="442"/>
    </row>
    <row r="58" spans="1:29" ht="15.75" customHeight="1">
      <c r="A58" s="451" t="s">
        <v>48</v>
      </c>
      <c r="B58" s="31" t="s">
        <v>58</v>
      </c>
      <c r="C58" s="36" t="s">
        <v>91</v>
      </c>
      <c r="D58" s="37"/>
      <c r="E58" s="31">
        <v>57.73</v>
      </c>
      <c r="F58" s="35">
        <v>1579</v>
      </c>
      <c r="G58" s="4">
        <f t="shared" si="68"/>
        <v>91155.67</v>
      </c>
      <c r="H58" s="40" t="s">
        <v>103</v>
      </c>
      <c r="I58" s="9">
        <v>16</v>
      </c>
      <c r="J58" s="26">
        <v>1500</v>
      </c>
      <c r="K58" s="10">
        <f t="shared" si="69"/>
        <v>93.75</v>
      </c>
      <c r="L58" s="9">
        <v>16</v>
      </c>
      <c r="M58" s="11">
        <f t="shared" si="70"/>
        <v>1414.0298507462669</v>
      </c>
      <c r="N58" s="11">
        <f t="shared" si="72"/>
        <v>88.376865671641681</v>
      </c>
      <c r="O58" s="12">
        <f t="shared" si="73"/>
        <v>0</v>
      </c>
      <c r="P58" s="13">
        <f t="shared" si="74"/>
        <v>-5.3731343283583186</v>
      </c>
      <c r="Q58" s="14">
        <f t="shared" si="75"/>
        <v>0.94268656716417798</v>
      </c>
      <c r="R58" s="442"/>
      <c r="S58" s="28">
        <v>0.81041666666666667</v>
      </c>
      <c r="T58" s="28">
        <v>0.85694444444444451</v>
      </c>
      <c r="U58" s="4">
        <f t="shared" si="76"/>
        <v>6.9999999999999751</v>
      </c>
      <c r="V58" s="15">
        <f t="shared" si="71"/>
        <v>67.000000000000085</v>
      </c>
      <c r="W58" s="16"/>
      <c r="X58" s="16"/>
      <c r="Y58" s="20"/>
      <c r="Z58" s="21"/>
      <c r="AA58" s="12">
        <f t="shared" si="77"/>
        <v>-85.970149253733098</v>
      </c>
      <c r="AB58" s="14">
        <f t="shared" si="58"/>
        <v>0.94268656716417798</v>
      </c>
      <c r="AC58" s="442"/>
    </row>
    <row r="59" spans="1:29">
      <c r="A59" s="452" t="s">
        <v>48</v>
      </c>
      <c r="B59" s="31" t="s">
        <v>39</v>
      </c>
      <c r="C59" s="446"/>
      <c r="D59" s="446"/>
      <c r="E59" s="32"/>
      <c r="F59" s="33"/>
      <c r="G59" s="10"/>
      <c r="H59" s="27"/>
      <c r="I59" s="19">
        <v>16.600000000000001</v>
      </c>
      <c r="J59" s="26">
        <v>1900</v>
      </c>
      <c r="K59" s="10">
        <f>J59/I59</f>
        <v>114.4578313253012</v>
      </c>
      <c r="L59" s="19">
        <v>16.600000000000001</v>
      </c>
      <c r="M59" s="11">
        <f>AVERAGE(M54:M58)</f>
        <v>1789.3159800793535</v>
      </c>
      <c r="N59" s="10">
        <f>M59/L59</f>
        <v>107.79011928188875</v>
      </c>
      <c r="O59" s="12">
        <f>L59-I59</f>
        <v>0</v>
      </c>
      <c r="P59" s="13">
        <f>N59-K59</f>
        <v>-6.6677120434124504</v>
      </c>
      <c r="Q59" s="14">
        <f>N59/K59</f>
        <v>0.94174525267334386</v>
      </c>
      <c r="R59" s="442"/>
      <c r="S59" s="29"/>
      <c r="T59" s="28"/>
      <c r="U59" s="10"/>
      <c r="V59" s="15"/>
      <c r="W59" s="10"/>
      <c r="X59" s="10"/>
      <c r="Y59" s="443"/>
      <c r="Z59" s="443"/>
      <c r="AA59" s="12">
        <f t="shared" si="77"/>
        <v>-110.68401992064651</v>
      </c>
      <c r="AB59" s="14">
        <f t="shared" si="58"/>
        <v>0.94174525267334397</v>
      </c>
      <c r="AC59" s="442"/>
    </row>
    <row r="60" spans="1:29" ht="15.75" customHeight="1">
      <c r="A60" s="449" t="s">
        <v>49</v>
      </c>
      <c r="B60" s="27" t="s">
        <v>92</v>
      </c>
      <c r="C60" s="441" t="s">
        <v>93</v>
      </c>
      <c r="D60" s="441"/>
      <c r="E60" s="31">
        <v>84.51</v>
      </c>
      <c r="F60" s="35">
        <v>2802</v>
      </c>
      <c r="G60" s="4">
        <f t="shared" ref="G60:G65" si="78">E60*F60</f>
        <v>236797.02000000002</v>
      </c>
      <c r="H60" s="40" t="s">
        <v>103</v>
      </c>
      <c r="I60" s="9">
        <v>17</v>
      </c>
      <c r="J60" s="26">
        <v>2400</v>
      </c>
      <c r="K60" s="10">
        <f t="shared" ref="K60:K65" si="79">J60/I60</f>
        <v>141.1764705882353</v>
      </c>
      <c r="L60" s="19">
        <v>17</v>
      </c>
      <c r="M60" s="11">
        <f t="shared" ref="M60:M65" si="80">F60/V60*60</f>
        <v>2271.8918918918912</v>
      </c>
      <c r="N60" s="10">
        <f>M60/L60</f>
        <v>133.64069952305243</v>
      </c>
      <c r="O60" s="12">
        <f t="shared" ref="O60:O65" si="81">L60-I60</f>
        <v>0</v>
      </c>
      <c r="P60" s="13">
        <f t="shared" ref="P60:P65" si="82">N60-K60</f>
        <v>-7.5357710651828711</v>
      </c>
      <c r="Q60" s="14">
        <f>N60/K60</f>
        <v>0.94662162162162133</v>
      </c>
      <c r="R60" s="442">
        <f>Q66</f>
        <v>0.9462840855328023</v>
      </c>
      <c r="S60" s="28">
        <v>0.125</v>
      </c>
      <c r="T60" s="28">
        <v>0.1763888888888889</v>
      </c>
      <c r="U60" s="4"/>
      <c r="V60" s="15">
        <f t="shared" ref="V60:V65" si="83">(T60-S60)*24*60</f>
        <v>74.000000000000014</v>
      </c>
      <c r="W60" s="18"/>
      <c r="X60" s="18"/>
      <c r="Y60" s="443"/>
      <c r="Z60" s="443"/>
      <c r="AA60" s="12">
        <f t="shared" si="77"/>
        <v>-128.10810810810881</v>
      </c>
      <c r="AB60" s="14">
        <f t="shared" si="58"/>
        <v>0.94662162162162133</v>
      </c>
      <c r="AC60" s="442">
        <f>AB66</f>
        <v>0.94628408553280219</v>
      </c>
    </row>
    <row r="61" spans="1:29" ht="15.75" customHeight="1">
      <c r="A61" s="449" t="s">
        <v>49</v>
      </c>
      <c r="B61" s="27" t="s">
        <v>79</v>
      </c>
      <c r="C61" s="441" t="s">
        <v>94</v>
      </c>
      <c r="D61" s="441"/>
      <c r="E61" s="31">
        <v>26.78</v>
      </c>
      <c r="F61" s="35">
        <v>2663</v>
      </c>
      <c r="G61" s="4">
        <f t="shared" si="78"/>
        <v>71315.14</v>
      </c>
      <c r="H61" s="40" t="s">
        <v>103</v>
      </c>
      <c r="I61" s="9">
        <v>10</v>
      </c>
      <c r="J61" s="26">
        <v>3000</v>
      </c>
      <c r="K61" s="10">
        <f t="shared" si="79"/>
        <v>300</v>
      </c>
      <c r="L61" s="19">
        <v>10</v>
      </c>
      <c r="M61" s="11">
        <f t="shared" si="80"/>
        <v>2853.2142857142858</v>
      </c>
      <c r="N61" s="10">
        <f t="shared" ref="N61:N65" si="84">M61/L61</f>
        <v>285.32142857142856</v>
      </c>
      <c r="O61" s="12">
        <f t="shared" si="81"/>
        <v>0</v>
      </c>
      <c r="P61" s="13">
        <f t="shared" si="82"/>
        <v>-14.678571428571445</v>
      </c>
      <c r="Q61" s="14">
        <f t="shared" ref="Q61:Q65" si="85">N61/K61</f>
        <v>0.95107142857142857</v>
      </c>
      <c r="R61" s="442"/>
      <c r="S61" s="28">
        <v>0.18055555555555558</v>
      </c>
      <c r="T61" s="28">
        <v>0.21944444444444447</v>
      </c>
      <c r="U61" s="4">
        <f>(S61-T60)*24*60</f>
        <v>6.0000000000000187</v>
      </c>
      <c r="V61" s="15">
        <f t="shared" si="83"/>
        <v>56</v>
      </c>
      <c r="W61" s="4"/>
      <c r="X61" s="4"/>
      <c r="Y61" s="443"/>
      <c r="Z61" s="443"/>
      <c r="AA61" s="12">
        <f t="shared" si="77"/>
        <v>-146.78571428571422</v>
      </c>
      <c r="AB61" s="14">
        <f t="shared" si="58"/>
        <v>0.95107142857142857</v>
      </c>
      <c r="AC61" s="442"/>
    </row>
    <row r="62" spans="1:29" ht="15.75" customHeight="1">
      <c r="A62" s="449" t="s">
        <v>50</v>
      </c>
      <c r="B62" s="27" t="s">
        <v>79</v>
      </c>
      <c r="C62" s="441" t="s">
        <v>95</v>
      </c>
      <c r="D62" s="441"/>
      <c r="E62" s="31">
        <v>35.369999999999997</v>
      </c>
      <c r="F62" s="35">
        <v>1604</v>
      </c>
      <c r="G62" s="4">
        <f t="shared" si="78"/>
        <v>56733.479999999996</v>
      </c>
      <c r="H62" s="40" t="s">
        <v>103</v>
      </c>
      <c r="I62" s="9">
        <v>10</v>
      </c>
      <c r="J62" s="26">
        <v>3000</v>
      </c>
      <c r="K62" s="10">
        <f t="shared" si="79"/>
        <v>300</v>
      </c>
      <c r="L62" s="19">
        <v>10</v>
      </c>
      <c r="M62" s="11">
        <f t="shared" si="80"/>
        <v>2830.588235294118</v>
      </c>
      <c r="N62" s="10">
        <f t="shared" si="84"/>
        <v>283.05882352941182</v>
      </c>
      <c r="O62" s="12">
        <f t="shared" si="81"/>
        <v>0</v>
      </c>
      <c r="P62" s="13">
        <f t="shared" si="82"/>
        <v>-16.941176470588175</v>
      </c>
      <c r="Q62" s="14">
        <f t="shared" si="85"/>
        <v>0.94352941176470606</v>
      </c>
      <c r="R62" s="442"/>
      <c r="S62" s="28">
        <v>0.22500000000000003</v>
      </c>
      <c r="T62" s="28">
        <v>0.24861111111111114</v>
      </c>
      <c r="U62" s="4">
        <f t="shared" ref="U62:U65" si="86">(S62-T61)*24*60</f>
        <v>8.0000000000000107</v>
      </c>
      <c r="V62" s="15">
        <f t="shared" si="83"/>
        <v>34</v>
      </c>
      <c r="W62" s="4"/>
      <c r="X62" s="4"/>
      <c r="Y62" s="443"/>
      <c r="Z62" s="443"/>
      <c r="AA62" s="12">
        <f t="shared" si="77"/>
        <v>-169.41176470588198</v>
      </c>
      <c r="AB62" s="14">
        <f t="shared" si="58"/>
        <v>0.94352941176470606</v>
      </c>
      <c r="AC62" s="442"/>
    </row>
    <row r="63" spans="1:29" ht="15.75" customHeight="1">
      <c r="A63" s="449" t="s">
        <v>49</v>
      </c>
      <c r="B63" s="27" t="s">
        <v>53</v>
      </c>
      <c r="C63" s="441" t="s">
        <v>96</v>
      </c>
      <c r="D63" s="441"/>
      <c r="E63" s="31">
        <v>26.97</v>
      </c>
      <c r="F63" s="35">
        <v>3511</v>
      </c>
      <c r="G63" s="4">
        <f t="shared" si="78"/>
        <v>94691.67</v>
      </c>
      <c r="H63" s="40" t="s">
        <v>103</v>
      </c>
      <c r="I63" s="9">
        <v>8</v>
      </c>
      <c r="J63" s="26">
        <v>1500</v>
      </c>
      <c r="K63" s="10">
        <f t="shared" si="79"/>
        <v>187.5</v>
      </c>
      <c r="L63" s="19">
        <v>8</v>
      </c>
      <c r="M63" s="11">
        <f t="shared" si="80"/>
        <v>1404.3999999999999</v>
      </c>
      <c r="N63" s="10">
        <f t="shared" si="84"/>
        <v>175.54999999999998</v>
      </c>
      <c r="O63" s="12">
        <f t="shared" si="81"/>
        <v>0</v>
      </c>
      <c r="P63" s="13">
        <f t="shared" si="82"/>
        <v>-11.950000000000017</v>
      </c>
      <c r="Q63" s="14">
        <f t="shared" si="85"/>
        <v>0.93626666666666658</v>
      </c>
      <c r="R63" s="442"/>
      <c r="S63" s="28">
        <v>0.25416666666666671</v>
      </c>
      <c r="T63" s="28">
        <v>0.35833333333333339</v>
      </c>
      <c r="U63" s="4">
        <f t="shared" si="86"/>
        <v>8.0000000000000107</v>
      </c>
      <c r="V63" s="15">
        <f t="shared" si="83"/>
        <v>150.00000000000003</v>
      </c>
      <c r="W63" s="4"/>
      <c r="X63" s="4"/>
      <c r="Y63" s="443"/>
      <c r="Z63" s="443"/>
      <c r="AA63" s="12">
        <f t="shared" si="77"/>
        <v>-95.600000000000136</v>
      </c>
      <c r="AB63" s="14">
        <f t="shared" si="58"/>
        <v>0.93626666666666658</v>
      </c>
      <c r="AC63" s="442"/>
    </row>
    <row r="64" spans="1:29">
      <c r="A64" s="450" t="s">
        <v>49</v>
      </c>
      <c r="B64" s="27" t="s">
        <v>79</v>
      </c>
      <c r="C64" s="441" t="s">
        <v>97</v>
      </c>
      <c r="D64" s="441"/>
      <c r="E64" s="31">
        <v>35.119999999999997</v>
      </c>
      <c r="F64" s="35">
        <v>1236</v>
      </c>
      <c r="G64" s="4">
        <f t="shared" si="78"/>
        <v>43408.32</v>
      </c>
      <c r="H64" s="40" t="s">
        <v>103</v>
      </c>
      <c r="I64" s="9">
        <v>13</v>
      </c>
      <c r="J64" s="26">
        <v>2000</v>
      </c>
      <c r="K64" s="10">
        <f t="shared" si="79"/>
        <v>153.84615384615384</v>
      </c>
      <c r="L64" s="19">
        <v>13</v>
      </c>
      <c r="M64" s="11">
        <f t="shared" si="80"/>
        <v>1901.5384615384605</v>
      </c>
      <c r="N64" s="10">
        <f t="shared" si="84"/>
        <v>146.27218934911235</v>
      </c>
      <c r="O64" s="12">
        <f t="shared" si="81"/>
        <v>0</v>
      </c>
      <c r="P64" s="13">
        <f t="shared" si="82"/>
        <v>-7.5739644970414872</v>
      </c>
      <c r="Q64" s="14">
        <f t="shared" si="85"/>
        <v>0.95076923076923037</v>
      </c>
      <c r="R64" s="442"/>
      <c r="S64" s="28">
        <v>0.36388888888888893</v>
      </c>
      <c r="T64" s="28">
        <v>0.39097222222222228</v>
      </c>
      <c r="U64" s="4">
        <f t="shared" si="86"/>
        <v>7.9999999999999716</v>
      </c>
      <c r="V64" s="15">
        <f t="shared" si="83"/>
        <v>39.000000000000021</v>
      </c>
      <c r="W64" s="16"/>
      <c r="X64" s="16"/>
      <c r="Y64" s="443"/>
      <c r="Z64" s="443"/>
      <c r="AA64" s="12">
        <f t="shared" si="77"/>
        <v>-98.461538461539476</v>
      </c>
      <c r="AB64" s="14">
        <f t="shared" si="58"/>
        <v>0.95076923076923026</v>
      </c>
      <c r="AC64" s="442"/>
    </row>
    <row r="65" spans="1:29" ht="15" customHeight="1">
      <c r="A65" s="450" t="s">
        <v>49</v>
      </c>
      <c r="B65" s="27" t="s">
        <v>79</v>
      </c>
      <c r="C65" s="444" t="s">
        <v>98</v>
      </c>
      <c r="D65" s="445"/>
      <c r="E65" s="31">
        <v>35.869999999999997</v>
      </c>
      <c r="F65" s="35">
        <v>2838</v>
      </c>
      <c r="G65" s="4">
        <f t="shared" si="78"/>
        <v>101799.06</v>
      </c>
      <c r="H65" s="40" t="s">
        <v>103</v>
      </c>
      <c r="I65" s="9">
        <v>10</v>
      </c>
      <c r="J65" s="26">
        <v>3000</v>
      </c>
      <c r="K65" s="10">
        <f t="shared" si="79"/>
        <v>300</v>
      </c>
      <c r="L65" s="19">
        <v>10</v>
      </c>
      <c r="M65" s="11">
        <f t="shared" si="80"/>
        <v>2837.9999999999986</v>
      </c>
      <c r="N65" s="10">
        <f t="shared" si="84"/>
        <v>283.79999999999984</v>
      </c>
      <c r="O65" s="12">
        <f t="shared" si="81"/>
        <v>0</v>
      </c>
      <c r="P65" s="13">
        <f t="shared" si="82"/>
        <v>-16.200000000000159</v>
      </c>
      <c r="Q65" s="14">
        <f t="shared" si="85"/>
        <v>0.94599999999999951</v>
      </c>
      <c r="R65" s="442"/>
      <c r="S65" s="28">
        <v>0.39513888888888893</v>
      </c>
      <c r="T65" s="28">
        <v>0.43680555555555561</v>
      </c>
      <c r="U65" s="4">
        <f t="shared" si="86"/>
        <v>5.9999999999999787</v>
      </c>
      <c r="V65" s="15">
        <f t="shared" si="83"/>
        <v>60.000000000000028</v>
      </c>
      <c r="W65" s="4"/>
      <c r="X65" s="4"/>
      <c r="Y65" s="447"/>
      <c r="Z65" s="448"/>
      <c r="AA65" s="12">
        <f t="shared" si="77"/>
        <v>-162.00000000000136</v>
      </c>
      <c r="AB65" s="14">
        <f t="shared" si="58"/>
        <v>0.94599999999999951</v>
      </c>
      <c r="AC65" s="442"/>
    </row>
    <row r="66" spans="1:29">
      <c r="A66" s="450" t="s">
        <v>49</v>
      </c>
      <c r="B66" s="31" t="s">
        <v>39</v>
      </c>
      <c r="C66" s="446"/>
      <c r="D66" s="446"/>
      <c r="E66" s="32"/>
      <c r="F66" s="33"/>
      <c r="G66" s="10"/>
      <c r="H66" s="27"/>
      <c r="I66" s="19">
        <v>11.333333333333334</v>
      </c>
      <c r="J66" s="26">
        <v>2483.3333333333335</v>
      </c>
      <c r="K66" s="10">
        <f>J66/I66</f>
        <v>219.11764705882354</v>
      </c>
      <c r="L66" s="19">
        <v>11.333333333333334</v>
      </c>
      <c r="M66" s="11">
        <f>AVERAGE(M60:M65)</f>
        <v>2349.938812406459</v>
      </c>
      <c r="N66" s="10">
        <f>M66/L66</f>
        <v>207.34754227115815</v>
      </c>
      <c r="O66" s="12">
        <f>L66-I66</f>
        <v>0</v>
      </c>
      <c r="P66" s="13">
        <f>N66-K66</f>
        <v>-11.770104787665389</v>
      </c>
      <c r="Q66" s="14">
        <f>N66/K66</f>
        <v>0.9462840855328023</v>
      </c>
      <c r="R66" s="442"/>
      <c r="S66" s="28"/>
      <c r="T66" s="28"/>
      <c r="U66" s="10"/>
      <c r="V66" s="15"/>
      <c r="W66" s="10"/>
      <c r="X66" s="10"/>
      <c r="Y66" s="443"/>
      <c r="Z66" s="443"/>
      <c r="AA66" s="12">
        <f t="shared" si="77"/>
        <v>-133.39452092687452</v>
      </c>
      <c r="AB66" s="14">
        <f t="shared" ref="AB66" si="87">M66/J66</f>
        <v>0.94628408553280219</v>
      </c>
      <c r="AC66" s="442"/>
    </row>
    <row r="67" spans="1:29" ht="15.75" customHeight="1">
      <c r="A67" s="439" t="s">
        <v>51</v>
      </c>
      <c r="B67" s="27" t="s">
        <v>67</v>
      </c>
      <c r="C67" s="441" t="s">
        <v>99</v>
      </c>
      <c r="D67" s="441"/>
      <c r="E67" s="31">
        <v>20.2</v>
      </c>
      <c r="F67" s="27">
        <v>3055</v>
      </c>
      <c r="G67" s="4">
        <f t="shared" ref="G67:G71" si="88">E67*F67</f>
        <v>61711</v>
      </c>
      <c r="H67" s="40" t="s">
        <v>103</v>
      </c>
      <c r="I67" s="9">
        <v>19</v>
      </c>
      <c r="J67" s="26">
        <v>2400</v>
      </c>
      <c r="K67" s="10">
        <f t="shared" ref="K67:K69" si="89">J67/I67</f>
        <v>126.31578947368421</v>
      </c>
      <c r="L67" s="19">
        <v>19</v>
      </c>
      <c r="M67" s="11">
        <f>F67/V67*60</f>
        <v>2262.9629629629635</v>
      </c>
      <c r="N67" s="10">
        <f t="shared" ref="N67:N71" si="90">M67/L67</f>
        <v>119.10331384015598</v>
      </c>
      <c r="O67" s="12">
        <f t="shared" ref="O67:O71" si="91">L67-I67</f>
        <v>0</v>
      </c>
      <c r="P67" s="13">
        <f t="shared" ref="P67:P71" si="92">N67-K67</f>
        <v>-7.2124756335282285</v>
      </c>
      <c r="Q67" s="14">
        <f>N67/K67</f>
        <v>0.94290123456790154</v>
      </c>
      <c r="R67" s="442">
        <f>Q72</f>
        <v>0.93887242449076025</v>
      </c>
      <c r="S67" s="28">
        <v>0.125</v>
      </c>
      <c r="T67" s="28">
        <v>0.18124999999999999</v>
      </c>
      <c r="U67" s="18"/>
      <c r="V67" s="15">
        <f t="shared" ref="V67:V71" si="93">(T67-S67)*24*60</f>
        <v>80.999999999999986</v>
      </c>
      <c r="W67" s="16">
        <f>T67</f>
        <v>0.18124999999999999</v>
      </c>
      <c r="X67" s="16">
        <f>S68</f>
        <v>0.2013888888888889</v>
      </c>
      <c r="Y67" s="443"/>
      <c r="Z67" s="443"/>
      <c r="AA67" s="12">
        <f t="shared" si="77"/>
        <v>-137.0370370370365</v>
      </c>
      <c r="AB67" s="14">
        <f>M67/J67</f>
        <v>0.94290123456790143</v>
      </c>
      <c r="AC67" s="442">
        <f>AB72</f>
        <v>0.93887242449076025</v>
      </c>
    </row>
    <row r="68" spans="1:29" ht="15.75" customHeight="1">
      <c r="A68" s="439" t="s">
        <v>51</v>
      </c>
      <c r="B68" s="27" t="s">
        <v>67</v>
      </c>
      <c r="C68" s="441" t="s">
        <v>100</v>
      </c>
      <c r="D68" s="441"/>
      <c r="E68" s="31">
        <v>19.02</v>
      </c>
      <c r="F68" s="27">
        <v>6200</v>
      </c>
      <c r="G68" s="4">
        <f t="shared" si="88"/>
        <v>117924</v>
      </c>
      <c r="H68" s="40">
        <v>2</v>
      </c>
      <c r="I68" s="9">
        <v>15</v>
      </c>
      <c r="J68" s="26">
        <v>2400</v>
      </c>
      <c r="K68" s="10">
        <f t="shared" si="89"/>
        <v>160</v>
      </c>
      <c r="L68" s="19">
        <v>15</v>
      </c>
      <c r="M68" s="11">
        <f t="shared" ref="M68:M71" si="94">F68/V68*60</f>
        <v>2254.545454545455</v>
      </c>
      <c r="N68" s="10">
        <f t="shared" si="90"/>
        <v>150.30303030303034</v>
      </c>
      <c r="O68" s="12">
        <f t="shared" si="91"/>
        <v>0</v>
      </c>
      <c r="P68" s="13">
        <f t="shared" si="92"/>
        <v>-9.6969696969696599</v>
      </c>
      <c r="Q68" s="14">
        <f t="shared" ref="Q68:Q72" si="95">N68/K68</f>
        <v>0.93939393939393967</v>
      </c>
      <c r="R68" s="442"/>
      <c r="S68" s="28">
        <v>0.2013888888888889</v>
      </c>
      <c r="T68" s="28">
        <v>0.31597222222222221</v>
      </c>
      <c r="U68" s="4">
        <f>(S68-T67)*24*60</f>
        <v>29.000000000000018</v>
      </c>
      <c r="V68" s="15">
        <f t="shared" si="93"/>
        <v>164.99999999999997</v>
      </c>
      <c r="W68" s="16"/>
      <c r="X68" s="16"/>
      <c r="Y68" s="443"/>
      <c r="Z68" s="443"/>
      <c r="AA68" s="12">
        <f t="shared" si="77"/>
        <v>-145.45454545454504</v>
      </c>
      <c r="AB68" s="14">
        <f t="shared" ref="AB68:AB72" si="96">M68/J68</f>
        <v>0.93939393939393956</v>
      </c>
      <c r="AC68" s="442"/>
    </row>
    <row r="69" spans="1:29" ht="15.75" customHeight="1">
      <c r="A69" s="439" t="s">
        <v>51</v>
      </c>
      <c r="B69" s="27" t="s">
        <v>67</v>
      </c>
      <c r="C69" s="441" t="s">
        <v>101</v>
      </c>
      <c r="D69" s="441"/>
      <c r="E69" s="31">
        <v>25</v>
      </c>
      <c r="F69" s="27">
        <v>4762</v>
      </c>
      <c r="G69" s="4">
        <f t="shared" si="88"/>
        <v>119050</v>
      </c>
      <c r="H69" s="40" t="s">
        <v>103</v>
      </c>
      <c r="I69" s="9">
        <v>15</v>
      </c>
      <c r="J69" s="26">
        <v>2400</v>
      </c>
      <c r="K69" s="10">
        <f t="shared" si="89"/>
        <v>160</v>
      </c>
      <c r="L69" s="19">
        <v>15</v>
      </c>
      <c r="M69" s="11">
        <f t="shared" si="94"/>
        <v>2249.7637795275587</v>
      </c>
      <c r="N69" s="10">
        <f t="shared" si="90"/>
        <v>149.98425196850391</v>
      </c>
      <c r="O69" s="12">
        <f t="shared" si="91"/>
        <v>0</v>
      </c>
      <c r="P69" s="13">
        <f t="shared" si="92"/>
        <v>-10.015748031496088</v>
      </c>
      <c r="Q69" s="14">
        <f t="shared" si="95"/>
        <v>0.93740157480314945</v>
      </c>
      <c r="R69" s="442"/>
      <c r="S69" s="28">
        <v>0.32013888888888886</v>
      </c>
      <c r="T69" s="28">
        <v>0.40833333333333333</v>
      </c>
      <c r="U69" s="4">
        <f t="shared" ref="U69:U71" si="97">(S69-T68)*24*60</f>
        <v>5.9999999999999787</v>
      </c>
      <c r="V69" s="15">
        <f t="shared" si="93"/>
        <v>127.00000000000003</v>
      </c>
      <c r="W69" s="16"/>
      <c r="X69" s="16"/>
      <c r="Y69" s="443"/>
      <c r="Z69" s="443"/>
      <c r="AA69" s="12">
        <f t="shared" si="77"/>
        <v>-150.23622047244135</v>
      </c>
      <c r="AB69" s="14">
        <f t="shared" si="96"/>
        <v>0.93740157480314945</v>
      </c>
      <c r="AC69" s="442"/>
    </row>
    <row r="70" spans="1:29" ht="15.75" customHeight="1">
      <c r="A70" s="439" t="s">
        <v>51</v>
      </c>
      <c r="B70" s="27" t="s">
        <v>67</v>
      </c>
      <c r="C70" s="441" t="s">
        <v>102</v>
      </c>
      <c r="D70" s="441"/>
      <c r="E70" s="31">
        <v>20.52</v>
      </c>
      <c r="F70" s="27">
        <v>4805</v>
      </c>
      <c r="G70" s="4">
        <f t="shared" si="88"/>
        <v>98598.599999999991</v>
      </c>
      <c r="H70" s="40" t="s">
        <v>103</v>
      </c>
      <c r="I70" s="9">
        <v>18</v>
      </c>
      <c r="J70" s="26">
        <v>2400</v>
      </c>
      <c r="K70" s="10">
        <f>J70/I70</f>
        <v>133.33333333333334</v>
      </c>
      <c r="L70" s="19">
        <v>18</v>
      </c>
      <c r="M70" s="11">
        <f t="shared" si="94"/>
        <v>2252.3437499999995</v>
      </c>
      <c r="N70" s="10">
        <f t="shared" si="90"/>
        <v>125.13020833333331</v>
      </c>
      <c r="O70" s="12">
        <f t="shared" si="91"/>
        <v>0</v>
      </c>
      <c r="P70" s="13">
        <f t="shared" si="92"/>
        <v>-8.2031250000000284</v>
      </c>
      <c r="Q70" s="14">
        <f t="shared" si="95"/>
        <v>0.93847656249999978</v>
      </c>
      <c r="R70" s="442"/>
      <c r="S70" s="28">
        <v>0.41388888888888886</v>
      </c>
      <c r="T70" s="28">
        <v>0.50277777777777777</v>
      </c>
      <c r="U70" s="4">
        <f t="shared" si="97"/>
        <v>7.9999999999999716</v>
      </c>
      <c r="V70" s="15">
        <f t="shared" si="93"/>
        <v>128.00000000000003</v>
      </c>
      <c r="W70" s="16">
        <f>T70</f>
        <v>0.50277777777777777</v>
      </c>
      <c r="X70" s="16">
        <f>S71</f>
        <v>0.54166666666666663</v>
      </c>
      <c r="Y70" s="443"/>
      <c r="Z70" s="443"/>
      <c r="AA70" s="12">
        <f t="shared" si="77"/>
        <v>-147.65625000000045</v>
      </c>
      <c r="AB70" s="14">
        <f t="shared" si="96"/>
        <v>0.93847656249999978</v>
      </c>
      <c r="AC70" s="442"/>
    </row>
    <row r="71" spans="1:29" ht="15.75" customHeight="1">
      <c r="A71" s="439" t="s">
        <v>51</v>
      </c>
      <c r="B71" s="27" t="s">
        <v>67</v>
      </c>
      <c r="C71" s="441" t="s">
        <v>100</v>
      </c>
      <c r="D71" s="441"/>
      <c r="E71" s="31">
        <v>19.02</v>
      </c>
      <c r="F71" s="27">
        <v>5355</v>
      </c>
      <c r="G71" s="4">
        <f t="shared" si="88"/>
        <v>101852.09999999999</v>
      </c>
      <c r="H71" s="40" t="s">
        <v>103</v>
      </c>
      <c r="I71" s="9">
        <v>15</v>
      </c>
      <c r="J71" s="26">
        <v>2400</v>
      </c>
      <c r="K71" s="10">
        <f t="shared" ref="K71:K72" si="98">J71/I71</f>
        <v>160</v>
      </c>
      <c r="L71" s="19">
        <v>15</v>
      </c>
      <c r="M71" s="11">
        <f t="shared" si="94"/>
        <v>2246.8531468531473</v>
      </c>
      <c r="N71" s="10">
        <f t="shared" si="90"/>
        <v>149.79020979020981</v>
      </c>
      <c r="O71" s="12">
        <f t="shared" si="91"/>
        <v>0</v>
      </c>
      <c r="P71" s="13">
        <f t="shared" si="92"/>
        <v>-10.209790209790185</v>
      </c>
      <c r="Q71" s="14">
        <f t="shared" si="95"/>
        <v>0.93618881118881137</v>
      </c>
      <c r="R71" s="442"/>
      <c r="S71" s="28">
        <v>0.54166666666666663</v>
      </c>
      <c r="T71" s="28">
        <v>0.64097222222222217</v>
      </c>
      <c r="U71" s="4">
        <f t="shared" si="97"/>
        <v>55.999999999999957</v>
      </c>
      <c r="V71" s="15">
        <f t="shared" si="93"/>
        <v>142.99999999999997</v>
      </c>
      <c r="W71" s="16"/>
      <c r="X71" s="16"/>
      <c r="Y71" s="443"/>
      <c r="Z71" s="443"/>
      <c r="AA71" s="12">
        <f t="shared" si="77"/>
        <v>-153.14685314685266</v>
      </c>
      <c r="AB71" s="14">
        <f t="shared" si="96"/>
        <v>0.93618881118881137</v>
      </c>
      <c r="AC71" s="442"/>
    </row>
    <row r="72" spans="1:29" ht="16.5" customHeight="1">
      <c r="A72" s="440" t="s">
        <v>51</v>
      </c>
      <c r="B72" s="31" t="s">
        <v>39</v>
      </c>
      <c r="C72" s="446"/>
      <c r="D72" s="446"/>
      <c r="E72" s="32"/>
      <c r="F72" s="33"/>
      <c r="G72" s="10"/>
      <c r="H72" s="27"/>
      <c r="I72" s="19">
        <v>16.399999999999999</v>
      </c>
      <c r="J72" s="26">
        <v>2400</v>
      </c>
      <c r="K72" s="10">
        <f t="shared" si="98"/>
        <v>146.34146341463415</v>
      </c>
      <c r="L72" s="19">
        <v>16.399999999999999</v>
      </c>
      <c r="M72" s="11">
        <f>AVERAGE(M67:M71)</f>
        <v>2253.2938187778245</v>
      </c>
      <c r="N72" s="10">
        <f>M72/L72</f>
        <v>137.39596455962345</v>
      </c>
      <c r="O72" s="12">
        <f>L72-I72</f>
        <v>0</v>
      </c>
      <c r="P72" s="13">
        <f>N72-K72</f>
        <v>-8.9454988550106975</v>
      </c>
      <c r="Q72" s="14">
        <f t="shared" si="95"/>
        <v>0.93887242449076025</v>
      </c>
      <c r="R72" s="442"/>
      <c r="S72" s="28"/>
      <c r="T72" s="28"/>
      <c r="U72" s="10"/>
      <c r="V72" s="15"/>
      <c r="W72" s="10"/>
      <c r="X72" s="10"/>
      <c r="Y72" s="443"/>
      <c r="Z72" s="443"/>
      <c r="AA72" s="12">
        <f t="shared" si="77"/>
        <v>-146.70618122217547</v>
      </c>
      <c r="AB72" s="14">
        <f t="shared" si="96"/>
        <v>0.93887242449076025</v>
      </c>
      <c r="AC72" s="442"/>
    </row>
    <row r="73" spans="1:29">
      <c r="D73" s="22"/>
      <c r="E73" s="22"/>
    </row>
  </sheetData>
  <mergeCells count="19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4"/>
    <mergeCell ref="C9:D9"/>
    <mergeCell ref="R9:R14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4:D14"/>
    <mergeCell ref="Y14:Z14"/>
    <mergeCell ref="A15:A18"/>
    <mergeCell ref="C15:D15"/>
    <mergeCell ref="R15:R18"/>
    <mergeCell ref="Y15:Z15"/>
    <mergeCell ref="AC9:AC14"/>
    <mergeCell ref="C10:D10"/>
    <mergeCell ref="Y10:Z10"/>
    <mergeCell ref="C11:D11"/>
    <mergeCell ref="Y11:Z11"/>
    <mergeCell ref="C12:D12"/>
    <mergeCell ref="Y12:Z12"/>
    <mergeCell ref="C13:D13"/>
    <mergeCell ref="Y13:Z13"/>
    <mergeCell ref="C18:D18"/>
    <mergeCell ref="Y18:Z18"/>
    <mergeCell ref="A19:A25"/>
    <mergeCell ref="C19:D19"/>
    <mergeCell ref="R19:R25"/>
    <mergeCell ref="Y19:Z19"/>
    <mergeCell ref="Y24:Z24"/>
    <mergeCell ref="AC15:AC18"/>
    <mergeCell ref="C16:D16"/>
    <mergeCell ref="Y16:Z16"/>
    <mergeCell ref="C17:D17"/>
    <mergeCell ref="Y17:Z17"/>
    <mergeCell ref="AC19:AC25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25:D25"/>
    <mergeCell ref="Y25:Z25"/>
    <mergeCell ref="A26:A33"/>
    <mergeCell ref="C26:D26"/>
    <mergeCell ref="R26:R33"/>
    <mergeCell ref="Y26:Z26"/>
    <mergeCell ref="Y31:Z31"/>
    <mergeCell ref="C32:D32"/>
    <mergeCell ref="Y32:Z32"/>
    <mergeCell ref="AC34:AC44"/>
    <mergeCell ref="C35:D35"/>
    <mergeCell ref="Y35:Z35"/>
    <mergeCell ref="C36:D36"/>
    <mergeCell ref="Y36:Z36"/>
    <mergeCell ref="C37:D37"/>
    <mergeCell ref="C33:D33"/>
    <mergeCell ref="Y33:Z33"/>
    <mergeCell ref="AC26:AC33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C41:D41"/>
    <mergeCell ref="Y41:Z41"/>
    <mergeCell ref="C42:D42"/>
    <mergeCell ref="Y42:Z42"/>
    <mergeCell ref="C43:D43"/>
    <mergeCell ref="Y43:Z43"/>
    <mergeCell ref="Y37:Z37"/>
    <mergeCell ref="C38:D38"/>
    <mergeCell ref="Y38:Z38"/>
    <mergeCell ref="C39:D39"/>
    <mergeCell ref="Y39:Z39"/>
    <mergeCell ref="C40:D40"/>
    <mergeCell ref="Y40:Z40"/>
    <mergeCell ref="R34:R44"/>
    <mergeCell ref="Y34:Z34"/>
    <mergeCell ref="C44:D44"/>
    <mergeCell ref="Y44:Z44"/>
    <mergeCell ref="A45:A53"/>
    <mergeCell ref="C45:D45"/>
    <mergeCell ref="R45:R53"/>
    <mergeCell ref="Y45:Z45"/>
    <mergeCell ref="Y50:Z50"/>
    <mergeCell ref="C51:D51"/>
    <mergeCell ref="Y51:Z51"/>
    <mergeCell ref="A34:A44"/>
    <mergeCell ref="C34:D34"/>
    <mergeCell ref="C53:D53"/>
    <mergeCell ref="Y53:Z53"/>
    <mergeCell ref="C52:D52"/>
    <mergeCell ref="Y52:Z52"/>
    <mergeCell ref="AC45:AC53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C60:AC66"/>
    <mergeCell ref="C61:D61"/>
    <mergeCell ref="Y61:Z61"/>
    <mergeCell ref="C62:D62"/>
    <mergeCell ref="Y62:Z62"/>
    <mergeCell ref="C63:D63"/>
    <mergeCell ref="C59:D59"/>
    <mergeCell ref="Y59:Z59"/>
    <mergeCell ref="A54:A59"/>
    <mergeCell ref="C54:D54"/>
    <mergeCell ref="R54:R59"/>
    <mergeCell ref="Y54:Z54"/>
    <mergeCell ref="AC54:AC59"/>
    <mergeCell ref="C55:D55"/>
    <mergeCell ref="Y55:Z55"/>
    <mergeCell ref="C56:D56"/>
    <mergeCell ref="C66:D66"/>
    <mergeCell ref="Y66:Z66"/>
    <mergeCell ref="A67:A72"/>
    <mergeCell ref="C67:D67"/>
    <mergeCell ref="R67:R72"/>
    <mergeCell ref="Y67:Z67"/>
    <mergeCell ref="Y63:Z63"/>
    <mergeCell ref="C64:D64"/>
    <mergeCell ref="Y64:Z64"/>
    <mergeCell ref="C65:D65"/>
    <mergeCell ref="Y65:Z65"/>
    <mergeCell ref="A60:A66"/>
    <mergeCell ref="C60:D60"/>
    <mergeCell ref="R60:R66"/>
    <mergeCell ref="Y60:Z60"/>
    <mergeCell ref="C72:D72"/>
    <mergeCell ref="Y72:Z72"/>
    <mergeCell ref="AC67:AC72"/>
    <mergeCell ref="C68:D68"/>
    <mergeCell ref="Y68:Z68"/>
    <mergeCell ref="C69:D69"/>
    <mergeCell ref="Y69:Z69"/>
    <mergeCell ref="C70:D70"/>
    <mergeCell ref="Y70:Z70"/>
    <mergeCell ref="C71:D71"/>
    <mergeCell ref="Y71:Z71"/>
  </mergeCells>
  <phoneticPr fontId="3" type="noConversion"/>
  <conditionalFormatting sqref="O63:O72 O5:O9 O14:O16 O53:O60 O18:O50">
    <cfRule type="cellIs" dxfId="54" priority="225" operator="greaterThan">
      <formula>0</formula>
    </cfRule>
  </conditionalFormatting>
  <conditionalFormatting sqref="P5:P7 P63:P65 AA63:AA65 P67:P71 P26:P32 P60 P9 P14:P16 P19:P24 P54:P58 P34:P50 AA5:AA60 AA67:AA72">
    <cfRule type="cellIs" dxfId="53" priority="229" operator="lessThan">
      <formula>0</formula>
    </cfRule>
  </conditionalFormatting>
  <conditionalFormatting sqref="AB63:AB65 Q63:Q72 Q5:Q9 Q14:Q16 Q53:Q60 Q18:Q50 AB5:AB60 AB67:AB72">
    <cfRule type="cellIs" dxfId="52" priority="226" operator="greaterThan">
      <formula>1</formula>
    </cfRule>
    <cfRule type="cellIs" dxfId="51" priority="227" operator="lessThan">
      <formula>0.8</formula>
    </cfRule>
  </conditionalFormatting>
  <conditionalFormatting sqref="AC15:AC16 R15:R16 AC63 R18:R41 AC18:AC41 R63:R72 AC5:AC9 R5:R9 R44:R50 AC44:AC50 AC53:AC60 R53:R60">
    <cfRule type="cellIs" dxfId="50" priority="231" operator="lessThan">
      <formula>0.8</formula>
    </cfRule>
  </conditionalFormatting>
  <conditionalFormatting sqref="AC45">
    <cfRule type="cellIs" dxfId="49" priority="233" operator="lessThan">
      <formula>0.8</formula>
    </cfRule>
  </conditionalFormatting>
  <conditionalFormatting sqref="AC19:AC24">
    <cfRule type="cellIs" dxfId="48" priority="230" operator="lessThan">
      <formula>0.8</formula>
    </cfRule>
  </conditionalFormatting>
  <conditionalFormatting sqref="AC26">
    <cfRule type="cellIs" dxfId="47" priority="232" operator="lessThan">
      <formula>0.8</formula>
    </cfRule>
  </conditionalFormatting>
  <conditionalFormatting sqref="AC34:AC41">
    <cfRule type="cellIs" dxfId="46" priority="228" operator="lessThan">
      <formula>0.8</formula>
    </cfRule>
  </conditionalFormatting>
  <conditionalFormatting sqref="AA66">
    <cfRule type="cellIs" dxfId="45" priority="224" operator="lessThan">
      <formula>0</formula>
    </cfRule>
  </conditionalFormatting>
  <conditionalFormatting sqref="AB66">
    <cfRule type="cellIs" dxfId="44" priority="222" operator="greaterThan">
      <formula>1</formula>
    </cfRule>
    <cfRule type="cellIs" dxfId="43" priority="223" operator="lessThan">
      <formula>0.8</formula>
    </cfRule>
  </conditionalFormatting>
  <conditionalFormatting sqref="O17">
    <cfRule type="cellIs" dxfId="42" priority="217" operator="greaterThan">
      <formula>0</formula>
    </cfRule>
  </conditionalFormatting>
  <conditionalFormatting sqref="P17">
    <cfRule type="cellIs" dxfId="41" priority="220" operator="lessThan">
      <formula>0</formula>
    </cfRule>
  </conditionalFormatting>
  <conditionalFormatting sqref="Q17">
    <cfRule type="cellIs" dxfId="40" priority="218" operator="greaterThan">
      <formula>1</formula>
    </cfRule>
    <cfRule type="cellIs" dxfId="39" priority="219" operator="lessThan">
      <formula>0.8</formula>
    </cfRule>
  </conditionalFormatting>
  <conditionalFormatting sqref="R17 AC17">
    <cfRule type="cellIs" dxfId="38" priority="221" operator="lessThan">
      <formula>0.8</formula>
    </cfRule>
  </conditionalFormatting>
  <conditionalFormatting sqref="O10:O13">
    <cfRule type="cellIs" dxfId="37" priority="213" operator="greaterThan">
      <formula>0</formula>
    </cfRule>
  </conditionalFormatting>
  <conditionalFormatting sqref="P10:P13">
    <cfRule type="cellIs" dxfId="36" priority="216" operator="lessThan">
      <formula>0</formula>
    </cfRule>
  </conditionalFormatting>
  <conditionalFormatting sqref="Q10:Q13">
    <cfRule type="cellIs" dxfId="35" priority="214" operator="greaterThan">
      <formula>1</formula>
    </cfRule>
    <cfRule type="cellIs" dxfId="34" priority="215" operator="lessThan">
      <formula>0.8</formula>
    </cfRule>
  </conditionalFormatting>
  <conditionalFormatting sqref="R42 AC42">
    <cfRule type="cellIs" dxfId="33" priority="201" operator="lessThan">
      <formula>0.8</formula>
    </cfRule>
  </conditionalFormatting>
  <conditionalFormatting sqref="AC42">
    <cfRule type="cellIs" dxfId="32" priority="200" operator="lessThan">
      <formula>0.8</formula>
    </cfRule>
  </conditionalFormatting>
  <conditionalFormatting sqref="O62">
    <cfRule type="cellIs" dxfId="31" priority="195" operator="greaterThan">
      <formula>0</formula>
    </cfRule>
  </conditionalFormatting>
  <conditionalFormatting sqref="P62 AA62">
    <cfRule type="cellIs" dxfId="30" priority="198" operator="lessThan">
      <formula>0</formula>
    </cfRule>
  </conditionalFormatting>
  <conditionalFormatting sqref="Q62 AB62">
    <cfRule type="cellIs" dxfId="29" priority="196" operator="greaterThan">
      <formula>1</formula>
    </cfRule>
    <cfRule type="cellIs" dxfId="28" priority="197" operator="lessThan">
      <formula>0.8</formula>
    </cfRule>
  </conditionalFormatting>
  <conditionalFormatting sqref="R62 AC62">
    <cfRule type="cellIs" dxfId="27" priority="199" operator="lessThan">
      <formula>0.8</formula>
    </cfRule>
  </conditionalFormatting>
  <conditionalFormatting sqref="O51">
    <cfRule type="cellIs" dxfId="26" priority="152" operator="greaterThan">
      <formula>0</formula>
    </cfRule>
  </conditionalFormatting>
  <conditionalFormatting sqref="P51">
    <cfRule type="cellIs" dxfId="25" priority="156" operator="lessThan">
      <formula>0</formula>
    </cfRule>
  </conditionalFormatting>
  <conditionalFormatting sqref="Q51">
    <cfRule type="cellIs" dxfId="24" priority="153" operator="greaterThan">
      <formula>1</formula>
    </cfRule>
    <cfRule type="cellIs" dxfId="23" priority="154" operator="lessThan">
      <formula>0.8</formula>
    </cfRule>
  </conditionalFormatting>
  <conditionalFormatting sqref="R51 AC51">
    <cfRule type="cellIs" dxfId="22" priority="157" operator="lessThan">
      <formula>0.8</formula>
    </cfRule>
  </conditionalFormatting>
  <conditionalFormatting sqref="AC51">
    <cfRule type="cellIs" dxfId="21" priority="155" operator="lessThan">
      <formula>0.8</formula>
    </cfRule>
  </conditionalFormatting>
  <conditionalFormatting sqref="O52">
    <cfRule type="cellIs" dxfId="20" priority="146" operator="greaterThan">
      <formula>0</formula>
    </cfRule>
  </conditionalFormatting>
  <conditionalFormatting sqref="P52">
    <cfRule type="cellIs" dxfId="19" priority="150" operator="lessThan">
      <formula>0</formula>
    </cfRule>
  </conditionalFormatting>
  <conditionalFormatting sqref="Q52">
    <cfRule type="cellIs" dxfId="18" priority="147" operator="greaterThan">
      <formula>1</formula>
    </cfRule>
    <cfRule type="cellIs" dxfId="17" priority="148" operator="lessThan">
      <formula>0.8</formula>
    </cfRule>
  </conditionalFormatting>
  <conditionalFormatting sqref="R52 AC52">
    <cfRule type="cellIs" dxfId="16" priority="151" operator="lessThan">
      <formula>0.8</formula>
    </cfRule>
  </conditionalFormatting>
  <conditionalFormatting sqref="AC52">
    <cfRule type="cellIs" dxfId="15" priority="149" operator="lessThan">
      <formula>0.8</formula>
    </cfRule>
  </conditionalFormatting>
  <conditionalFormatting sqref="O61">
    <cfRule type="cellIs" dxfId="14" priority="94" operator="greaterThan">
      <formula>0</formula>
    </cfRule>
  </conditionalFormatting>
  <conditionalFormatting sqref="P61 AA61">
    <cfRule type="cellIs" dxfId="13" priority="97" operator="lessThan">
      <formula>0</formula>
    </cfRule>
  </conditionalFormatting>
  <conditionalFormatting sqref="Q61 AB61">
    <cfRule type="cellIs" dxfId="12" priority="95" operator="greaterThan">
      <formula>1</formula>
    </cfRule>
    <cfRule type="cellIs" dxfId="11" priority="96" operator="lessThan">
      <formula>0.8</formula>
    </cfRule>
  </conditionalFormatting>
  <conditionalFormatting sqref="R61 AC61">
    <cfRule type="cellIs" dxfId="10" priority="98" operator="lessThan">
      <formula>0.8</formula>
    </cfRule>
  </conditionalFormatting>
  <conditionalFormatting sqref="P8">
    <cfRule type="cellIs" dxfId="9" priority="80" operator="lessThan">
      <formula>0</formula>
    </cfRule>
  </conditionalFormatting>
  <conditionalFormatting sqref="P18">
    <cfRule type="cellIs" dxfId="8" priority="78" operator="lessThan">
      <formula>0</formula>
    </cfRule>
  </conditionalFormatting>
  <conditionalFormatting sqref="P25">
    <cfRule type="cellIs" dxfId="7" priority="77" operator="lessThan">
      <formula>0</formula>
    </cfRule>
  </conditionalFormatting>
  <conditionalFormatting sqref="P33">
    <cfRule type="cellIs" dxfId="6" priority="76" operator="lessThan">
      <formula>0</formula>
    </cfRule>
  </conditionalFormatting>
  <conditionalFormatting sqref="P53">
    <cfRule type="cellIs" dxfId="5" priority="75" operator="lessThan">
      <formula>0</formula>
    </cfRule>
  </conditionalFormatting>
  <conditionalFormatting sqref="P59">
    <cfRule type="cellIs" dxfId="4" priority="74" operator="lessThan">
      <formula>0</formula>
    </cfRule>
  </conditionalFormatting>
  <conditionalFormatting sqref="P66">
    <cfRule type="cellIs" dxfId="3" priority="73" operator="lessThan">
      <formula>0</formula>
    </cfRule>
  </conditionalFormatting>
  <conditionalFormatting sqref="P72">
    <cfRule type="cellIs" dxfId="2" priority="72" operator="lessThan">
      <formula>0</formula>
    </cfRule>
  </conditionalFormatting>
  <conditionalFormatting sqref="R43 AC43">
    <cfRule type="cellIs" dxfId="1" priority="71" operator="lessThan">
      <formula>0.8</formula>
    </cfRule>
  </conditionalFormatting>
  <conditionalFormatting sqref="AC43">
    <cfRule type="cellIs" dxfId="0" priority="70" operator="lessThan">
      <formula>0.8</formula>
    </cfRule>
  </conditionalFormatting>
  <dataValidations count="1">
    <dataValidation type="list" allowBlank="1" showInputMessage="1" showErrorMessage="1" sqref="Z8 Z64:Z65 Y5:Z7 Y8:Y65 Z10:Z60 Y66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FD2C5-F748-4137-BB77-0CD10A9CBE0C}"/>
</file>

<file path=customXml/itemProps2.xml><?xml version="1.0" encoding="utf-8"?>
<ds:datastoreItem xmlns:ds="http://schemas.openxmlformats.org/officeDocument/2006/customXml" ds:itemID="{E9D8830F-E7E8-4155-A85E-1CAD60D16615}"/>
</file>

<file path=customXml/itemProps3.xml><?xml version="1.0" encoding="utf-8"?>
<ds:datastoreItem xmlns:ds="http://schemas.openxmlformats.org/officeDocument/2006/customXml" ds:itemID="{68C0D09F-BAFF-4438-8873-931F74EEF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0930</vt:lpstr>
      <vt:lpstr>0930 4度C</vt:lpstr>
      <vt:lpstr>0929</vt:lpstr>
      <vt:lpstr>0929 4度C</vt:lpstr>
      <vt:lpstr>0928</vt:lpstr>
      <vt:lpstr>0928 4度C</vt:lpstr>
      <vt:lpstr>0927</vt:lpstr>
      <vt:lpstr>0927 4度C</vt:lpstr>
      <vt:lpstr>0926</vt:lpstr>
      <vt:lpstr>0926 4度C</vt:lpstr>
      <vt:lpstr>0925</vt:lpstr>
      <vt:lpstr>0925 4度C</vt:lpstr>
      <vt:lpstr>0924</vt:lpstr>
      <vt:lpstr>0924 4度C</vt:lpstr>
      <vt:lpstr>0923</vt:lpstr>
      <vt:lpstr>0923 4度C</vt:lpstr>
      <vt:lpstr>0922</vt:lpstr>
      <vt:lpstr>0922 4度C</vt:lpstr>
      <vt:lpstr>0921</vt:lpstr>
      <vt:lpstr>0921 4度C</vt:lpstr>
      <vt:lpstr>0920</vt:lpstr>
      <vt:lpstr>0920 4度C</vt:lpstr>
      <vt:lpstr>0919</vt:lpstr>
      <vt:lpstr>0919 4度C</vt:lpstr>
      <vt:lpstr>0918</vt:lpstr>
      <vt:lpstr>0918 4度C</vt:lpstr>
      <vt:lpstr>0917</vt:lpstr>
      <vt:lpstr>0917 4度C</vt:lpstr>
      <vt:lpstr>0916</vt:lpstr>
      <vt:lpstr>0916 4度C</vt:lpstr>
      <vt:lpstr>0915</vt:lpstr>
      <vt:lpstr>0915 4度C</vt:lpstr>
      <vt:lpstr>0914</vt:lpstr>
      <vt:lpstr>0914 4度C</vt:lpstr>
      <vt:lpstr>0913</vt:lpstr>
      <vt:lpstr>0913 4度C</vt:lpstr>
      <vt:lpstr>0912</vt:lpstr>
      <vt:lpstr>0912 4度C</vt:lpstr>
      <vt:lpstr>0911</vt:lpstr>
      <vt:lpstr>0911 4度C</vt:lpstr>
      <vt:lpstr>0910</vt:lpstr>
      <vt:lpstr>0910 4度C</vt:lpstr>
      <vt:lpstr>0909</vt:lpstr>
      <vt:lpstr>0909 4度C</vt:lpstr>
      <vt:lpstr>0908</vt:lpstr>
      <vt:lpstr>0908 4度C</vt:lpstr>
      <vt:lpstr>0907</vt:lpstr>
      <vt:lpstr>0907 4度C</vt:lpstr>
      <vt:lpstr>0906</vt:lpstr>
      <vt:lpstr>0906 4度C</vt:lpstr>
      <vt:lpstr>0905</vt:lpstr>
      <vt:lpstr>0905 4度C</vt:lpstr>
      <vt:lpstr>0904</vt:lpstr>
      <vt:lpstr>0904 4度C</vt:lpstr>
      <vt:lpstr>0903</vt:lpstr>
      <vt:lpstr>0903 4度C</vt:lpstr>
      <vt:lpstr>0902</vt:lpstr>
      <vt:lpstr>0902 4度C</vt:lpstr>
      <vt:lpstr>0901</vt:lpstr>
      <vt:lpstr>0901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新豐生管01</cp:lastModifiedBy>
  <dcterms:created xsi:type="dcterms:W3CDTF">2025-09-02T07:36:07Z</dcterms:created>
  <dcterms:modified xsi:type="dcterms:W3CDTF">2025-10-02T08:48:24Z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